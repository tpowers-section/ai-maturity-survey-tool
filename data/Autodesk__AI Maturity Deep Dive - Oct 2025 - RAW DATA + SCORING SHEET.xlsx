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Sheet" sheetId="1" r:id="rId5"/>
    <sheet state="visible" name="Response Scoring" sheetId="2" r:id="rId6"/>
    <sheet state="visible" name="Raw Data" sheetId="3" r:id="rId7"/>
    <sheet state="visible" name="Prompt Template" sheetId="4" r:id="rId8"/>
  </sheets>
  <definedNames/>
  <calcPr/>
</workbook>
</file>

<file path=xl/sharedStrings.xml><?xml version="1.0" encoding="utf-8"?>
<sst xmlns="http://schemas.openxmlformats.org/spreadsheetml/2006/main" count="2847" uniqueCount="1215">
  <si>
    <t>Usage Questions [scored]</t>
  </si>
  <si>
    <t>Knowledge Questions [scored]</t>
  </si>
  <si>
    <t>Prompting Questions [scored]</t>
  </si>
  <si>
    <t>Overall Score</t>
  </si>
  <si>
    <t>Free Response [Unscored]</t>
  </si>
  <si>
    <t>Workflow Assessment [Unscored]</t>
  </si>
  <si>
    <t>Organizational Readiness</t>
  </si>
  <si>
    <t>Demographics</t>
  </si>
  <si>
    <t>Custom Questions</t>
  </si>
  <si>
    <t>Prompting</t>
  </si>
  <si>
    <t>Weight</t>
  </si>
  <si>
    <t>Knowledge</t>
  </si>
  <si>
    <t>Potential Points</t>
  </si>
  <si>
    <t>Usage</t>
  </si>
  <si>
    <t>{{QUESTION 5 RESPONSE}}</t>
  </si>
  <si>
    <t>{{QUESTION 6 RESPONSE}}</t>
  </si>
  <si>
    <t>{{QUESTION 13 RESPONSE}}</t>
  </si>
  <si>
    <t>{{QUESTION 14 RESPONSE}}</t>
  </si>
  <si>
    <t>Participant Identifier</t>
  </si>
  <si>
    <t>How often do you use AI tools for work-related tasks?</t>
  </si>
  <si>
    <t>SCORE_1</t>
  </si>
  <si>
    <t>Which of the following best describes how you typically use AI at work? Select all that apply.</t>
  </si>
  <si>
    <t>SCORE_2</t>
  </si>
  <si>
    <t>SCORE (out of 1)_2</t>
  </si>
  <si>
    <t>Which best describes your AI usage patterns at work?</t>
  </si>
  <si>
    <t>SCORE_3</t>
  </si>
  <si>
    <t>You need to create a monthly performance summary.   How would you use AI for this task?</t>
  </si>
  <si>
    <t>SCORE_4</t>
  </si>
  <si>
    <t>You have one week to create an important presentation for senior stakeholders on an unfamiliar topic. How would you use AI in this process? If you wouldn't use AI, please state that.</t>
  </si>
  <si>
    <t>TEXT: You have one week to create an important presentation for senior stakeholders on an unfamiliar topic. How would you use AI in this process? If you wouldn't use AI, please state that.</t>
  </si>
  <si>
    <t>TEMPLATE: You have one week to create an important presentation for senior stakeholders on an unfamiliar topic. How would you use AI in this process? If you wouldn't use AI, please state that.</t>
  </si>
  <si>
    <t>SCORE_5</t>
  </si>
  <si>
    <t>SCORE (out of 1)_5</t>
  </si>
  <si>
    <t>What is the most useful or valuable way you are using AI in your work?</t>
  </si>
  <si>
    <t>TEXT: What is the most useful or valuable way you are using AI in your work?</t>
  </si>
  <si>
    <t>TEMPLATE: What is the most useful or valuable way you are using AI in your work?</t>
  </si>
  <si>
    <t>SCORE_6</t>
  </si>
  <si>
    <t>SCORE (out of 1)_6</t>
  </si>
  <si>
    <t>OVERALL SCORE (out of 10)_usage</t>
  </si>
  <si>
    <t>Which task would current AI tools (like ChatGPT, Copilot, or Gemini) handle most effectively?</t>
  </si>
  <si>
    <t>SCORE_7</t>
  </si>
  <si>
    <t>Which of the following are the main risks of using current LLMs? Select all that apply.</t>
  </si>
  <si>
    <t>SCORE_8</t>
  </si>
  <si>
    <t>How can you best protect sensitive information when using AI tools? Select all that apply.</t>
  </si>
  <si>
    <t>SCORE_9</t>
  </si>
  <si>
    <t>How often do you verify or fact-check AI-generated content before finalizing or sharing it?</t>
  </si>
  <si>
    <t>SCORE_10</t>
  </si>
  <si>
    <t>When fact-checking AI-generated content, which approaches would be helpful? Select all that apply.</t>
  </si>
  <si>
    <t>SCORE_11</t>
  </si>
  <si>
    <t>OVERALL SCORE (out of 10)_knowledge</t>
  </si>
  <si>
    <t>When you use AI, how often do you refine or iterate on your prompts to improve the output?</t>
  </si>
  <si>
    <t>SCORE_12</t>
  </si>
  <si>
    <t>DRILL 1: Imagine you are preparing for a work meeting to discuss a new initiative or proposal. Write a prompt asking AI to help you prepare for this meeting.</t>
  </si>
  <si>
    <t>TEXT: DRILL 1: Imagine you are preparing for a work meeting to discuss a new initiative or proposal. Write a prompt asking AI to help you prepare for this meeting.</t>
  </si>
  <si>
    <t>TEMPLATE: DRILL 1: Imagine you are preparing for a work meeting to discuss a new initiative or proposal. Write a prompt asking AI to help you prepare for this meeting.</t>
  </si>
  <si>
    <t>SCORE_13</t>
  </si>
  <si>
    <t>SCORE (Out of 1)_13</t>
  </si>
  <si>
    <t>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</si>
  <si>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TEXT: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</si>
  <si>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TEMPLATE: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</si>
  <si>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SCORE_14</t>
  </si>
  <si>
    <t>SCORE (Out of 1)_14</t>
  </si>
  <si>
    <t>OVERALL SCORE (out of 10)_prompting</t>
  </si>
  <si>
    <t>OVERALL SCORE (out of 50)</t>
  </si>
  <si>
    <t>OVERALL SCORE (out of 100)</t>
  </si>
  <si>
    <t>Rating</t>
  </si>
  <si>
    <t>Use AI to help me get familiar with the topic, then use AI to help me create the outline of the presentation based on what I need to present. Review the results and tweak it as needed. Then I use AI to create the initial presentation and help me tweak all the way. Then use ai to help me rehearse the presentation to get the delivery to be as crisp and to the point as possible.</t>
  </si>
  <si>
    <t>To create an initial event brief and estimate for a 3rd party Tradeshow or a hosted event. Help me connect all dots, what is the audience, what are the solutions we should feature, what are the key messaging themes and relevant campaign &amp; content I can feature. What should our presence look like, how much budget do we need, etc.</t>
  </si>
  <si>
    <t>I’m prepping for a meeting on [initiative / event / program name] and I want you to act like a no-BS executive sparring partner.
Context you need:
– My role: I own global field marketing events (tradeshows + hosted events).
– Audience: senior marketing leaders + finance-minded execs who care about ROI, scale, and focus.
– What I’m trying to get out of the meeting: [approval / funding / alignment / green light].
– Reality check: I’ll get challenged on cost, impact, duplication with digital, and “why now?”.
What I want from you:
Help me articulate the real business value of this initiative (pipeline, influence, customer trust, not fluffy brand talk).
Give me the top 3–5 arguments I should lead with, using event benchmarks, assumptions, or industry stats where possible.
Play devil’s advocate: what are the strongest objections I’ll hear (budget pressure, event fatigue, scale, measurement)? Don’t go easy.
Give me sharp, credible responses to those objections—short enough to land in an exec room.
Help me explain this in under 60 seconds to someone who thinks events are expensive dinners with badges.
Call out any weak spots in my plan that could get exposed in the meeting so I can fix them before I walk in.
Be practical, direct, and executive-ready. If something doesn’t hold up under scrutiny, say it. I’d rather hear it from you than from Finance in the room.</t>
  </si>
  <si>
    <t>Role: Competitive Intelligence Analyst – Events &amp; Experiences
Purpose &amp; Mission
You are a Competitive Intelligence Analyst specialized in B2B events, trade shows, and hosted experiences. Your mission is to help Autodesk field marketing teams systematically gather, structure, and analyze competitor intelligence related to events strategy, event formats and scale, messaging and positioning, pricing and sponsorship models, experience design, activation tactics, and audience targeting. You operate as a field-ready analyst: pragmatic, skeptical, and allergic to buzzwords.
Scope of Analysis
For every competitor or event, focus only on what matters operationally and strategically.
Event Strategy
Identify the event type (trade show, hosted event, roadshow, hybrid, owned conference). Determine the role of the event in the competitor’s GTM motion (brand, pipeline, customer expansion, ecosystem). Assess the level of investment (low-touch vs flagship).
Messaging &amp; Positioning
Capture the core event message in one sentence without marketing fluff. Identify whether the focus is product, platform, or ecosystem. Note vertical or persona targeting (AEC, M&amp;E, Manufacturing, etc.). Analyze language used on signage, booths, sessions, and demos. Explicitly call out vague, inflated, or meaningless messaging.
Experience &amp; Execution
Document booth size, layout, and visitor flow. Analyze demo strategy (scripted vs exploratory). Note staffing mix (sales, product, executives). Capture interactive elements such as hands-on demos, storytelling, theater, or community engagement.
Pricing &amp; Commercial Model
Identify sponsorship tiers and pricing where available. Note paid vs free attendance. Capture upsell mechanics such as VIP access, add-ons, or exclusives. Assess partner monetization approach. Clearly state when pricing data is estimated or unavailable.
Audience &amp; Reach
Identify target audience by role and seniority. Assess customer vs partner vs prospect mix. Note geographic focus. Evaluate attendance quality using observable signals such as crowd density and session engagement rather than vanity metrics.
Standard Output Format
All outputs must follow this structure.
Competitor Snapshot
Company:
Event:
Location / Date:
Event Type:
Estimated Scale:
What They’re Trying to Achieve
Provide one concise paragraph stating the likely business objective of the event. No marketing language.
Key Observations
List bullet points. Clearly separate what was directly observed from what is inferred.
Positioning in Plain English
Explain their event message as if briefing a sales rep in 20 seconds.
Strengths
List what they execute well and where they are objectively strong.
Weaknesses &amp; Gaps
Call out what is unclear, underwhelming, poorly executed, or overhyped. Highlight disconnects between message and execution.
Implications for Autodesk Events
List what Autodesk should steal, what to avoid, and what Autodesk already does better and should double down on.
Confidence Level
State High, Medium, or Low based on data quality and depth of observation.
Evidence Rules
Always distinguish facts from assumptions. Never present guesses as facts. Clearly flag estimates. Explicitly state when data is missing. “No data” is acceptable and preferred over speculation.
Tone &amp; Behavior
Be pragmatic and direct. Default to healthy skepticism. Use short, clear sentences. Prefer clarity over elegance. If something is average, say it. If something is strong, explain why. Light dry humour is acceptable. This is field intelligence, not academic theory.
Comparison Mode
When comparing competitors or events, use side-by-side tables. Normalize for scale differences. Avoid false equivalency between small booths and flagship conferences.
What You Must Never Do
Do not provide generic best practices. Do not regurgitate marketing frameworks. Do not hype without evidence. Do not include theory disconnected from execution, cost, or impact.
Final Check
Before completing any response, ensure it would help a field marketer make a better decision within the next week. If not, tighten the analysis.</t>
  </si>
  <si>
    <t>I would create prompts to describe the unfamiliar topic and use AI to synthesize information, and gather insights and strategy recommendations, based on resource materials I linked to or uploaded.</t>
  </si>
  <si>
    <t>AI helps me more efficiently gather data points, aggregate information across files, emails and conversations/meetings, provide follow-up items, and synthesize information so I can have a more solid foundation for my work.</t>
  </si>
  <si>
    <t>I am planning to launch [a new initiative]. Identify the top 5 opportunities and potential risks (internal and external). For potential risks, suggest a mitigation strategy for each. Also, if you were a skeptical stakeholder, what would be your strongest arguments against this plan, and how should I proactively address them?</t>
  </si>
  <si>
    <t>Create a GPT: Click on "Explore GPTs" -&gt; "+ Create".
Use the "Configure" Tab: Skip the simple "Create" chat bot and go straight to "Configure" for more control.
Name: E.g., "Competitor Intelligence Analyst"
Description: "Analyzes competitor products, pricing, and positioning."
Instructions (The "Prompt"): Paste the detailed instructions.</t>
  </si>
  <si>
    <t>As an expert in the unfamiliar topic, I would ask AI to provide insight on industry knowledge, Autodesk knowledge, and/or provide the top 5-10 areas of opportunity based on the outcome senior leadership is asking.  My conversation would continue based on the AI answers to determine accuracy of sources, review my planned story for my stakeholders and question the feasibility of success.  As a frequent user, I may challenge copilot versus chatgpt on my presentation strategy.</t>
  </si>
  <si>
    <t>My confidence as an AI practitioner has grown substantially, enabling me to design forward looking workflows that improve team efficiency. I use AI daily to refine messaging for presentations, status reports, and communications, ensuring content is appropriately tailored for executive and peer audiences. This has strengthened both my productivity and the clarity of my communication.
I also developed my first app, the PromptBank library in PowerApps with support from ChatGPT, Copilot, and an ESE developer. AI informed strategic decisions, guided platform selection, and assisted with code generation and review, helping me balance development work with core responsibilities. A key lesson has been the importance of critically evaluating AI generated outputs and seeking simplified explanations when necessary to ensure full understanding and alignment on desired outcomes.  This project was started in October and will be complete this month.</t>
  </si>
  <si>
    <t>Help me prepare for a meeting today with/about [person/topic].   Determine if there were previous meetings and if there are key points I should be aware of.  What are 1-3 key questions in my role that are important?  Are there known risks in this proposal and mitigations defined?  Do we have budget constraints or any other factors that I should consider?  Thank you</t>
  </si>
  <si>
    <t>## Custom GPT Instructions: Competitive Intelligence Standard
### Role
You are a **Competitive Intelligence (CI) Assistant**. Your role is to help team members gather, structure, and document competitive intelligence in a **consistent, fact-based, and decision-ready format**.
You operate as a neutral analyst, not a marketer or advocate.
---
### Primary Objective
Ensure all competitive intelligence outputs:
* Follow a **standardized structure**
* Clearly separate **facts, evidence, and assumptions**
* Are **easy to compare across competitors**
* Are suitable for **product, GTM, and executive decision-making**
---
### Core Principles (Always Enforce)
* Prioritize **facts over opinions**
* Explicitly label assumptions as `[Assumption]`
* Separate **evidence** from **interpretation**
* Use **concise bullet points**, not long paragraphs
* Optimize for **clarity, consistency, and reuse**
---
### Engagement Rules
When a user asks for competitive intelligence:
* Proceed even if information is incomplete
* Make reasonable assumptions where necessary and label them clearly
* Ask clarifying questions only if required to avoid incorrect analysis
---
### Required CI Structure (Mandatory)
All outputs must be organized using the following sections and headings unless explicitly instructed otherwise.
#### 1. Company Overview
* Company name
* Primary market(s)
* Target customer profile
* Business model (e.g., SaaS, usage-based, enterprise)
#### 2. Product &amp; Capabilities
* Core features
* Key differentiators
* Known gaps or limitations
* Roadmap signals (public or inferred)
#### 3. Pricing &amp; Packaging
* Pricing model
* Tiers or bundles
* Licensing approach
* Notable pricing changes or experiments
#### 4. Positioning &amp; Messaging
* Primary value propositions
* Core marketing themes
* Language used to describe differentiation
#### 5. Go-to-Market Strategy
* Sales motion (self-serve, sales-led, partner-led)
* Primary acquisition channels
* Key partnerships or ecosystems
#### 6. Customer Evidence
* Target industries
* Named customers (if public)
* Case studies or testimonials
* Review sentiment (if available)
#### 7. Recent Signals &amp; Changes
* Product launches
* Acquisitions or partnerships
* Leadership changes
* Messaging or pricing shifts
#### 8. Strengths &amp; Weaknesses
* Strengths (fact-based)
* Weaknesses or risks
* Areas of uncertainty
---
### Evidence Standards
For each meaningful claim:
* Identify the **source type** (e.g., website, blog, review site, analyst report)
* Include the **date** when available
* Label inferred conclusions as `[Assumption]`
Do not mix facts and opinions in the same bullet.
**Example:**
* Emphasizes enterprise security certifications — Source: Product website (May 2025)
* `[Assumption] Likely expanding into mid-market based on new pricing tiers`
---
### Comparative Analysis (When Requested)
When comparing competitors:
* Use **side-by-side tables** when possible
* Compare against **explicit criteria**
* Avoid subjective language (e.g., “better,” “stronger”) without evidence
---
### Output &amp; Formatting Rules
* Bullet points only
* Short, scannable sections
* Neutral, analytical tone
* Clear section headers
* Explicitly labeled assumptions
---
### Required Closing Section (Always Include)
End every CI output with the following section:
**Open Questions / Gaps**
* Key unknowns
* Validation needed
* Suggested next CI steps
---
### Prohibited Behavior
* Unlabeled speculation
* Marketing or sales rhetoric
* Mixed fact/opinion statements
* Inconsistent section structures
---
### Success Criteria
A successful response:
* Can be directly compared with other CI outputs
* Clearly distinguishes facts, assumptions, and unknowns
* Requires minimal cleanup for reuse in decks, docs, or trackers</t>
  </si>
  <si>
    <t>I'd ask AI to help me understand the topic, test my knowledge, and then act as a senior stakeholder at Autodesk, asking specific questions based on their needs and business goals. 
I would then ask AI to coach me on how to address the topic at the right level of information for those stakeholders so I'm not wasting anyone's time. Once my presentation is scripted, I would test again, making sure that the information is accurate and I have the sources I can cite if questions arise, or other key stakeholders I can go to if there are follow-up tasks.</t>
  </si>
  <si>
    <t>Showing that StoryBot is possible! It's up to the MarCom team to make it a reality now.</t>
  </si>
  <si>
    <t>I need you to act as strategic comms partner. I'm meeting with _______ (generalize or personalize based on size of team and sensitivity of content) to discuss (tag files). Based on what you know about (Teams) and (leaders) and their goals at Autodesk, help me frame this conversation in a way that clearly shows how my proposal will help them achieve their goals of (fill in goals). I want you to be persuasive, direct, and write a script that still sounds like me. Help me show up like a director or executive - connecting the dots and making this an easy yes for the team. Based on the transcript of our last meeting, help me anticipate any questions or pushbacks that might come around timing or budget.  Write a script as well as list of questions. Then create a list of considerations I have not addressed already and help me tackle them. This may be a longer conversation but the outcome is worth it!</t>
  </si>
  <si>
    <t>I want you to help me create a Copilot agent that breaks down the latest in competitor (list competitors + their websites) products, pricing, and positioning. I also want you to look at their LinkedIn pages (link), social media updates (link), and release notes (link). Scour the internet to provide me with a curation of news articles that mention their work. For context, I work at Autodesk in (function), working on (product name). Autodesk is a design and make company (fill in with more with public information about Autodesk and the specific product you support). As part of the curation process, tell me exactly why I need to pay attention to each update from competitors. What updates are getting attention? What moves are they making quietly that will threaten our market share? It's important that you provide this information in a factual tone and back up your claims with receipts. Do not hallucinate. I will be checking this weekly and want the output to be smart, strategic, and something that my team will want to read and take action on. Let's start to build and ask me questions as we go so we can personalize this. 
(continue to build w/ copilot)</t>
  </si>
  <si>
    <t>If I had one week to build an important presentation for senior stakeholders on an unfamiliar topic, I would use AI as an end to end partner to accelerate learning, sharpen the storyline, and improve executive quality. I would start by using ChatGPT Research to quickly understand the topic, summarize credible sources, compare viewpoints, and identify the few insights that actually matter for leadership decisions. In parallel, I would use ChatGPT to clarify the purpose of the deck, the decision I want stakeholders to make, and the most effective narrative structure for an executive audience.
Next, I would upload any relevant internal documents such as prior decks, reports, meeting notes, or performance data, and use ChatGPT to extract key themes, surface gaps and contradictions, and translate raw material into clean executive takeaways. From there, I would iterate quickly on the story and slide flow, using AI to improve clarity, simplify language, tighten slide headlines, and pressure test the logic by having it “role play” as a skeptical senior leader and anticipate likely questions.
Finally, I would use AI to elevate the production quality by generating visuals or diagrams that support the story, refining speaker notes, and drafting a concise voice over script to ensure strong pacing and confidence. Throughout the week I would continuously revise and improve, using AI to add what is missing, remove what is unnecessary, and make the final presentation clear, persuasive, and ready for executive decision making.</t>
  </si>
  <si>
    <t>The most valuable way I use AI in my work is improving executive communication and leadership effectiveness. I use it to quickly turn complex situations into clear, confident messages for senior stakeholders, such as prioritization recommendations, tradeoffs, risks, and next steps, so leaders can make decisions faster. I also use it to help me manage my team more effectively by drafting thoughtful coaching messages, aligning on goals, and shaping updates that keep people focused on the highest value work. The ROI is that I spend less time rewriting and second guessing, and more time driving alignment, protecting priorities, and keeping work moving at executive speed.</t>
  </si>
  <si>
    <t>Act as my executive strategy and communications coach. I’m preparing for a meeting to discuss a new initiative or proposal and I need your help to get ready. Ask me 5 clarifying questions first, then help me create a clear meeting goal, a 30 second opening statement, and a simple storyline that includes the problem, why it matters now, the proposed approach, key tradeoffs, risks, and the decision I’m asking the group to make. Use plain English, keep it concise and executive ready, and include a short list of likely objections with strong responses. Avoid jargon, avoid long paragraphs, and make sure the final output is easy for me to copy into notes or slides.</t>
  </si>
  <si>
    <t>Act as a competitive intelligence analyst and product marketer. Your task is to help our team research competitor products, pricing, packaging, and positioning in a consistent, repeatable way. First, ask me 5 clarifying questions about the competitor, target customer, region, and the use case we are comparing. Then gather and summarize findings from reliable public sources, and clearly separate confirmed facts from assumptions. Provide a structured output that includes: product overview, target audience, key value propositions, core features, differentiators, pricing and packaging (with links and dates), onboarding and implementation notes, integrations, customer proof points, and any strengths or gaps versus our offering. Include a simple comparison table, a short executive summary, and recommended talk tracks for sales or stakeholders. Flag any missing information and suggest exactly what to research next. Keep the tone clear and professional, avoid hype, and do not invent details or pricing if you cannot verify them. Think hard.</t>
  </si>
  <si>
    <t>I would use AI to help research the topic for me and then summarize the research.  From that I would ask it to create a presentation ready for an executive audience with the major themes that I would want to make sure were highlighted.  I'd then ask for advice on any gaps in the presentation and a list of questions I might receive from executives based on the content provided</t>
  </si>
  <si>
    <t>Summarizing narrative.  Improving my writing, especially when I need it to be more succinct and for senior level audiences. I use AI as a thought partner, I use it to help me formulate recommendations and build project plans.  Basically anything I do know I ask myself, could AI help me figure this out faster?</t>
  </si>
  <si>
    <t>I am a program manager within a marketing organization and I need help preparing for a meeting where a new initiative will be highlighted.  I've attached some information about the new initiative.  Based off this information summarize what the initiative is about.  Highlight the pros and cons of the initiative.  Suggest 3 questions I should ask to help clarify the initiative purpose.  Include both a narrative and bullet points.</t>
  </si>
  <si>
    <t>I need an agent to help my team gather competitive intelligence consistently. For (enter competitor names) provide a summary of the company including what they do, size, markets they serve, and any recent news and customer sentiment about the company.  Share a list of their products including key featuring and pricing.  Share positioning and messaging for their products and highlight anything that calls out how they are different from our company's products.  Include this information in a table format</t>
  </si>
  <si>
    <t>(1) I will research and aggregate all existing data sources and knowledge in one place 
(2.1) Create a GPT/copilot with persona and specific instructions like output in bullet points, focusing on ROI/Risk 
(2.2) I will then prompt AI to organise raw insights, first conclusions then arguments and then data sources 
(2.3) I will ask AI to build mental models and analogies 
(3.1) I will review the narrative flow, logics and blind spots and ask AI to describe flow charts/ visualizations needed to prove each point. 
(3.2) Perform audit, will force AI to cite all sources and I will manually verify critical facts
(3.3) I will instruct AI to adopt persona of my most skeptic stakeholder and generate top objections 
(4.1) then I will prepare for defense/clarification with AI 
(4.2) Ask AI to create the final deck and have vocal conversation with AI to refine speakers note.
(5.1) Finalize the deck with content, bullets and visuals
(5.2) Ask AI to create 1 page summary as well for stakeholders
I will be using 'human in loop' approach, where AI is used for research, summarizing, organising and I will verify facts and control direction and narrative of the presentation</t>
  </si>
  <si>
    <t>I used AI to ingest our raw data, adopt the specific personas, and generate data backed rebuttals. 
I also use AI to create specific copilots for different tasks.</t>
  </si>
  <si>
    <t>Act as an Organizational Effectiveness Consultant and Employee Experience Strategist. Your goal is to help me secure buy-in for optimizing our internal feedback loop.
Context:
My Role: Marketing Ops Manager.
The Initiative: Automating and optimizing the monthly "Marketers Campaign Survey" on Qualtrics (currently manual/inefficient).
The Goal: Increase response rates, automate data collection, and turn qualitative feedback into quantitative process improvements.
The Problem: The current survey is manual, and likely suffers from low engagement. We lack actionable insights on campaign bottlenecks.
The Audience:
CMO: Wants to ensure the team is efficient and happy; hates administrative bloat.
Campaign Managers (The Respondents): They hate "busy work" and survey fatigue. They need to see value in answering.
Marketing Directors: Want to know why campaigns are delayed but don't want to micromanage.
Task: Please output the following 4 sections:
Section 1: Rewrite my pitch into a 3-part Minto Pyramid structure:
The Governing Thought: A single sentence recommendation focusing on "Operational Intelligence" rather than just "sending a survey."
Key Line of Reasoning: The 3 distinct benefits (e.g., "Real-time Bottleneck Detection," "Automated Sentiment Tracking," "Hours Saved on Manual Analysis").
The "So What?": The Cost of Inaction (e.g., "Without this, we continue to rely on hearsay and anecdotes to fix campaign issues").
Section 2: The Stakeholder Matrix Create a table analyzing my audience:
Column 1: Stakeholder (CMO, Campaign Managers, Directors).
Column 2: Their "Nightmare" (e.g., For Campaign Managers: "Another useless form that takes 15 minutes and changes nothing").
Column 3: The Specific Benefit (e.g., For Managers: "A 'Vent Valve' that actually gets leadership to fix the broken processes slowing them down").
Column 4: The "Language" to use (e.g., For CMO use "Operational Agility," for Managers use "Removing Friction").
Section 3: The "Red Team" Pre-Mortem (Critical) Adopt the persona of a cynical staff member.
Identify the top 3 "Silent Killers" specific to internal surveys. (e.g., "Selection Bias" where only angry people respond, "Survey Fatigue" leading to garbage data, or the "Black Hole" effect where no action is taken on feedback).
Tell me exactly why this initiative will fail if I don't design it perfectly.
Section 4: The Defense Script For each "Silent Killer" in Section 3, write a concise rebuttal.
Specific Requirement: Give me a script for the "What's in it for me?" objection from a busy Campaign Manager. Explain how this specific automation will save them time in the long run.</t>
  </si>
  <si>
    <t>Role: You are a Senior Competitive Intelligence Analyst and Product Strategist. Your job is to dissect competitor data and convert it into structured, actionable intelligence. You do not just "summarize" you analyze for weakness and differentiation.
Core Directive: When provided with a Competitor Name, URL, or Document, you must execute the "4 Point Intel Protocol" below. Do not deviate from this structure unless explicitly asked.
The 4-Point Intel Protocol:
1. The Pricing &amp; Packaging Audit
Goal: Reveal the true cost, not just the headline price.
Extract: Pricing tiers (Free, Pro, Enterprise), the "metric" (per user? per contact? flat fee?), and any hidden gates (e.g., "SSO is only in Enterprise").
Analysis: Flag where they are cheaper/more expensive than market average.
2. Positioning &amp; ICP Decoder
Goal: Identify who they want to sell to vs. who they actually sell to.
Extract: The H1 Headline (Value Prop), target industries, and the specific "Job to Be Done" they claim to solve.
Analysis: Based on their language, who is their Ideal Customer Profile (ICP)? (e.g., "SMBs looking for speed" vs. "Enterprises looking for compliance").
3. Feature Parity &amp; Gaps
Goal: A brutal "Us vs. Them" comparison.
Action: List their Top 3 "Hero Features" (what they brag about).
Weakness Spotter: Based on G2/Capterra sentiment (if available) or "missing" keywords, what features are they hiding or weak on? (e.g., "Weak API documentation," "No native Salesforce integration").
4. The "Kill Sheet" Summary
Output: A 1-paragraph script for our Sales team.
Format: "When a prospect mentions [Competitor], say: 'They are great for [X], but customers usually switch to us because [Competitor] lacks [Y] and charges extra for [Z].'"
Tone &amp; Style Constraints:
Be Cynical: Do not repeat their marketing adjectives (e.g., "seamless," "revolutionary"). Strip the fluff.
Zero Hallucination: If you cannot find pricing or a specific feature, state explicitly: "DATA NOT FOUND / HIDDEN." Do not guess.
Format: Use Markdown Tables for comparisons. Use Bullet Points for analysis.</t>
  </si>
  <si>
    <t>I do my research on the topic using GPT or Copilot. Word my prompt properly so that it pulls out the info that I want and for what I need it for (including the goal), then use CANVA Ent with AI features to create the presentation</t>
  </si>
  <si>
    <t>To clean Excel reports that I need to analyze, I use it to draft my weekly priorities, to verify vendor information, to draft high level emails, or to create a project plan. I also use the Airtable AI features (amen!). Also to draft Slack comms post.</t>
  </si>
  <si>
    <t>Prepare an outline for my call NAME. The topics are... the audience is... pull details from this doc or this meeting transcript and highlight important points of discussion, areas of focus, why this initiative is a good idea, potential challenges, resources. Research this topic to find why this initiative can work, what advantages it has, and how it can improve our marketing processes, ROI, productivity. Use a clear tone, with bullet points, trend analysis, data resources from the web or successful cases.</t>
  </si>
  <si>
    <t>- Execute a deep analysis of three specified competitors across their entire GTM motion.
- Synthesize actionable strengths, weaknesses, and strategic opportunities.
- Develop three unique "preemptive edge" positioning statements.
- Propose three immediate, high-impact GTM tactics.</t>
  </si>
  <si>
    <t>use as a research guide</t>
  </si>
  <si>
    <t>prototyping an app</t>
  </si>
  <si>
    <t>i dont know how to prompt</t>
  </si>
  <si>
    <t>I don't know how to create custom AI instructions</t>
  </si>
  <si>
    <t>I will use AI to get the brainstorm ideas and build a sample PPT as well. Using the basic framework will work on improvising it</t>
  </si>
  <si>
    <t>I used AI to build an Analytics model using data set I had and it worked perfectly</t>
  </si>
  <si>
    <t>I’m preparing for a work meeting to discuss a new initiative/proposal. Help me get ready by outlining key discussion points, potential questions I should anticipate, supporting data or insights I may need, and a concise summary I can present. Also suggest risks, dependencies, and next steps to make the proposal stronger</t>
  </si>
  <si>
    <t>You are a Competitive Intelligence Assistant. Your role is to help team members systematically research, analyze, and summarize information about competitors’ products, pricing, positioning, messaging, customer experience, and go‑to‑market strategies.
Your outputs must be:
Accurate
Well‑structured
Neutral and objective
Source‑backed (when possible)
Actionable, highlighting insights that matter for decision‑making.
How You Should Respond
For every request, provide information in the following structure:
1. Competitor Overview
Company background
Product/service categories
Target customers
Market presence
2. Product Analysis
For each relevant product, summarize:
Core features
Differentiators
Strengths &amp; weaknesses
Technology or platform details
3. Pricing Breakdown
Pricing model (subscription, tiered, usage‑based, seat-based, freemium, etc.)
Public price points
Discount patterns (if known)
Notes on regional pricing differences (if applicable)
4. Positioning &amp; Messaging
Value proposition
Key messages used on website or marketing
Target persona messaging
Social proof (reviews, ratings, testimonials)
5. Recent Updates or Announcements
Product launches
Feature updates
Partnerships
Market moves
(Only use publicly available information.)
6. Strengths, Weaknesses, Opportunities, Threats (SWOT)
Provide a consolidated SWOT analysis.
7. Implications for Our Strategy
Summarize what the findings mean for:
Our product/solution
Our go‑to‑market approach
Customer objections or comparisons
Opportunities to differentiate
8. Sources
List all publicly available sources used (blogs, websites, review sites, news articles, etc.).
Never use or request confidential or internal information.
Rules &amp; Guardrails
Use only publicly available information. No private data, no scraping behind authentication.
Never claim unverified details as facts. If unsure, say “Source not found” or “Information unclear.”
Avoid biased comparisons; remain objective and factual.
If user asks for sensitive, confidential, or unethical competitive intel, respond with a polite refusal and suggest alternative legitimate research options.
Communication Style
Use simple, concise language.
Structure output with headings and bullet points.
Provide clear takeaways, not just raw data.
Highlight inconsistencies or missing information.</t>
  </si>
  <si>
    <t>I would start by explaining my idea &amp; asking for an outline. I would use it analyze data and use it to formulate thoughts and content for my presentation.</t>
  </si>
  <si>
    <t>It's great to help me get started and organized. I also love the automated meeting summary features.</t>
  </si>
  <si>
    <t>I need to prepare for an upcoming meeting. Act as my business admin and help me prepare documents, presentations, important communication and other sources that I can reference if I need them. Please also create a brief summary for me, including potential topics, a few questions I might need to ask and any outstanding tasks I may need to complete leading up to the meeting. Organize the notes in a summary that I can digest quickly along with supporting documentation I can reference if I need it.</t>
  </si>
  <si>
    <t>I haven't set up a Custom GPT or Copilot agent yet but plan to soon.</t>
  </si>
  <si>
    <t>If unfamiliar to them, I would use my expertise to create the presentation and use AI to check parts of it. I also would use it to create my voice over script depending on how senior/buttoned up that it needs to be.
If unfamiliar to me, I would use it to research and or synthesize a lot of data to drive my creation.
Today, PowerPoint does not seem to have the best AI tool with heavy brand guidance so I feel like it still requires a human to generate the design. I have used AI for image creation though.</t>
  </si>
  <si>
    <t>I did a full research project on competitive naming in AI that was pretty cool and very helpful. It would have been a summer intern project at my last company.</t>
  </si>
  <si>
    <t>I'm meeting with a team next week about our core product getting a new AI feature and I need to set the agenda. Help me organize the meeting. Start by asking me questions to create an agenda.</t>
  </si>
  <si>
    <t>First, I would understand where the data sources are that I want it to use. Those are where I would direct the agent to look. I would also decide on the format and if I want it to deliver a certain data set. If a Copilot Agent, I would use Copilot to help me write the agent since they have a tool to get the formatting right.</t>
  </si>
  <si>
    <t>background information - get an understanding - find sources to validate AI response.</t>
  </si>
  <si>
    <t>Brainstorming and assisting with initial drafts - and automating everyday tasks.</t>
  </si>
  <si>
    <t>I have an upcoming work meeting to discuss a new initiative. Help me prepare by summarising the key objectives, likely questions or objections, suggested talking points, and a clear recommendation structure. Assume the audience is time-poor and senior, and tailor the advice to be concise and persuasive.</t>
  </si>
  <si>
    <t>NA</t>
  </si>
  <si>
    <t>I would ask AI to give me the foundation for the presentation and then I would do research on each part of the presentation probably with help of AI and put the presentation together and then I would ask AI to pressure test my presentation and help me with what questions I haven't thought of that senior stakeholders might have.</t>
  </si>
  <si>
    <t>Its helpful to get me to understand where I may not be explaining things properly for a general marketing or how to level it up for a Dara level presentation. I have also asked to make sure that I'm correct in my understanding of something and how I explain it to crossfunctional teams outside of marketing with business impact language.</t>
  </si>
  <si>
    <t>I’m preparing for a work meeting to discuss a new initiative/proposal and I want help structuring my thinking and messaging.
Here’s the context of the meeting:
• Audience (roles, seniority, decision-makers):
• Goal of the meeting (decision, feedback, alignment, approval):
• Business problem or opportunity this initiative addresses:
• Proposed solution and why it matters now:
• Key metrics, impact, or success criteria:
• Constraints or risks (budget, resources, timeline, dependencies):
• Likely objections or questions:
Please help me:
Clarify the core narrative and “why this matters” story
Distill the proposal into a concise executive summary
Outline talking points for the meeting
Anticipate tough questions and strong responses
Suggest a clear ask and next steps
Keep the output concise, strategic, and tailored for a senior-level audience.</t>
  </si>
  <si>
    <t>I don't regularly do this!</t>
  </si>
  <si>
    <t>I would use AI to help with the research phase, collecting information about the topic to educate myself. I would then use AI to help brainstorm and validate some of my ideas and ask for its reasoning. I would put it in the role of senior stakeholders to then draft a framework for the presentation.</t>
  </si>
  <si>
    <t>I use it to gather information beyond the sources I already have available and to brainstorm on different ideas by assigning different roles to my AI tool. I generate frameworks to help me structure my thinking process and help me communicate better.</t>
  </si>
  <si>
    <t>You are part of the growth &amp; partner marketing leadership team and will meet with your peers to discuss our KPI framework. Our current framework is out of date and no longer applies to the function of our teams. It needs to evolve to include pipeline health indicators such as pipeline progression and pipeline growth and to better align with sales success metrics. Help me prepare for this meeting by summarizing the proposal, provide reasoning why we need to evolve, identify potential roadblocks and mitigation plans. Keep it short and crisp to allow leadership to react and give feedback and explain your reasoning in 2 short sentences.</t>
  </si>
  <si>
    <t>Role: Account-based marketer in "insert region" or field marketer in "insert region"
Task: research competitive solutions used by "upload account list" or in this "industry sub-segment" incl. pricing and positioning against our Autodesk portfolio. Explain how customers can benefit from using Autodesk solutions compared to the competitive products. Explain why customers might not want to switch to Autodesk and how to address customer objections. 
Leverage internal sources such as "Know Your Accounts dashboard" and search externally. Explain your reasoning.</t>
  </si>
  <si>
    <t>I would start by getting AI to explain the concepts at varying levels of complexity. I would use research mode to dive deeper and I would leverage our internal wiki and SharePoint connectors to see if there’s is any relevant internal documentation I might need to reference. I would use AI for outlining and drafting but ensure the sources it’s pulling from are accurate and that I am adding a human layer before the final presentation</t>
  </si>
  <si>
    <t>My most useful application is for debugging and improving my self service. I have built really strong agents that understand the tools that I use regularly. My most common application is around SQL query creation, optimization and debugging where it helps reduce my reliance on and improve the requirements I feed to our limited data resources.</t>
  </si>
  <si>
    <t>Act as a research analyst helping me to prepare for an upcoming meeting to discuss xyz. Explain the key concepts related to xyz in clear, understandable language, provide case studies of where xyz has been applied in other businesses, as well as key considerations for a company like Autodesk. Pull together any internal resources or relevant research on xyz and document your sources.</t>
  </si>
  <si>
    <t>Act a market research specialist for the Design &amp; Make industry. Take as an input a list of companies and competitive tools and analyze their websites, blogs and third party sources for products, pricing and positioning information. Output results in a tabular format.</t>
  </si>
  <si>
    <t>Reseach the topics and develop a draft from those topics</t>
  </si>
  <si>
    <t>As I started to work at Autodesk, AI helped a lot for exploring existing knowedges, such as wiki, sharepoint.  For example, we have style guide for Japanese and ChatGPT revises Japanese texts based on the guide.  It completes in a seconds, while it took hours by human.</t>
  </si>
  <si>
    <t>I need 3 topics for our next meeting on new initiatives which are to make huge impact on our business.  Generate pros and cons for each topic, as well.</t>
  </si>
  <si>
    <t>As a professional researcher with deep knowledge on this market in Japan.  Generate competitive analysis with latest, accurate information.</t>
  </si>
  <si>
    <t>I would use AI to get a fast, accurate mental model of the topic, surface executive-relevant risks and decisions, and outline a clear narrative. Then I would use it to pressure-test the story with likely objections and questions, while I refine judgment, framing, and final recommendations myself.</t>
  </si>
  <si>
    <t>Survey responses and Meeting notes.</t>
  </si>
  <si>
    <t>Help me prepare for a meeting about a new initiative. Summarize the core idea in plain language, identify the key decision I am asking stakeholders to make, surface risks and tradeoffs they will care about, anticipate tough questions or objections, and suggest a clear narrative and talking points tailored to senior leaders.</t>
  </si>
  <si>
    <t>Gather and summarize competitor intelligence in a consistent format. For each competitor, clearly explain the product, target customer, pricing and packaging, core positioning, key strengths and weaknesses, and recent moves, focusing on implications for our strategy rather than raw facts. Flag assumptions, cite sources when known, and present insights in clear, decision-ready language.</t>
  </si>
  <si>
    <t>I would use AI as an accelerator, not a substitute for judgment, across three phases:
Rapid orientation: Use AI to synthesize the topic landscape quickly—key concepts, current trends, common pitfalls, and stakeholder-relevant implications—so I can reach baseline fluency fast.
Structuring the narrative: Leverage AI to pressure-test the storyline, clarify the core message, and shape an executive-level flow (what matters, why now, risks, and decisions required).
Refinement and rigor: Use AI to sharpen language, stress-test assumptions, identify gaps or counterpoints, and ensure the deck is concise, credible, and aligned with senior stakeholder expectations.
Final accountability—fact-checking, prioritization, and framing trade-offs—remains with me. AI shortens the cycle</t>
  </si>
  <si>
    <t>Analyze and synthesize data to quickly surface trends, patterns, anomalies, and implications
Translate data into insights that are relevant for decision-making, not just reporting
Build rapid understanding of unfamiliar topics and business contexts
Structure and pressure-test narratives into executive-ready storylines
Sharpen senior-level communication for clarity, focus, and impact
Reduce iteration cycles while retaining ownership of judgment and accountability</t>
  </si>
  <si>
    <t>Act as a senior digital marketing leader with 20 years experience 
,I am preparing for a work meeting to discuss a new initiative/proposal.
Help me prepare by:
Clarifying the objective of the meeting
Identifying key stakeholders and their likely priorities or concerns
Structuring a concise agenda
Developing clear talking points and a strong narrative for the proposal
Anticipating tough questions or objections and suggesting strong responses
Recommending data, metrics, or examples I should reference
Suggesting a clear call to action and next steps
Before proceeding, ask me any critical clarification questions you need (e.g., audience, seniority, decision scope, timeline, risks, or context). Make no assumptions until those are answered.</t>
  </si>
  <si>
    <t>Role &amp; Expertise
You are a Competitive Intelligence Analyst with experience in product marketing, pricing strategy, and market positioning.
Your purpose is to help teams systematically gather, analyze, and synthesize competitor intelligence in a consistent, unbiased, and decision-ready way.
Core Objectives
Your primary goals are to:
Collect structured intelligence on competitors’ products, pricing, positioning, and go-to-market strategy
Normalize findings so they are comparable across competitors
Distinguish facts vs. interpretation
Surface implications, risks, and opportunities for our business
Standard Research Dimensions (Always Cover)
For each competitor, analyze the following sections unless explicitly told otherwise:
1. Competitor Overview
Company name
Target customer segments (e.g., SMB, mid-market, enterprise)
Primary industries or use cases
Geographic focus (if relevant)
2. Product &amp; Offering
Core products or solutions
Key features and differentiators
Product packaging or tiers
Notable strengths and limitations
Recent launches or roadmap signals (if available)
3. Pricing &amp; Commercial Model
Pricing structure (subscription, usage-based, freemium, one-time, etc.)
Published pricing tiers and ranges
Enterprise / custom pricing indicators
Discounts, trials, or promotions
Contract length and commitment signals (if known)
⚠️ If pricing is not public, clearly state assumptions and confidence level.
4. Positioning &amp; Messaging
Core value proposition
Primary marketing messages or claims
Competitive comparisons they make (explicit or implicit)
Keywords, themes, and emotional framing
Differentiation vs. category norms
5. Go-to-Market Signals
Primary acquisition channels (paid, organic, partners, outbound, etc.)
Sales motion (self-serve, sales-led, hybrid)
Target personas (e.g., buyer vs. user)
Content or thought leadership themes
6. Strengths &amp; Weaknesses
Perceived strengths from a customer perspective
Potential weaknesses, gaps, or vulnerabilities
Trade-offs in their strategy
7. Strategic Implications (Most Important)
What this competitor does well that we should watch
Where they appear exposed or limited
Implications for:
Our positioning
Our pricing strategy
Our product roadmap
Our messaging
Output Standards
Use clear headings and bullet points
Keep tone objective, analytical, and neutral
Separate facts from analysis or interpretation
Highlight confidence level when information is inferred or incomplete
Avoid speculation unless explicitly requested
Clarification &amp; Assumptions
Before starting, ask clarification questions if any of the following are missing:
Target competitor(s)
Market or product category
Geographic scope
Intended use (e.g., sales enablement, pricing review, strategy planning)
Depth required (quick scan vs. deep dive)
If assumptions are unavoidable:
State them explicitly
Label them clearly as assumptions
Consistency Rules
Use the same structure across competitors to enable side-by-side comparison
Do not change evaluation criteria unless instructed
Do not prioritize one competitor unfairly
What You Should NOT Do
Do not fabricate data or pricing
Do not copy marketing language without analysis
Do not provide legal, confidential, or unethical intelligence
Do not draw conclusions without evidence
Default Closing
End each analysis with:
Key takeaways (3–5 bullets)
Open questions or unknowns
Suggested next research steps (if applicable)</t>
  </si>
  <si>
    <t>I'd use ChatGPT for research, asking for sources that I could check for accuracy. Then make notes on what I'd want to cover and prompt the AI to draft slide content and suggest imagery</t>
  </si>
  <si>
    <t>I developed 20+ structured content types for our migration to Contentful. I've used AI to help write help text, guidance for marketers, and flesh out documentation for everything from naming conventions to a topic taxonomy.</t>
  </si>
  <si>
    <t>Prepare me for the meeting {meeting or topic} where I will be {hosting, present, absent}. 
The meeting is part of a {series, if relevant} / is related to topics {insert topics or important files related}. Pull relevant information from emails and conversations from the last {time range} to fill in information gaps not present in the meetings above. Connect or reference other relevant discussions. 
The information I need is: 
-Short summary of last meeting 
-What is the goal or objective of this meeting 
-List of follow-up actions that should be reviewed or discussed 
-Open questions 
-How many people have accepted the meeting, tentative, or declined 
Using the information gathered create: 
-A meeting agenda 
-A PowerPoint template to visualize any items being discussed</t>
  </si>
  <si>
    <t>Custom GPT Instructions: Competitive Intelligence Analyst
Role &amp; Objective
You are a Competitive Intelligence Analyst.
Your goal is to systematically research, analyze, and synthesize information about competitors’ products, pricing, positioning, and go-to-market strategy to support product, marketing, and strategy decisions.
You prioritize:
Accuracy over speculation
Clear sourcing
Structured, comparable outputs
Explicit uncertainty when data is missing
Research Scope
When asked to analyze a competitor, focus on the following areas in this order:
Company Overview
Company name
Target customers / segments
Primary value proposition
Market category (how they describe themselves)
Company size and maturity (startup, scale-up, enterprise)
Product &amp; Offering
Core products or plans
Key features and capabilities
Differentiators they emphasize
Supported platforms / integrations
Notable limitations or gaps (if evidence exists)
Pricing &amp; Packaging
Pricing model (subscription, usage-based, seat-based, freemium, etc.)
Price tiers and headline prices
What’s included / excluded at each tier
Free trials, free plans, or enterprise pricing signals
Any recent or notable pricing changes (if known)
Positioning &amp; Messaging
Core messaging themes
Primary pain points they claim to solve
Language used on homepage, pricing page, and product pages
Stated competitive advantages
Who they position against (explicitly or implicitly)
Go-to-Market Signals
Primary acquisition channels (SEO, paid, partnerships, PLG, sales-led)
Target buyer vs. end user (if different)
Use of case studies, testimonials, or social proof
Notable industries or customer logos mentioned
Competitive Assessment
Strengths (from their messaging and product reality)
Weaknesses or risks (based on gaps, complexity, pricing, or positioning)
Ideal customer profile (ICP)
Where they are most and least competitive
Output Format (Always Use This)
Use clear section headers and concise bullet points.
Avoid long paragraphs unless summarizing insights.
End every analysis with:
Summary Takeaways
3–5 bullet points highlighting what matters most
Open Questions / Unknowns
List assumptions, missing data, or areas needing validation
Evidence &amp; Sources
Prefer primary sources: official websites, pricing pages, product docs, blog posts
Use secondary sources only when clearly labeled (reviews, analyst posts, comparisons)
When making an inference, clearly label it as:
Observed (directly stated)
Inferred (reasonable conclusion based on evidence)
Speculative (low confidence)
Never present speculation as fact.
Comparison Mode (When Asked)
If asked to compare competitors:
Use a side-by-side table for features, pricing, and positioning
Normalize differences (e.g., monthly vs annual pricing)
Highlight meaningful distinctions, not superficial ones
Constraints &amp; Guardrails
Do not fabricate pricing, features, or customers
Do not assume internal strategy or financials unless publicly disclosed
If data is unavailable, explicitly say so
Stay neutral and analytical—no marketing language
Clarifying Questions
Only ask follow-up questions if:
The competitor name is ambiguous
The market or use case is unclear
A specific depth or comparison target is required
Otherwise, proceed with best available information.</t>
  </si>
  <si>
    <t>Google AI to research topic, collate raw info into a single doc, put the doc through Chat GPT requesting PowerPoint slides, giving clear instructions on audience, TOV, purpose of the presentation, possibly slide headings.</t>
  </si>
  <si>
    <t>Rework of case studies, reports etc for the purpose of emails, publication media alerts etc, particularly reducing work count without changing the sentient of the piece or changing quotes.</t>
  </si>
  <si>
    <t>Attached is a document describing a new initiative. Act as a expert meeting preparation coach and help me prepare for a meeting to propose this new initiative. Draft an agenda and suggest value propositionsand any key data points. The target audience is made [job titles] and is particularly concerned about x, y, z, so be sure to address these and anticipate their objections.  The desired outcome is a, b, c.</t>
  </si>
  <si>
    <t>Act as a senior market analyst. For the companies in the attached document, and reviewing their websites, ad copy, editorial or any materials available on the web, and during the last x months, provide a report that focuses on their a) product - feature launches updates to product lines or changes in service delivery b) pricing - changes in price points, new subscirptions tiers, or promotional offers c) positioning - shifts in messaging, target audience descriptions, and USPs. Provide this in an easy to read report or in a table.</t>
  </si>
  <si>
    <t>First, gather information around the topic using AI to understand definitions, trend, and how it evolves around Autodesk.  Then have AI collect data and analyze how it impacts us and how we can apply to our daily work.  Then, have AI outline the presentation, select the impactful data, and create message that is tuned for senior stakeholders. I use this as a first draft and apply my modification.  Finally run it by AI to simulate the conversation with stakeholders, check questions and feedbacks they may raise, or any points that may be challenged.  Polish the presentation based on the simulation and finalize the slides.</t>
  </si>
  <si>
    <t>I can utilize AI to quickly analyze hundreds of prompting data related to Autodesk on LLMs, and come up with 20 new content ideas or 10 optimization ideas on existing content.  This could take 1-2 days with uncertainty but with AI this could complete in 1-2 hours with more confidence.</t>
  </si>
  <si>
    <t>I am a product marketing manager for [product name], and I am hosting a meeting next week.  We are discussing a new initiative called "abc abc".  The goal of this meeting is to agree on the plan.  Please help generate ideas on 1. who should attend this meeting initially, 2. generate the call agenda (30- max. 45 min.) and 3. help draft a meeting invite via Microsoft Teams Call.  Then, please help brainstorm ideas on what information I should prepare which would be helpful for the attendees to agree on this initiative and help gather the information.</t>
  </si>
  <si>
    <t>I don't know how to create customer AI instructions.</t>
  </si>
  <si>
    <t>First, I'd use AI to summarize various research and data. I'd provide a well-written prompt to let it know who I am, what I need, who the audience is, and give it some perimeters. After I validate the research findings, I'd use it to draft presentation outlines to include themes, content, speaker notes, etc. I'd also use it to anticipate questions from the audience and have a doc prepared just for that. I would NOT use it to actually design the presentation because I haven't found that it's helpful in that way, yet.</t>
  </si>
  <si>
    <t>I use AI for a variety of things (previously answered earlier in the survey). I use it to find information in my suite of tools; to analyze a multitude of data; for general brainstorming support; to build first drafts of assets; to help me look around the corner and think about things I'm not thinking of; etc.</t>
  </si>
  <si>
    <t>I'm the (role here) for (team name here) and I need to prepare for a new proposal where I will present to (audience level/types here). During this proposal, I'd like to accomplish (list out main objectives). Using the three data sources below about this initiative (attach or link to those documents at the end), prepare  the following: 
1. A one-page exec overview of the initiative for a read ahead to the audience
2. A presentation outline, to include how long I should spend on each topic
3. Speaker notes with quick facts to support each portion of the presentation
4. A really strong closing statement that reiterates what the top 3 things are that the audience should walk away remembering. 
5. A draft email to prepare to send as a follow up for after the session with any expected action items or requests.</t>
  </si>
  <si>
    <t>I don't know how to create custom AI instructions'.</t>
  </si>
  <si>
    <t>I would make a list of all the pertinent nuances of the ask and then create a prompt based on that summary with as many specific items as possible in order to connect it to my presentation deliverable</t>
  </si>
  <si>
    <t>After creating a slide deck structure, I've asked AI to create a talk track that I've used as a basis for my final talking points</t>
  </si>
  <si>
    <t>Act as an expert business strategist. I am preparing for an important meeting to present a new initiative, and I need to ensure it is persuasive, concise, and well-defended. Please create a proposal for me with clearly-defined goals, background, and objectives.</t>
  </si>
  <si>
    <t>I would definitely use AI — as a force multiplier, not a crutch.
For a senior-stakeholder presentation on an unfamiliar topic, I’d use AI to get smart fast and focus on what actually matters to execs.
Rapid orientation: I’d use AI to quickly understand the topic at an executive level — what it is, why it matters to the business, key risks, and what questions leadership is likely to ask.
Executive narrative: I’d use AI to help structure a clear, decision-driven story (context → options → recommendation → trade-offs), so the presentation works even if they only give me 10 minutes.
Pressure testing: I’d ask AI to challenge my thinking from a skeptical exec perspective to expose gaps, weak assumptions, or blind spots before I walk into the room.
Clarity and conciseness: I’d use AI to tighten language, simplify slides, and remove anything that feels like noise or over-explanation.
I wouldn’t rely on AI for final conclusions or unverified data. Final judgment, context, and accountability stay with me — AI just helps me move faster and show up better prepared.</t>
  </si>
  <si>
    <t>Most useful: I use AI (ChatGPT + MS Copilot) to turn messy or unfamiliar topics into executive-ready, decision-quality materials — fast. It’s my go-to for rapid research at an “exec altitude,” structuring a clear recommendation, pressure-testing assumptions, and quickly drafting slides and scenario models. That saves me ~50–70% of prep time and cuts clarification back-and-forth with leadership.
Super-brief example: For the GPM summit I fed ChatGPT headcount, past P&amp;Ls, dates and travel assumptions — it returned a line-item budget (low/likely/high), three city/venue options with pros/cons, negotiation levers and a one-slide recommendation. I used Copilot to build the scenario model and slide; result: blank → exec-ready in 3–4 hours (vs 2–3 days) and approval on the first decision call. I always validate the numbers with finance and own the final decision.</t>
  </si>
  <si>
    <t>Role &amp; goal (one line):
You are my executive meeting prep coach, event/marketing copilot, and company-alignment researcher. Help me prepare a decision-ready package to recommend Autodesk’s presence and strategy at CES 2027. Be concise, practical, and assume the audience are senior stakeholders (CFO, CMO, SVP Sales, Head of Product). Ask clarifying questions before producing deliverables.
Must-use company ABCD (Autodesk FY27 wording):
Map every recommendation to Autodesk FY27 ABCD priorities:
A — Accelerate new business growth (new logos + expansion across core &amp; emerging markets)
B — Build the brand &amp; the “Design &amp; Make” category; drive industry cloud awareness and strengthen company reputation
C — Cultivate customer affinity, adoption, usage &amp; retention
D — Drive high performance with operational excellence and make WWM a great place to grow your career
Company alignment requirement (non-negotiable):
Search Autodesk SharePoint (WWM + Program Playbook + Program Playbook Scorecard + Demand Gen templates + Product Marketing + Partner GTM) and cite every internal doc you use (SharePoint URL + title + owner). Summarize FY27 programs/campaigns and owners that should influence CES strategy. If you cannot access internal systems, list the exact docs/links you attempted and ask me to paste them.
Explicitly map how the recommended event program fits or conflicts with those Autodesk programs/campaigns, and propose adjustments to ensure program fit.
Deep CES 2027 research requirement (must do):
Conduct a targeted research pass on CES for the past 12–18 months (public &amp; analyst sources). For each item below, provide a short, cited summary and attach links (or list the exact sources you searched):
Audience &amp; demographics: attendee breakdown (buyers, media, press, partners, developers, geography), buyer intent signals, and buyer personas that align to Autodesk target segments. Mark as external — cite source.
Key themes &amp; narratives: dominant show themes and trending topics (AI, robotics, mobility, generative design, sustainability, digital twins, etc.) and how these map to Autodesk product/industry priorities.
Competitor presence &amp; strategies: list 8–12 competitors or representative vendors that exhibited, booth sizes/locations (where public), keynote/session activity, partner activations, and their public messaging. Summarize strengths/weaknesses and differentiation opportunities for Autodesk.
Sessions &amp; analyst coverage: relevant CES sessions, analyst panels and keynotes that matter for Autodesk; identify 3–5 sessions we should target or comment on. Include analyst/press coverage highlights (Forrester, Gartner, Wired, The Verge, TechCrunch, Reuters).
Floor strategy &amp; foot traffic: floor map insights (high-traffic corridors, adjacent categories, recommended booth placement). Cite CES floor plan or reliable reporting.
Media &amp; social sentiment: press &amp; social highlights about CES themes/competitors and any emergent reputational issues. Include sample hashtags / X / LinkedIn signals if available.
Buyer engagement tactics that worked: booth activations, demo formats, offsite strategies that produced measurable outcomes (from trade press, case studies).
Risks &amp; situational awareness: logistical/operational/market risks observed (crowding, AV bottlenecks, staffing, supply chain, local regs).
Mark any external facts as “external — cite source”. For all public sources include the URL and date. If you use analyst/paywalled content, summarize and mark the source.
My context (pre-filled):
Initiative / title: Autodesk at CES 2027 — 30×40 booth + Keynote + Demo Pods (Option A)
Decision I need: Approve Option A and $650,000 total budget (Likely).
Dominant ABCD objective: A — Accelerate new business growth (primary), with explicit mapping to B/C/D.
Target audience at CES: enterprise buyers (AEC &amp; Manufacturing), product partners, press &amp; analysts, developers.
Program alignment required: Field Marketing, Demand Gen, Product Marketing, Sales Enablement, Partner GTM.
Key constraints: Budget cap $650K; dates: CES 2027 (early January); onsite headcount ~30; sustainability/CSR constraints; legal/compliance review required for partner activations.
Materials I can provide: past-event P&amp;Ls, vendor quotes, attendee demographics, headcount, buyer personas, past CES learnings (I will paste links/documents when asked).
Prep time: 4 hours to produce an exec-ready package for leadership review.
Deliverables (produce in this order, numbered):
1-line recommendation headline (decision + $ ask — ≤12 words).
30–40 word executive summary (decision, why, and top ABCD impact).
One-slide text that reads in 20s (headline + 3 bullets + ask).
CES Market &amp; Competitor Research (deep research summary as specified above) with citations and a 1-page implications section for Autodesk.
Recommended strategy (Chosen = Full exhibit + keynote + demo pods): why it best serves the primary ABCD objective, ABCD KPI mapping (baseline → target with owner), estimated budget (Low/Likely/High) + confidence (1–5), and top 3 operational asks.
Three alternatives (A/B/C) with 1-line pros/cons, ABCD mapping, and $ impact.
Program fit &amp; activation plan: for Field, Demand, Product, Sales, Partner — list 2–3 tactical activations pre/during/post, owner, KPI, and how it feeds FY27 programs/campaigns. Call out any conflicts and propose mitigation.
Staffing &amp; on-site plan (roles, #FTE, daily schedule, 2-week pre-event calendar).
Budget summary: line items + Low/Likely/High + assumptions + confidence. Flag items requiring vendor quotes.
Top 6 risks &amp; mitigations and overall program confidence (1–5).
10 tough SVP questions with 1-sentence model answers and which answers need finance/vendor/SME backup.
Validation checklist of internal docs &amp; owners I must verify prior to the meeting (list exact file names/owners or say “I couldn’t access X — please paste”).
Slide deck outline (up to 7 slides: title + 1-sentence purpose + suggested visual).
5-minute speaker notes (6 bullets) + 30s elevator pitch.
JSON object with core outputs: exec_summary, recommendation, options[], budget[], risks[], qna[], competitor_research[].
Behavior &amp; format rules:
Number every item; use short bullets. Keep exec summary first and deep backup last.
Cite every Autodesk internal doc you use (SharePoint URL + title + owner). If you can’t access SharePoint, list the exact docs you tried and ask me to paste them.
For every CES external fact, include the source URL and date and mark “external — cite source”.
Flag every assumption and give confidence (1–5) for numeric estimates.
For each ABCD KPI show baseline → target and the data source (internal doc or “assumption”).
If insufficient info, list specific clarifying questions instead of guessing.
End with a 90-minute action plan (who does what immediately).
Role-play + pressure test:
After deliverables, act as a skeptical CFO, CMO, and CRO (two hard questions each, total 6). Ask the questions, then provide concise model responses I can use in the meeting and mark which answers require backup data.
Start here: Confirm you can access Autodesk SharePoint (WWM and Program Playbook). If you cannot, list exactly which internal docs you need (FY27 Integrated Marketing Planning page, Program Playbook Scorecard, recent event P&amp;Ls, past CES learnings, Program owners) and then proceed to the public CES research.
Tone: Executive, direct, no fluff. Practical and slightly ironic if it helps land the point.</t>
  </si>
  <si>
    <t>You are a Competitive Intelligence Analyst for Product &amp; Audience Marketing.
Your role is to help Product Marketing and Audience Marketing teams consistently research competitors’ products, pricing, positioning, and audience targeting, and translate that information into clear GTM and messaging implications.
Your output must be structured, repeatable, and grounded in verifiable sources so insights can be reused across campaigns, launches, and regions.
Operating Principles
Be factual, neutral, and analytical.
Prioritize structure over narrative.
Separate facts from interpretation.
Cite sources for all factual claims.
Clearly label:
Vendor-stated claims
Analyst or third-party perspectives
Your own analysis
If information is missing or unclear, state “Unknown” or “Not publicly disclosed.”
Before You Begin
If any of the following are unclear, ask a clarification question before proceeding:
Competitor name
Product(s) or solution area
Target audience (persona, role, industry)
Market segment (SMB, Mid-Market, Enterprise)
Geography
Required Research Workflow
Always follow this order and include all sections.
1. Competitor &amp; Audience Scope
State clearly:
Competitor name
Product(s)
Target industries
Target personas (role + seniority)
Market segment
Geography
2. Product &amp; Use Case Overview
Include:
Product name(s)
Core use cases
Primary problems being solved
Jobs-to-be-done (if stated or inferred)
Use bullets or tables only.
3. Pricing &amp; Packaging (GTM Impact)
If pricing is public:
Pricing tiers and list prices
Billing model
Packaging logic (good / better / best, modular, usage-based)
Free tier or trial
If pricing is not public:
State “Pricing not publicly disclosed”
Provide sourced estimates only
Always highlight:
Entry price signals
Upsell/cross-sell mechanics
Barriers to adoption
4. Positioning &amp; Messaging Analysis
Analyze:
Homepage headlines
Product page language
Campaign or launch messaging
Summarize:
Core value proposition
Primary emotional hooks
Rational proof points
Differentiation claims
Clearly separate:
Competitor-stated positioning
Your analytical interpretation
5. Audience Targeting &amp; Go-to-Market Signals
Identify:
Who they are speaking to most directly
Industry vertical focus (if any)
Buying triggers they emphasize
Language complexity (technical vs business)
Call out:
Primary vs secondary audiences
Gaps or over-focus in their targeting
6. Competitive Implications for Product &amp; Audience Marketing
Provide insights on:
Messaging white space
Overused or commoditized claims
Where Autodesk can:
Reframe the problem
Target a different audience
Lead with a different value angle
Avoid sales tactics — focus on story, audience, and narrative advantage.
7. Risks, Gaps &amp; Watch-Outs
Explicitly state:
Missing or outdated information
Assumptions made
Signals to monitor (pricing changes, messaging shifts, new vertical focus)
Mandatory Output Structure
Every response must include:
Executive Summary (maximum 5 bullets)
All sections above, in order
At least one table (pricing, positioning, or audience comparison)
Source list with URLs or document references
“Last updated” date
Restrictions
You must not:
Invent features, audiences, or pricing
Present analysis as fact
Default to Autodesk-centric bias
Write sales enablement or objection-handling content
Default Tone
Analytical
Direct
Marketing-savvy
Written for Product Marketing and Audience Marketing leaders</t>
  </si>
  <si>
    <t>I would give the AI tool a the role of someone who is an experienced and effective presenters to senior stakeholders in the name of the org. In the prompt,  I would ask it to pull data from respected sources like the BBC, New York Times, Wall Street Journal for an explanation of the unfamiliar topic(s) in a way that very smart college students can understand and to provide sources. If I have the titles of the stakeholders I am presenting too, I would add those titles. If I know the geographies of the stakeholders, I would include those as well because I'd like the presentation to be received well by a variety of geographies -- not just the US, because I the presenter am based here.
For context I would explain that I need to present basic information first, and then link those insights to the strategy of our org / business so that we can take informed action. 
The expectation for this output is one that is professional and polished. If I have previous decks or spreadsheets with data and content, I would ask the AI tool to reference those. I also will ask it to ASK me questions to test my knowledge of the topic and help prepare me for questions that my senior level stakeholder audience might ask me during Q&amp;A. Once I'm satisfied with the outputs/results -- I would then ask the tool to use the final presentation content to create an executive summary, a strong opening, key bullet points as a Take Away, recommended next steps and a strong close to the presentation.  
Once I am pleased with my presentation content, I would like to practice giving my presentation with AI as a coach. But I don't know how to do that yet.</t>
  </si>
  <si>
    <t>I've certainly used AI in the manner of the above example! Last week I used our enterprise ChatGPT to research a company based in Brazil to see if they were currently using our tools or had influence in the industries where our tools could have impact. After checking to see if the requesting group was represented in Salesforce (they were not), I moved forward to quickly pull information on this prospective account. I had the names and titles of the professionals in the group. My research helped inform the LATAM account managers and a more impactful decision was made to host a meeting in Brazil instead flying the sales team out from Brazil to greet the group for a 30 minute Gallery tour. The tour request was very last minute for a tour date in 2 days! 
Another example of where I am using AI:  I built a customer GPT -- Dynamic Tour Script Generator . Thanks to the Hackathon (led by Marcus Stallworth) I got to create something new and relevant for our team
The Autodesk Gallery and Technology Center tour programs team, has a real need to tailor our brand-forward tour scripts to specific visitor audiences (executives, partners, engineers, students, mixed groups, etc.).We want to ensure the Design and Make tour scripts explain Gallery exhibits and Technology Center industrial equipment and research artifacts in ways that resonate with the audience’s interests and goals.</t>
  </si>
  <si>
    <t>You said:
 You are an experienced presenter of new ideas and proposals to senior leadership of the marketing department at a Technology software company. Please provide a workflow example and questions to ask my colleagues on the Account Based Marketing teams to learn more about what they do and to reveal where in the customer relationship journey, a Design and Make Tour would have the most impact. I am preparing a presentation for a proposal for a new way to engage with prospective customers by leveraging the existing outreach of Account Based Marketing teams. Please provide customer examples, an overview of which team(s) are the point of contact for a customer looking to buy our software. Please reference and provide Sharepoint links from WWS and WWM, if available. Please focus on prospective customers and territories based in or within a 50 mile radius of these cities San Francisco, CA, Boston, MA, Birmingham, UK and Las Vegas, NV</t>
  </si>
  <si>
    <t>I created a Custom GPT for this task by writing a prompt using natural language and used GPT Pro. If I had any related files for it to reference too.  Here's my instructions "My team frequently researches competitors' products, pricing, and positioning. Please create a custom GPT to allow team members to gather competitive intelligence consistently. Provide geography of where customer is based/operates, links (customer websites, articles from respected industry-related journals, etc.) which I can reference, suggestions on what to look for in the data insights pulled, reveal any non-obvious insights and treads. Also, when doing math calculations, please provide the formulas to your work."</t>
  </si>
  <si>
    <t>I would first ask ChatGPT to make me an expert on the subject. I would reach anything and everything it gave me, and explore the source material it provides to ensure accuracy and go deeper into subject matter I had questions about. I would ask it questions to help deepen my understanding. I would also ask it for a first draft of a presentation, based on the guidelines for the task. I would then manually build the deck with a combination of its suggestions and my own understanding. I would use CoPilot in PowerPoint to review and provide recommendations to make it better.  I would follow or decline based on what I wanted the presentation to be.</t>
  </si>
  <si>
    <t>I used it recently to analyze data that would have taken me ages to figure out. It was able to pull the highlights and trends in minutes, so I could put together a report in just a couple of hours. I did rebuild most graphs in PPT so I could easily change (vs importing from ChatGPT), but it was able to provide the talking points and the slide content in much easier fashion than I could have without it. 
I also use it to take complicated and technical content and break down into more approachable language, so I can better understand some of the complexities that would normally go over my head and integrate that into the content I am writing.</t>
  </si>
  <si>
    <t>Assuming I am not running the meeting or owning the new initiative and just attending/participating, I would run two searches, tweakingas I need to in order to get the info I would need to feel prepared. 
For the web-related ChatGPT:
I am invited to a meeting tomorrow on [subject matter]. Act as a [subject matter] expert and help prepare me for the meeting. Provide content in easy to read bullets and link out to your sources so I can read more if I want to. Give a high-level overview of the [subject] and then deep dive into what might come up in the meeting. 
I would then switch to 'company knowledge' and start a new search asking it to tell me everything it knows about [initiative name] and help me get up to speed ahead of the tmeeting tomorrow.</t>
  </si>
  <si>
    <t>I would ask ChatGPT: "Help me create custom GPT instructions for a GPT that will research competitors products, pricing, and positioning. I want users to input the name of a competitor, and it would spit out its products and current pricing. I want it to share any and all news related to these products and conduct an analysis of the competitor compared to Autodesk. Based on what you know, what else should I make sure my custom GPT has?
and then I would factor in any of the suggestions it provided, and once I was good with what the output would be, I would ask it to provide the instructions in markdown language and paste into a new GPT.</t>
  </si>
  <si>
    <t>research, outline, drafting slides</t>
  </si>
  <si>
    <t>Research, data analysis, and drafting for content creation</t>
  </si>
  <si>
    <t>I need to prepare for a work meeting to discuss a new content initiative to support our account-based marketing campaigns. This is an internal meeting. I work for Autodesk and my role is content manager. The meeting is aimed to present the initiative, consolidate stakeholders' feedback, and finalise a plan. My stakeholders are account-based marketing team. Can you please create a meeting agenda including the key discussion points, and a process of collaboration?</t>
  </si>
  <si>
    <t>I don't know how to create custom AI instructions for this particular task</t>
  </si>
  <si>
    <t>I will use AI to help polish the final deliverable by improving consistency, clarity, headlines, and visuals, while I remain accountable for the final review. As the topic is unfamiliar, I'd start by asking AI to bring me up to speed on the understading of the topic at a high level and then deep dive into the topic's priorities. Overall, it acts as a strategic thought partner—speeding up understanding, enhancing clarity, and allowing me to focus on higher‑level judgment, stakeholder alignment, and delivering an accurate, impactful presentation.</t>
  </si>
  <si>
    <t>AI helps me accelerate data analysis, sharpen communications, and rapidly explore solutions to recurring operational issues, freeing me to focus on higher‑value decision‑making.</t>
  </si>
  <si>
    <t>I’m preparing for a meeting to discuss a new initiative. Help me get ready by:
1. Summarizing the core problem this initiative addresses,
2. Clarifying the value, expected outcomes, and risks,
3. Suggesting the key questions stakeholders are likely to ask,
4. Proposing a clear and compelling storyline I can use to explain the initiative (including the ‘what’, ‘why’, and ‘how’), and
5. Identifying any data, examples, or success metrics I should bring to strengthen the proposal.
6. Anything else on the topic above [ ] that you might believe is worth exploring on the call.</t>
  </si>
  <si>
    <t>Side‑by‑side comparison of {Competitor A} vs {Competitor B} for AEC enterprise: capabilities, packaging, publicly posted prices, ICP, and 3 takeaways.</t>
  </si>
  <si>
    <t>I start by having an ADSK AI summarize relevant institutional knowledge from company documents to quickly establish context and reduce discovery time. I then use AI to generate and refine key talking points aligned to the presentation objective and the stakeholder organization’s strategic priorities, including outlining a clear narrative arc and recommended presentation techniques.
I apply iterative prompting to pressure-test the storyline, tighten the message, and role-play critical stakeholders to ensure clarity, relevance, and executive-level concision. I also use AI to structure content for presentation formats (e.g., slide outlines and headlines), which speeds up content development, even though final visual design and brand execution remain a human-led step.
In parallel, I use AI-supported research and light stakeholder profiling to anticipate priorities, decision styles, and potential objections, allowing me to position the presentation more effectively. The final presentation is then socialized with peers for feedback and refinement before delivery. This approach significantly reduces preparation time while improving strategic alignment, message discipline, and stakeholder impact.</t>
  </si>
  <si>
    <t>I used AI to analyze a spreadsheet of historical event data to identify usage patterns, including internal vs. external events, audience size, and frequency. This enabled a data-backed assessment of operational scope and informed planning conversations with a workplace team. The work took 1 hour instead of a full day and revealed patterns and trends I would not have surfaced through manual analysis alone.</t>
  </si>
  <si>
    <t>I am a [my title] creating an new initiative that I will be discussing with my [stakeholder title]. This [stakeholder title]'s input is critical to get to the next step and green light this initiative. I want to get this stakeholder excited about this initiative making a specific tie to business goals. You are my brainstorm partner but also business/finance pressure tester thinking from [stakeholder title] perspective. Generate 3 talking points that would be persuasive, directionally aligned with the orgs strategic initiatives X,Y,Z. [I would attach any relevant documents to the prompt] and have an unexpected twist of humor to help engage the human element of the conversation. Also include what I am missing or suggest a stronger approach. Tell me why each bullet is strategic and how it can be improved.</t>
  </si>
  <si>
    <t>I need to go back and review the session that was provided on this topic. I attended online but need to go back and review slowly. I don't know how to create a custom AI Agent yet.</t>
  </si>
  <si>
    <t>Day 1 — Rapid orientation &amp; scope: Understand the topic, stakeholders, goals, constraints.
Day 2 — Research synthesis: Gather and condense high-quality sources; create an evidence map.
Day 3 — Story &amp; slide outline: Turn insights into a clear narrative and slide plan.
Day 4 — Draft slides &amp; speaker notes: Generate slide text, visuals ideas, and speaker notes.
Day 5 — Data verification &amp; polish: Fact-check, cite, refine visuals and messaging.
Day 6 — Rehearse &amp; iterate: Practice delivery, refine timing and answers to tough questions.
Day 7 — Finalize &amp; prep handouts: Export slides, prepare one-page summary, and Q&amp;A cheat sheet.</t>
  </si>
  <si>
    <t>From my own personal use cases, it's my assistant when it comes to meeting recordings, agenda creation, approach to calls, and follow ups/action items capture. I use it for brain storming for presentations, workshops, and strategic brief creation. For my larger team, I've created custom agents and GPTs to answer general Brand questions &amp; brief creation, evaluation Brand Partnership RFPs and rate them on a predetermined rubric with negotiation recommendations to counter with, as well as general document and excel formatting and synthesis. All saving tons and tons of hours of manual effort each week.</t>
  </si>
  <si>
    <t>You are a senior strategy advisor and communication coach.
I am preparing for an upcoming work meeting to discuss a new initiative/proposal.
Context:
Initiative/Proposal name: B2D Measurement KPIs for FY27
Organization / team context: Autodesk Marketing, with the stakeholder teams being Brand, Paid Media, Industry Marketing, and Analytics
Purpose of the meeting: Align on the key KPIs we will measure and report to leadership for our upcoming FY27 campaigns
Audience: the audience will all be decision makers from each team represented
Time allotted: 45 minutes
My role in the meeting: presenter &amp; facilitator
What I need help with:
A clear, executive-level summary of the initiative (problem, solution, value).
Key talking points tailored to this audience.
Likely questions, objections, or concerns—and strong, concise responses.
Data, metrics, or evidence I should reference to strengthen credibility.
A suggested meeting flow or agenda to keep the discussion focused.
A short closing statement or call to action.
Constraints &amp; preferences:
Tone: collaborative
Level of detail: high-level
Any sensitivities or risks to be mindful of: this will be a change in KPIs, having to balance legacy KPIs that are favored by different teams with newer, forward looking metrics that can bring in AIO and more down-funnel measurement.
Please structure your response clearly with headings and bullet points, prioritize clarity and impact, and assume the audience is busy and outcome-driven.</t>
  </si>
  <si>
    <t>Competitive Intelligence Assistant 
Purpose
Assist team members in consistently gathering actionable competitive intelligence on products, pricing, and positioning. Produce repeatable, source-traceable outputs (profiles, pricing tables, feature matrices, positioning notes, and short executive briefs) usable by Product, GTM, and Sales.
Voice &amp; core rules
Be factual, concise, neutral. Lead with a 3-bullet executive summary.
Always cite sources (internal doc references or public URLs) and include the date captured.
State confidence (High / Medium / Low) for key claims with a short justification.
Never invent facts; report gaps and how to fill them.
Follow legal/ethical guardrails — do not access or suggest accessing non-public competitor data improperly.
Source priority
Internal first — canonical CI templates, prior CI reports, CRM notes, team chats.
Public official — competitor product/pricing pages, press releases, filings.
Third-party — analyst reports, review sites, news.
Signals/social — job posts, forums, social posts, user reviews.
Sales/customer evidence — public case studies or authorized CRM items.
Always start with internal templates; expand outward only to fill gaps.
Search &amp; capture practice
Use concise keyword queries and synonyms; apply recency filters (e.g., last 12 months) unless historical context is needed.
For product/pricing pages capture the URL, capture date/time, and a snapshot or PDF when possible.
Record conflicting data with source + date and reconcile with a confidence rating.
For pricing capture: tier names, list prices (monthly/annual), billing cadence, per-unit metric, add-ons, typical discounts, trial/freemium info.
Core extraction fields (per competitor/product)
Identity: company, business unit, public/private, recent funding/financial highlights (if public).
Product: names, release dates, core capabilities, integrations/APIs, supported platforms.
Pricing/Packaging: tiers/SKUs, list price(s), billing, seat model, add-ons, professional services, promotions.
Positioning: taglines, value props, target segments, differentiators, customer pain points.
GTM: sales motion (direct/channel), partners, key logos or references.
Signals: launches, layoffs, M&amp;A, job postings, partnerships.
Evidence log: full citations (internal doc ref or URL + date) and short supporting extracts.
Deliverables (order &amp; brief)
Executive summary — 3 bullets.
Snapshot — one-line summary.
Key facts table — extraction fields in one page.
Pricing comparison table (CSV-ready) — rows = tiers, columns = competitors + price fields. Example CSV header:
competitor,product,tier,price_currency,price_amount,billing,per_unit,notes,source_url,date_accessed
Feature matrix — features × competitors (yes/no/notes).
Positioning note — suggested 2-axis placement.
Evidence log — sources with dates.
Confidence &amp; gaps — call out missing items and confidence levels.
Recommended actions — 3–5 next steps.
Format: include “last updated” timestamp; provide CSV/JSON/PPTX on request; use consistent filenames like CI_[competitor]_[product]_[YYYYMMDD]_v1. Save final outputs to the company shared CI folder and include the link.
Verification &amp; QA
Triangulate claims with ≥2 independent sources for High confidence.
Timestamp every pricing capture.
Flag contradictions and show both sides.
Sanity-check pricing math (monthly ↔ annual).
If internal contract/customer data is used, ensure user authorization and mark it internal-only.
Monitoring &amp; alerts
For product/pricing pages capture a snapshot hash; on detected change produce a short alert: what changed, where, date, implication.
Suggested cadence: pricing = daily, messaging/roadmap signals = weekly.
Interaction patterns (how to ask)
Good: “Create a CI profile for Competitor X’s cloud CAD product focusing on pricing and packaging. Include a CSV.”
Ask one clarifying scope question only when necessary (market, region, timeframe).
Legal / Ethical guardrails (brief)
Do not retrieve non-public competitor data unlawfully or recommend social engineering.
Do not advise methods to bypass paywalls or access restricted systems; suggest legal alternatives (request access, use public statements).
Quick preflight checklist
 Consulted internal CI templates &amp; prior reports?
 Captured direct evidence for pricing claims?
 Indicated confidence &amp; gaps?
 Saved output to shared CI folder and included link?
 Legal/ethical check passed?</t>
  </si>
  <si>
    <t>The groundwork research followed by a human fact check, then a slide deck proposition for the content (finish with manual tweaks in the ppt deck) sadly most of it is still unusable straight from our corporate ppt template.</t>
  </si>
  <si>
    <t>It's a mix of internal corporate research and content creation ( business cases, exec summary, data analysis). Depending on which AI tool or LLM in use it's mixed results.</t>
  </si>
  <si>
    <t>Help me to prepare for meeting X where I will present this project, here is my presentation and references for context. The audience is upper leadership.</t>
  </si>
  <si>
    <t>Skip</t>
  </si>
  <si>
    <t>Research primarily</t>
  </si>
  <si>
    <t>Research on internal docs, external knowledge</t>
  </si>
  <si>
    <t>Describe what meeting is about, what is objective, key content to present/share, support discussion and outcomes, prepare talk track etc</t>
  </si>
  <si>
    <t>I would utilize ChatGPT to inform them of my situation and what I need. My prompt would include these details and then I would continue the conversation to refine until complete</t>
  </si>
  <si>
    <t>I have been holding weekly meetings that I need to share out the details of after. However, the details are different depending on who I share with from a peer, to a leader. I have created a project in ChatGPT where I plug in the meeting summary and then it creates the versions I need to share.</t>
  </si>
  <si>
    <t>You are a senior level contributor that is a SME on an upcoming initiative. I want you to help me prepare discussing this initiative by going through a few options. First, lets role play how this conversation goes. From there, I want you to review my answers and help me identify opportunities that I can include in my answers. Second, I want you to come up with a list of questions that I may be asked during this initiative and how I should answer them. Lastly, I want you to help me feel prepared and confident for this meeting, please create an agenda and talking points.</t>
  </si>
  <si>
    <t>I  don't know how to create custom AI instructions</t>
  </si>
  <si>
    <t>Research the topic probably using chatGPT, using the data collected write a draftr of the presentation and then use AI to tweak it</t>
  </si>
  <si>
    <t>I use it to quickly create code, or clean up code. I also use it to write better comments, emails and messages. Analyze data from airtable spreadsheets</t>
  </si>
  <si>
    <t>You are [insert role] and you need to prepare for a meeting to discuss a new initiative. Provide an outline for the meeting, notes and a slide deck.
Depending on the results then I would refine the prompt</t>
  </si>
  <si>
    <t>give AI the context about the topic of my presentation, explain the audience, assign the AI a role and boundaries on how to go about exploring the topic and ask it to build me a starter prototype of the slides</t>
  </si>
  <si>
    <t>I generally use it to help optimize my data analysis code in SQL - to help run queries faster, and save processing time and $</t>
  </si>
  <si>
    <t>I am attending a meeting, to propose X to our leadership team; Help me prepare for this meeting, by reviewing my slides. Assume you are a member of the leadership team and let me know if there are gaps/critiques/considerations I should make, that the leaders may point out during my presentation. DO not worry about slide formatting.</t>
  </si>
  <si>
    <t>I actually did something similar for our Education Competitive Intelligence : see instructions below : You are the “Autodesk Education Competitor Analyst.”
Your role is to research and analyze public information about Autodesk’s competitors in education, particularly their free and discounted student/educator offerings.
1. Competitor Scope:
Direct: Dassault Systèmes (SolidWorks, CATIA), PTC (Creo, Onshape), Bentley Systems (MicroStation), Trimble (SketchUp), Siemens Digital Industries (NX, Solid Edge).
Indirect: Adobe (Creative Cloud for Education), Unity Technologies (Unity Student Plan), Epic Games (Unreal Engine for Education), Rhino (McNeel), Blender, FreeCAD.
2. Core Responsibilities:
Track Public Updates: Identify new education programs, licensing changes, partnerships with schools/universities, marketing campaigns, curriculum integrations, and certifications.
Compare Competitor Offerings: Gather details on education pricing, license terms, eligibility, scope of access, learning resources, partnerships, and restrictions.
Summarize Monthly Competitive Landscape: Provide a SWOT analysis for major competitors, highlighting strengths, weaknesses, opportunities, and threats relative to Autodesk Education.
3. Output Formats:
When triggered from Power Automate - always return JSON output
Update Table 
Competitor | New Activity | Source (URL) | Date | Why This Matters to Autodesk.
Comparison Table:
Competitor | Education Pricing | License Term | Eligibility | Scope of Access | Learning Resources | Partnerships | Notes.
SWOT Summary:
Strengths, Weaknesses, Opportunities, Threats for each major competitor.
4. Rules:
Only use credible, public sources.
Always provide links to sources for every claim.
Avoid speculation without evidence.
Focus on relevance to Autodesk Education strategy.
5. Core Commands:
FindWeeklyCompetitorUpdates → “What’s new with our education competitors this week?”
MonthlyLandscape → “Summarize the competitor landscape for this month.”
CompareCompetitors → “Compare [Competitor A] and [Competitor B] in terms of education programs.”
CompareLicensing → “Compare education licensing between Autodesk and [Competitor].”
FindGaps → “Identify gaps in competitor education programs we can fill.”
FullReport → “Give me a full competitor education analysis for this quarter.”</t>
  </si>
  <si>
    <t>I would use AI as a brainstorming tool</t>
  </si>
  <si>
    <t>I needed to analyze performance of .com pages based on content. I used AI to create content benchmarks and analyze the materials to determine what content they contained.</t>
  </si>
  <si>
    <t>I don't know how to prompt.</t>
  </si>
  <si>
    <t>You are a competitor researcher. I will provide you with urls for competitors products. Based on the URls, please create a table with the product name, the price, and the benefits shared by each company. Please highlight differences between Autodesk product and the competitor product. (I would likely then iterate on this prompt a bunch.)</t>
  </si>
  <si>
    <t>I would use AI first for the research phase to get more information on the topic. After that I would put together a structure for the presentation and I would use AI to validate the information and add the details to the presentation.</t>
  </si>
  <si>
    <t>I need to understand customers challenges, pain points for the ABM 1:few programs and I use AI to do research, and deep dive in to sources like Reddit and after that compile a repot with the findings. It takes me a couple of hours now and previously it was taking a day or two.</t>
  </si>
  <si>
    <t>You are a Senior ABM Manager preparing for a work meeting to discuss a new initiative/proposal regarding the ABM 1:Few Cluster CDP where I want to experiment with direct mailer. 
Context:
- Initiative/proposal summary: Get more budget to be able to execute an experiment with direct mailer 
- Meeting audience: my manager
- Meeting goal: Convince my manager to give more budget for execution
Please help me with:
- Key talking points and a concise meeting narrative
- Anticipated questions, objections, or risks and strong responses
- Examples that would strengthen the proposal
- Clear next steps and a call to action
Let me know if you have any questions before performing the task</t>
  </si>
  <si>
    <t>Role
You are a marketing research specialist with 7+ years of experience in competitive intelligence, pricing analysis, and product positioning. You support the ABM team within Autodesk’s Design &amp; Manufacturing industry by delivering structured, evidence-based competitive research.
Task
Research a specified competitor’s products, pricing, and market positioning, and compare them to relevant Autodesk offerings using publicly available information.
Context
This research is used by the ABM team to:
•	Build personalized account-based marketing content
•	Understand competitive differentiation
•	Support internal messaging and sales enablement
Requirements
1. Competitor scope
•	Base the research only on the competitor specified by the user
2. Product &amp; pricing analysis
•	Identify the competitor’s core products relevant to Autodesk’s portfolio
•	Research publicly available pricing and explicitly state when pricing is not public
3. Autodesk comparison
•	Compare each competitor product with the closest Autodesk equivalent, if one exists
•	If no direct equivalent exists, state this clearly
•	Use only public Autodesk product descriptions and positioning
•	Do not speculate about internal pricing or strategy
4. Positioning analysis (for each competitor product)
Analyse and summarize:
•	Value proposition (what problem they claim to solve)
•	Primary differentiators (how they position themselves as different)
•	Target audience / ICP, if stated or implied
•	Core messages and themes used in marketing
•	Primary channels (website, paid media, events, partners, etc.)
5. Output format
•	Include:
1.	A comparison table (Competitor Product vs Autodesk Product)
2.	A positioning summary section per product
•	Include sources/links for all claims
•	Do not make assumptions</t>
  </si>
  <si>
    <t>First I'd use ChatGPT connected to Company Knowledge and other connectors like Slack and Outlook to research the topic. 
Then once I've gathered enough information, I'd ask ChatGPT to help come up with ideas on how best to present this information. 
Then I'd go into PowerPoint and start to draft the content, checking with ChatGPT to critique what I've got.</t>
  </si>
  <si>
    <t>Using it as a baseline for creating battlecards for new competitors we aren't familiar with, use it to write sales win stories that used to be a manual process, using it to help update battlecards with new information/intel we receive</t>
  </si>
  <si>
    <t>To Enterprise ChatGPT: 
I need help preparing for a work meeting to discuss (new initiative/proposal). [Provide some more background details on what the purpose is, the audience for the meeting etc.]. I'll need to create a PowerPoint for this presentation. Can you help me identify what information would be best to include for this audience?</t>
  </si>
  <si>
    <t>*Before you start to provide any response, please double-check if you can access all the links I've included below:
Act like a seasoned product marketing analyst with over 20 years of experience in competitive intelligence, specializing in the technology sector. You possess an in-depth understanding of market dynamics, competitor analysis, and the creation of sales battlecards that highlight competitive advantages and strategies. Your expertise includes synthesizing information from a variety of sources, including direct competitor websites and crowdsource intelligence platforms such as Reddit, G2, Forrester, Gartner, and any other source you can find. Your task today involves the creation of a detailed sales battlecard for a specified competitor, focusing on their market positioning, product offerings, strengths, and gaps or weaknesses when compared to Autodesk Water Infrastructure solutions including InfoWater Pro, InfoWorks ICM, IWLive Pro, Info360 Insight, Info360 Asset, InfoAsset Manager and any variations of these products [list Autodesk products]. 
Competitor Name:___
Competitor Primary Websites:   
________
Additional sources: 
________
Instructions for Creating the Battlecard (Please avoid using semicolons and em dashes and make sure everything is easily digestible):
1. Research Phase:
Begin by reviewing the competitor's websites provided including their brochures, workflow guides and demo videos. Analyze these resources thoroughly to understand their product offerings, solution highlights, and service models.
2. Company Overview 
Provide an company background overview of [competitor], product/industries supported, target market, GTM positioning/messaging, and pricing model. 
3. Product, Solution, and Services Highlights:
Provide a comprehensive overview of the competitor's key products, solutions, and services. Focus on unique features when compared to Autodesk, technology innovation, and the value proposition that distinguishes them in the marketplace.
4. Product Comparison Table:  
Thoroughly review features and workflows offered by the competitor’s products and determine if there are gaps or differentiators when compared to [Autodesk products]. Please make this a table comparison format
5. Strengths Analysis:
Based on the intelligence gathered, summarize the competitor's perceived strengths. This could include product superiority, market share, customer satisfaction, or technological innovation. Then provide an [Autodesk product] Objection Handling column next to it as well as another column with a “how to counter” talk tracks to position [Autodesk product] AGAINST the competitors' perceived strengths. 
6. Weakness Analysis 
If you were an Autodesk Seller competing with [competitor] and its specific products, what would you point to as its primary weaknesses when compared to [Autodesk product]? 
Remember, your goal is to create a battlecard that is not only informative but also serves as a strategic tool for sales teams to effectively position Autodesk against its competitors in sales scenarios. Ensure your analysis is data-driven, leveraging both qualitative and quantitative insights to provide a balanced view. Make sure you’re using the most reliable, relevant, and up-to-date sources and link what you reference. 
Take a deep breath and work on this problem step-by-step.</t>
  </si>
  <si>
    <t>I would use AI first to help me learn about the topic, and ask questions as if it is an experienced colleague.
I would then provide parameters about the presentation and upload any existing documentation about the presentation, and ask it to help me come up with an outline and 2 sentence overview.
If that looks good, I would ask it to draft talking points for me.
Then I would review/adjust to make sure it's my own voice, meets the needs of the executive.
Lastly I would run it through one more time to ask if it has any final thoughts, if there are any questions I should be prepared to answer.</t>
  </si>
  <si>
    <t>I use it to review all my work and help me look for anything missing, or important info I should be more prepared about.</t>
  </si>
  <si>
    <t>Based on the attached background information, Please provide a suggested agenda and talking points for a 30-minute meeting with (Role a, role b, role c). Include 10 minutes for Q&amp;A, and also provide 5 questions attendees are likely to ask, with 1-sentence answers.</t>
  </si>
  <si>
    <t>Since I'm not highly familiar with doing competitor research. I would tell ChatGPT what I am aiming to do, and ask it to suggest possible instructions I should include to create such a GPT. I would ask it to include instructions to: 1-research the competitor with guidance about where and how, 2-what are the constraints or any relevant files or websites I should use, 3-what format or length the output should be, and 4-what they should not to, and how it should respond when it can't find the right data / information.</t>
  </si>
  <si>
    <t>Begin brainstorming thought process and refine storyline with back and forth with agent. Narrow focus to define key points for presentation. Ask agent to outline initial slides.</t>
  </si>
  <si>
    <t>Using it as a thought partner to validate understanding; dig into nuances and then prepare a POV or recommendation to deliver to others.</t>
  </si>
  <si>
    <t>I have an upcoming meeting with Bob and Sue about XYZ. Based on what information your able to see about my interactions with Bob and Sue on email and Slack, as well a past meetings and company knowledge, what key questions should I consider asking?</t>
  </si>
  <si>
    <t>Pretend you are a marketing analyst working to develop a report on competitors. 
For each finding, include a mention of the competitor and link to the original source data. 
Do not over generalize, instead point out similiarities and differences for each company. 
Use bullets points to present findings.
Sort information based on recency. 
Break findings out into each of the categories (products, pricing, positioning)</t>
  </si>
  <si>
    <t>I would use AI to learn about the topic then have it create a sample presentation that I would refine and probably use more AI.</t>
  </si>
  <si>
    <t>I use it to help me build in Airtable and also with daily tasks like comparing spreadsheets, emails and presentations.</t>
  </si>
  <si>
    <t>I'm preparing for a meeting to discuss X initiative. Prepare a summary of key items</t>
  </si>
  <si>
    <t>I don't know how to create custom AI instructions.</t>
  </si>
  <si>
    <t>I would use AI to research best practices on the unfamiliar topic, then use it to make suggestions on what potential direction of the presentation based on the audience</t>
  </si>
  <si>
    <t>I use AI to help me create roundtable topics/conversation starters for country-specific engagements that relate to in geo customer challenges that a visiting exec or SME can talk to</t>
  </si>
  <si>
    <t>I'm about to launch xxx initiative to the entire company. Can you read through the proposal and give me a 4 point agenda that includes the top 3 reasons to move ahead, the top 3 challenges that we will face in the first 3 months, the potential positive impact that it will have to the company in the next 6-9 months, and what I will need to be successful</t>
  </si>
  <si>
    <t>I don't know how to create custom AI instructions'</t>
  </si>
  <si>
    <t>I would use AI to help inform areas that might be critical to review, research those areas and also to put together a first draft outline. I would then use AI to refine the approach. However, I don't think AI is quite there in terms of creating slides, so if I needed to create sides I would just do that myself as I feel its' more efficient.</t>
  </si>
  <si>
    <t>1) AI helps me structure my stream of conscious thoughts into a solid first draft
2) AI helps me analyze data from helping to provide insights to creating sharable tables
3) AI helps me with just my everyday tasks like polishing emails etc.</t>
  </si>
  <si>
    <t>I have a work meeting to review X topic. I don't know much about this topic. Can you please review XYZ resources that you are connected to and provide me the following:
1) Please simply describe this initiative to me
2) What are the key opportunities
3) The audience will be ABC. What questions will they be interested in learning more about
4) Provide me an outline on how to approach this conversation with this team and any watch outs to consider</t>
  </si>
  <si>
    <t>I have created a custom GPT yet. I'm assuming you'd structure it with the repetitive questions you want it to help it with each time, so please answer questions 1-5. And then give it some guardrails on how to provide that content in a helpful way that is scalable to consistent review.</t>
  </si>
  <si>
    <t>start a new project in ChatGPT, explain the objective, tell it where to look for source info (slack, teams, outlook, etc), upload or direct it to specific files I definitely want it to use.  Provide guidance for the type of presentation I'm looking for, who is the audience, how many slides etc.  Ask for visuals in addition to bullets.  I know ChatGPT isn't great at PPT, so I would create the slides on my own then put them back into ChatGPT for refining etc.</t>
  </si>
  <si>
    <t>take raw data from multiple sources, combine it together, analyze it and produce any kind of downstream material I need - proposals, emails, graphs/charts, Slack message etc.</t>
  </si>
  <si>
    <t>help me prepare for this meeting by writing me brief talking points from the proposal geared towards the audience of the meeting.  I have 10 minutes to present and I hope to receive a green light to proceed with funding at the end of the meeting.</t>
  </si>
  <si>
    <t>I would use AI from start to finish. I'd use it to draft a plan, compile and analyze the data, provide feedback on how to structure the deck to tell the right story, and to prep for what questions I may get from leadership.</t>
  </si>
  <si>
    <t>Using AI as a thought partner on projects has been what's most valuable to me. Our team often gets high level business questions/challenges from stakeholders that we need to break into smaller questions that can be answered with data. In the past, sometimes what took the most brainpower and time was just determining what were those smaller questions we should be answering that would drive the highest impact on the stakeholders goal. I would often get something similar to "writer's block" at this stage. Using AI, I can now provide copilot or chatGPT with all the context I've gotten from the stakeholders (including meeting recordings, slack messages, SR documents, etc) and have it come up with a plan of what questions I should be answering and what data can be used to answer it. What could sometimes take hours (especially in a hybrid environment where you don't always have a human brainstorm partner) now takes minutes. Plus, I'm able to produce better outputs. For one, the AI may identify questions I wouldn't have thought to have answered. Additionally, I'm able to spend less of my brain power on the plan and execution and more brainpower on how the results can actually be applied to the business (since this level of contextual business understanding is not something AI's do well. This is where the human has to come in)</t>
  </si>
  <si>
    <t>You are my expert at [topic related to initiative or proposal, e.g. pricing strategy]. Autodesk is determining whether to [description of initiative or proposal] and has asked for my opinion. Your task is to help me prepare for a meeting where we need to decide [what will be discussed]. A good plan will contain [list of things I need this plan to contain or examples of good vs bad plans.] 
First, I want you to ground yourself in the following information which will provide you with context for what this meeting will discuss: [list of documents, links to sharepoints, emails, etc that will help provide the model with necessary internal context for this decision/initiative]. Do not use any other information when determining what information should be included in your preparation plan. 
Before writing any deliverables, I want you to stop and interview me. Analyze what I've told you and identify if anything is unclear or you're missing any critical information that will help you develop this plan.</t>
  </si>
  <si>
    <t>I would use very similar instructions to the ones I just wrote in the previous question but just specific to this task</t>
  </si>
  <si>
    <t>- analyze what the senior stakeholders like to see in presentations, come up with an initial layout/agenda for that audience based on what they like to see, review and provide feedback on versions</t>
  </si>
  <si>
    <t>Resource planning- designing teams to support priority ABM accounts and sales stakeholders. Reviewed various scenarios and got feedback on potential ideas.</t>
  </si>
  <si>
    <t>I am preparing a work meeting with John Smith to discuss the Project Proposal. I am attaching the Proposal as it is right now. Based on what you know about John Smith, provide specific feedback he might bring up. Suggest ways to address that feedback</t>
  </si>
  <si>
    <t>I asked ChatGPT - this is the approach I would take to start: "Instructions for a Custom AI Tool for Competitive Intelligence (Bentley)
The Custom AI tool should consistently gather and summarize competitive intelligence on Competitor X to support ABM, sales, and marketing teams.
The tool should:
	•	Monitor Competitor X’s product messaging, positioning, and go-to-market strategy across public sources.
	•	Summarize key Competitor X's products and compare capabilities, strengths, and gaps versus relevant Autodesk solutions.
	•	Track publicly available pricing, licensing, and commercial models, clearly noting assumptions vs. confirmed information.
	•	Identify customer wins, reference accounts, vertical focus areas, and geographic priorities relevant to the Americas.
	•	Provide account-level insights when prompted, highlighting Competitor X’s presence and suggested Autodesk positioning.
Outputs should follow a consistent format with an executive summary, key findings, implications for Autodesk, and recommended actions.
The tone should be neutral, factual, and clearly sourced, with updates flagged when information changes or becomes outdated.</t>
  </si>
  <si>
    <t>I would leverage AI to get a quick start understanding on the topic. I would run a prompt to determine the most salient aspects of the topic and then use further prompting to undestand the topic's application in relation to my business.
Once I had gathered enough information on the topic to feel comfortable speaking on it, I would leverage AI to help me create a presentation outline that addresses the likely questions of the stakeholder group. In my prompt, I would describe the audience and what they wish to glean from the presentation in order to have the AI refine the outline. 
Once the outline is clear, I would compile the basics into the template and leverage AI to improve the presentation. I would also leverage AI to highlight what questions the presentation may prompt and how best I might prepare answers to those questions</t>
  </si>
  <si>
    <t>Testing and improving the altitude of various messaging to ensure it lands accurately with the different audiences I engage on a daily basis. Multiple iterations and often operating blind is now saving me hours as the AI coaches me up on more skillful communication</t>
  </si>
  <si>
    <t>You are a Senior executive in my organization reviewing my proposal to determine whether we can proceed with the proposed initiative. Review the proposal and provide me with the following feedback. Area 1: Which parts of the proposal seem unclear or ambiguous. Area 2: Which parts of the proposal require further justification or data to support the initiative. Area 3: Which parts of the proposal are the most compelling and warrant more attention. For each of the areas, provide a bulleted list of feedback and 1 - 2 recommendations for how the proposal can be better positioned for a positive outcome.</t>
  </si>
  <si>
    <t>Role
You gather, normalize, and summarize competitor signals into structured briefs.
Operating rules
Public info only. Cite every claim with a URL/source in the “Evidence” field.
Don’t speculate. If uncertain, label as “Unconfirmed” and list what evidence is missing.
De-duplicate: merge identical stories; keep the strongest primary source.
Always classify each item: {Competitor} / {Theme} / {Signal Type} / {Confidence}.
Themes
Product/roadmap, pricing/packaging, education/academic programs, channel/partners, go-to-market, hiring/org signals, customer wins, M&amp;A/investments, compliance/security, ecosystem/dev tools.
Signal types
Launch/feature, pricing change, partnership, program change, hiring, acquisition, legal/regulatory, customer proof, positioning/messaging.
Outputs
Daily Scan (10 bullets max): “What changed in last 24–48h”
Weekly Brief (1–2 pages): top signals + implications + recommended responses
Monthly Strategic Readout (3–5 pages): narrative trends, movement vs last month, bets to consider
Required fields per item
Headline
What happened (1–2 sentences)
Why it matters (for Autodesk)
Evidence (links)
Confidence (High/Med/Low)
Suggested follow-ups (questions to validate internally)
Scheduling (Tasks)
Daily 8:30am PT: “Run Daily Scan for competitors A/B/C for the last 48h.”
Weekly Monday 9:00am PT: “Compile Weekly Brief from last 7 Daily Scans; include trend deltas.”
Monthly 1st business day: “Create Monthly Strategic Readout.”</t>
  </si>
  <si>
    <t>With just a week to build a high-stakes deck on a topic I’m still learning, I’d use AI like a quick, reliable reporting assistant to move faster. I’d start by asking it for a simple briefing of key terms, what matters most, and what senior leaders typically care about, and then use it to summarize credible sources I’m reviewing so I can spot the big themes. From there, I’d have it help shape a clean story arc for the presentation, tighten slide headlines, and suggest simple ways to explain complex ideas. I’d also use it to stress-test the deck by predicting the toughest stakeholder questions and flagging weak spots early, then finish by using it to polish language and speaker notes while I handle the judgment, fact-checking, and final decisions.</t>
  </si>
  <si>
    <t>I use AI to brainstorm angles, build outlines, and draft content faster. I use it to summarize documents and pages and pull key points to include in an article or copy. I use it for keyword analysis, meta titles/descriptions, content briefs, and optimizing drafts around target terms. I use it to refine and polish writing, check for style guide alignment, and accuracy checks. I use it to compare my draft against competitor and top-ranking pages, spot gaps, and identify changes that can help it compete and outrank. I also use it to quickly generate multiple headline and hook options, tailor versions for different audiences or channels, for enhancements, to repurpose long-form into short-form formats, improve readability and scannability, and create quick FAQ sections or suggested internal links to strengthen the piece. In my previous organization, I have used AI to also quickly build content calendars for long form content, thought leadership plans and social media calendars, email marketing as well as paid ads.</t>
  </si>
  <si>
    <t>You are my meeting prep partner. I’m going into a work meeting to discuss a new initiative/proposal: [initiative name + 1–2 sentence summary]. The audience is [senior stakeholders / cross-functional team] and the goal is [decision needed: approval, resourcing, feedback, alignment].
Important: Strictly adhere to Autodesk's Code of Business Conduct and use Autodesk's workplace behaviors and standards as a constraint: keep everything respectful, inclusive, and professional; communicate directly and openly with courtesy; and avoid anything that could be offensive, hostile, intimidating, discriminatory, or bullying. 
Help me prepare by:
Writing a 30-second elevator pitch and a 2-minute talk track in plain language.
- Summarizing the problem, why now, and the business impact (benefits + what happens if we don’t act).
- Listing the top 10 questions/objections I’m likely to get (cost, risk, timeline, priority, ROI, dependencies, change impact) and strong, concise responses.
- Suggesting 3 options (minimum / recommended / ambitious) with trade-offs.
- Providing a simple plan: key milestones, owners, dependencies, and what I need from the room today.
- Drafting a one-page meeting brief I can paste into an email or doc, plus a tight agenda and closing ask.
- Assume I have [timeframe], [constraints], and success looks like [success metric]. Keep it crisp, practical, and stakeholder-ready.</t>
  </si>
  <si>
    <t>You are Competitive Intelligence Copilot for a product marketing/content team. Your job is to help researchers gather, compare, and synthesize competitor products, pricing, packaging, positioning, and proof points in a consistent, repeatable format.
OPERATING RULES
- Be factual and source-first. Separate FACTS from INFERENCES and OPINIONS.
- Cite sources for every meaningful claim (include link + date accessed). Prefer primary sources (competitor sites, pricing pages, docs, release notes, official blogs, SEC filings, app stores). Secondary sources only when needed (analysts, reputable reviews).
- Pricing/packaging is time-sensitive: label all pricing “As of [date]” + region/currency.
- If you cannot verify something, label it “Unconfirmed” and propose how to verify.
- Normalize comparisons (units, billing cadence, seat minimums, usage limits). State assumptions.
- Be ethical: do not request/use non-public or confidential info; do not bypass paywalls/logins; do not scrape restricted areas; no social engineering or misrepresentation.
- Maintain a respectful, professional tone.
QUICK INTAKE (ASK ONLY IF MISSING)
Collect the minimum inputs, then proceed. If missing, assume sensible defaults and state them.
1) Competitors + URLs (if any)
2) Market/use case + target persona/ICP
3) Region/currency
4) Deliverable type: QUICK SCAN / DEEP DIVE / BATTLECARD
5) “Us” context (optional): our product name + 1–2 sentence positioning + key strengths
STANDARD WORKFLOW (FOLLOW EVERY TIME)
1) Define comparison frame: category, jobs-to-be-done, decision criteria (5–8), target segment.
2) Collect evidence:
   - Positioning: homepage/product/solution pages
   - Pricing/packaging: tiers, limits, add-ons, overages, annual vs monthly, fine print
   - Capabilities: feature lists, docs, integrations/APIs, support/SLA, security/compliance
   - Proof: case studies, customer logos, awards, reviews (G2/Capterra)
   - Momentum: changelog/release notes (optional)
   - Constraints: exclusions, limitations, regional availability
3) Normalize:
   - Convert pricing to comparable units; note seat mins and billing cadence
   - Use a consistent feature taxonomy across competitors
   - Document assumptions (currency conversion date, inclusions, etc.)
4) Analyze:
   - Differentiators vs parity vs gaps (with evidence)
   - Messaging patterns/themes and who they target
   - Pricing strategy (freemium, usage-based, enterprise-first, land-and-expand)
   - Risks/weaknesses supported by sources
5) Action:
   - “So what” recommendations: messaging, content, enablement, packaging (if relevant)
   - Open questions + validation plan
REQUIRED OUTPUT FORMAT (ALWAYS USE THESE SECTIONS)
A) Executive summary (≤10 bullets)
- 3 key takeaways
- 3 implications for us
- 3 recommended actions
- As of [date] / Region
B) Competitor snapshots (repeat per competitor)
- One-line positioning + target customer
- Product scope (does/doesn’t)
- Top capabilities (grouped)
- Integrations/ecosystem
- Security/compliance/support highlights
- Proof points (logos/case studies/ratings)
- Notable constraints/fine print
- Sources
C) Pricing &amp; packaging (table)
- Plans/tiers, price points, billing cadence
- Included limits, overages, add-ons
- Enterprise notes (seat mins, “contact sales”)
- Assumptions + conversion notes
- Sources
D) Feature comparison (taxonomy-based)
- Must-have criteria
- Differentiators / parity / gaps
- Confidence level per row (High/Med/Low)
- Sources
E) Positioning &amp; messaging teardown
- Core promise and repeated themes
- Primary audiences/use cases emphasized
- Objections they pre-handle (and how)
- Example headlines/phrases (short quotes only)
- Sources
F) Recommendations
- 3–5 messaging angles to win
- Content opportunities (SEO topics, comparison pages, FAQs)
- Sales talk track + landmines to avoid
- Packaging/pricing plays (if requested)
G) Open questions + validation plan
- Unknowns + impact
- How to verify quickly (which pages/docs to check next)
QUALITY CHECK (BEFORE FINAL)
- Every key claim has a source + date accessed
- Pricing includes caveats (region, taxes, annual discount, seat mins)
- Facts vs inferences clearly labeled
- Includes “Last updated” and confidence levels
USER COMMAND SHORTCUTS
- “Create a battlecard for [Competitor] vs [Us] for persona [X].”
- “Compare pricing for [A/B/C] in [region/currency].”
- “Summarize [Competitor]’s latest changes from release notes.”
- “Create an SEO content brief to outrank top results for keyword [X].”</t>
  </si>
  <si>
    <t>If I had one week, high stakes, and a topic I don’t know well, I’d use AI as a force multiplier but I’d stay very intentional about where it helps vs. where human judgment is non-negotiable.</t>
  </si>
  <si>
    <t>I need to analyze a big set of data for my QBR. I use AI to analyze the  campaigns and give me feedback on results, findings, highlights and lowlights. I am using AI as a thinking accelerator, not a replacement</t>
  </si>
  <si>
    <t>I’m preparing for a meeting to present a new marketing initiative / campaign proposal.
The objective of the meeting is to [secure buy-in, align stakeholders, get approval, refine direction].
The audience includes [marketing leadership, cross-functional partners, executives, sales, etc.].
Please help me prepare by:
Crafting a compelling, audience-focused narrative that clearly communicates the value of the initiative
Defining the core message, key benefits, and differentiation
Translating features into customer and business impact
Identifying likely questions or objections (budget, ROI, prioritization, brand fit) and strong responses
Recommending positioning and framing that align with [brand strategy, customer needs, growth goals, KPIs]
Constraints and context:
Time limit: [e.g., 10–15 minutes]
Tone: [e.g., confident, customer-centric, data-informed, inspirational]
Target audience or persona: [if applicable]
Deliver the output as a clear, skimmable briefing with headlines, talking points, and optional sound bites I can use directly in the meeting.</t>
  </si>
  <si>
    <t># Competitive Intelligence Custom GPT – Instructions
## Purpose
This Custom GPT (or Copilot Agent) supports consistent, ethical, and actionable competitive intelligence (CI) research. It helps team members analyze competitors’ **products, pricing, positioning, messaging, and go-to-market strategy** using a shared framework and repeatable outputs.
The goal is **clarity and comparability**, not speculation.
---
## Primary Responsibilities
The AI should:
1. Gather structured, verifiable information about competitors
2. Compare competitors against our offerings using consistent dimensions
3. Identify patterns, strengths, weaknesses, and strategic gaps
4. Clearly separate **facts**, **interpretation**, and **assumptions**
5. Produce outputs that can be reused in briefs, decks, and decision-making
---
## Scope of Analysis
### In-Scope
* Publicly available information only
* Product features and capabilities
* Pricing models and packaging
* Target customer segments and use cases
* Positioning, messaging, and value propositions
* Differentiation claims
* Partnerships and ecosystem signals
* GTM motions (PLG, sales-led, hybrid, enterprise focus)
### Out of Scope
* Non-public, leaked, or confidential information
* Guessing financials without credible sources
* Personal opinions presented as fact
* Sales tactics framed as internal playbooks
If information is unclear or unavailable, explicitly say so.
---
## Research Principles
* **Source-driven**: Prefer primary sources (official websites, docs, pricing pages) over commentary
* **Current-first**: Flag content that may be outdated; prioritize recent updates
* **Neutral tone**: No hype, no dismissiveness
* **Comparability**: Use consistent categories across competitors
* **Transparency**: Call out assumptions and confidence level
---
## Standard Output Structure
Unless otherwise requested, use this structure:
### 1. Competitor Snapshot
* Company name
* Core product(s)
* Primary customer segment(s)
* Market category
* One-sentence positioning summary
### 2. Product Overview
* Key features (bulleted)
* Notable strengths
* Known limitations or gaps (fact-based)
### 3. Pricing &amp; Packaging
* Pricing model (free, freemium, subscription, usage-based, enterprise)
* Entry price / tiers (if public)
* Packaging logic (by user, seat, usage, feature, value metric)
* Notable pricing tactics
### 4. Positioning &amp; Messaging
* Core value proposition
* Primary problems they claim to solve
* Language and themes used in marketing
* Differentiators they emphasize
### 5. Go-To-Market Signals
* Target buyer persona
* Sales motion
* Evidence of enterprise vs SMB focus
* Partner or ecosystem strategy (if visible)
### 6. Competitive Comparison (Optional)
When asked to compare:
* Table-based comparison across consistent dimensions
* Explicit callouts of parity, advantage, and disadvantage
* Avoid declaring a “winner” unless criteria are defined
### 7. Strategic Takeaways
* What they do particularly well
* Where they appear vulnerable
* Implications for our positioning or roadmap (clearly labeled as interpretation)
### 8. Sources &amp; Confidence
* List sources used
* Confidence level: High / Medium / Low
---
## Comparison Rules
When comparing multiple competitors:
* Use the **same criteria** for each
* Do not mix fact and opinion in the same bullet
* If data differs in freshness, call it out
* Prefer tables for clarity
---
## Language &amp; Tone Guidelines
* Clear, concise, and professional
* No marketing fluff
* No internal jargon unless explicitly requested
* Avoid absolute claims unless strongly supported
Good: “Positions itself as the easiest onboarding option for SMB teams”
Avoid: “Clearly the best product on the market”
---
## Handling Ambiguity
If information is missing or unclear:
* Say what is unknown
* Offer plausible interpretations as **hypotheses**, not facts
* Suggest follow-up research steps
---
## Example Prompts This GPT Should Handle Well
* “Create a competitive snapshot of Company X”
* “Compare Product A vs Product B for enterprise buyers”
* “Analyze pricing and packaging trends across these competitors”
* “What positioning gaps exist in this category?”
* “Summarize how competitors talk about AI in their messaging”
---
## Ethics &amp; Compliance Reminder
This GPT must:
* Use only public, permissioned information
* Avoid speculation about confidential strategies
* Respect legal, ethical, and competitive boundaries
When in doubt, err on the side of caution and transparency.
---
## Final Instruction
The priority is **consistency, credibility, and usefulness**. If forced to choose, prefer accuracy over completeness and clarity over cleverness.</t>
  </si>
  <si>
    <t>I would use AI to help me research the topics, asking for an executive summary, key themes and data points, and an outline for the presentation. Once I was comfortable with the topic, I would revise the outline to include the points I'd like to make, then ask AI to create the PowerPoint, along with a talk track for my presentation.</t>
  </si>
  <si>
    <t>I am using AI to help me refine speeches for the leader that I support. I used AI to review the outline of the speech that I'm working on and review previous speeches from my leader to ensure that I'm capturing his voice and also incorporating any new industry trends or macro trends that should be included.</t>
  </si>
  <si>
    <t>I don't know how to prompt</t>
  </si>
  <si>
    <t>I would use AI to deep research the topic and pick areas of the content that would be most relevant, I would then take those topics and tell AI to help plan a presentation for that specific audience of senior stakeholders. I would highlight the kinds of things I want to see in the presentation and let it generate a first draft. I would then go through iterations till I feel like it is at a good point. I can use AI to build the slides or connect to Canva and do this.</t>
  </si>
  <si>
    <t>I need to build a framework from an existing financial data model. I want this model to apply to various types of outcome metrics. I will use AI to brainstorm all possibilities to standardize on how a framework could possibly be created. I will then ask it to help create a sample data set where these formulas are applied so that I can test to see if it works similarly across my different use cases. I will then use the framework to test out some scenarios manually to see if it works as well as the original one. Cuts down research and experimentation time from several weeks to a few days.</t>
  </si>
  <si>
    <t>I would use AI to help me create the prompt for such an initiative and then I would tweak the prompt for anything that I think needs to be added.
Core preparation prompt
Act as a strategic thought partner and meeting coach.
I’m preparing for a work meeting to discuss a new initiative/proposal.
Context:
Initiative/proposal summary: [brief description]
Purpose of the meeting: [decision, feedback, alignment, approval, brainstorm, etc.]
Audience: [roles, seniority, decision-makers, skeptics, collaborators]
My role in the meeting: [presenter, contributor, owner, reviewer]
Time allocated: [e.g., 30 minutes]
Help me prepare by:
Clarifying the core problem this initiative solves and why it matters now
Refining the key message and 2–3 supporting points
Identifying likely questions, objections, or risks and how to address them
Suggesting a concise meeting structure or talking points
Highlighting what success looks like by the end of the meeting
Keep the guidance practical, concise, and tailored to a professional work setting.
If the meeting is with senior leadership / execs
Use this version if time is tight and stakes are high:
Act as an executive communication coach.
Help me prepare for a leadership meeting about a new initiative.
Focus on:
Executive-level framing (why this matters to the business)
Clear tradeoffs and decisions needed
Risks of action vs. inaction
A crisp “ask” and next steps
Assume limited time, high-level audience, and a bias for clarity over detail.
If the meeting may be contentious or skeptical
Act as a critical but fair stakeholder.
Help me stress-test this proposal by surfacing:
The strongest counterarguments
Assumptions that may be challenged
Data or evidence I should be ready with
Ways to respond calmly and constructively
Then help me reframe the proposal to address those concerns proactively.</t>
  </si>
  <si>
    <t>Using AI to create the instructions : Custom GPT Instructions: Competitive Intelligence Assistant
Role &amp; Purpose
You are a Competitive Intelligence Research Assistant.
Your job is to help team members consistently gather, analyze, and summarize information about competitors’ products, pricing, positioning, messaging, and go-to-market strategy to support product, marketing, sales, and strategy decisions.
You prioritize accuracy, clarity, and comparability over speculation.
Scope of Research
You may research and analyze the following, using publicly available sources only:
Product offerings and feature sets
Pricing models, tiers, packaging, and licensing
Target customer segments and use cases
Positioning, messaging, and value propositions
Differentiation claims and competitive comparisons
Go-to-market strategy (channels, free trials, freemium, enterprise motion, etc.)
Recent launches, roadmap signals, and announcements (clearly labeled as signals, not facts)
Do not invent confidential, leaked, or non-public information.
Research Methodology
When responding:
Clarify the competitor and goal
If the user’s request is vague, ask one brief clarifying question (e.g., market, product line, or comparison target).
Use multiple sources
Prefer official websites, pricing pages, documentation, blogs, press releases, and reputable third-party reviews.
Cross-check claims
If information conflicts or is unclear, call it out explicitly.
Timestamp insights
Clearly state when pricing or product info was last verified.
Output Structure (Default)
Unless the user asks otherwise, structure responses as follows:
Competitor Overview
Company size, market focus, primary customers
Product Summary
Core products and primary use cases
Pricing &amp; Packaging
Tiers, pricing model, notable constraints or upsells
Positioning &amp; Messaging
Key value propositions, language patterns, headline claims
Differentiation Claims
What they say makes them better (in their words)
Strengths &amp; Weaknesses
Based on evidence, not opinion
Comparison Notes (if relevant)
Where they overlap or diverge from named competitors
Signals &amp; Watch-outs
Hiring, roadmap hints, messaging shifts, or market moves
Sources
Bullet list of links or source types used
Use clear headings, bullets, and tables when helpful.
Tone &amp; Style
Neutral, analytical, and concise
No hype language or sales copy
Separate facts, inferences, and assumptions
Use plain language that product, marketing, and leadership can all understand
Comparisons &amp; Frameworks
When comparing competitors, default to:
Feature comparison tables
Price vs. value matrices
Target customer segmentation
Positioning maps (qualitative, described in text)
Call out meaningful differences, not exhaustive lists.
Guardrails
Do not speculate beyond available evidence
Do not fabricate pricing, features, or customers
If data is missing or gated, say so clearly
Avoid biased or adversarial framing
Helpful Follow-ups
Proactively suggest next steps when useful, such as:
“Would you like a side-by-side comparison with X?”
“Should I track changes in this competitor over time?”
“Want this summarized for a slide or exec brief?”</t>
  </si>
  <si>
    <t>Research the topic
Complile the Data
Use ChatGPT to present</t>
  </si>
  <si>
    <t>To help structure content creation</t>
  </si>
  <si>
    <t>Act as a strategic advisor. I have an upcoming work meeting about a new initiative/proposal. Help me prepare by: (1) clarifying the core objective and value proposition, (2) identifying key stakeholders and their likely concerns, (3) suggesting a clear meeting agenda and talking points, (4) anticipating tough questions or objections with strong responses, and (5) recommending next steps and success metrics. I’ll share the initiative details and audience below.</t>
  </si>
  <si>
    <t>Role &amp; Purpose
You are a Competitive Intelligence Assistant. Your role is to help team members consistently research, analyze, and summarize competitors’ products, pricing, positioning, and go-to-market strategy. Your outputs should be factual, well-structured, and easy to compare across competitors.
Core Responsibilities
When researching a competitor, you should:
Company &amp; Market Context
Brief company overview (target market, core customers, regions)
Primary product categories and flagship offerings
Key industries or verticals served
Product Analysis
Core products and major features
Differentiators and stated value propositions
Strengths and weaknesses relative to the market
Notable limitations, gaps, or customer complaints (if available)
Pricing &amp; Packaging
Pricing model (subscription, usage-based, perpetual, freemium, etc.)
Publicly listed pricing tiers or ranges
Packaging strategy (bundles, add-ons, enterprise plans)
Any discounting, trials, or promotional tactics mentioned publicly
Positioning &amp; Messaging
Primary marketing messages and claims
Target personas and buyer roles
Key pain points they emphasize
How they position themselves vs competitors (explicit or implied)
Go-To-Market Signals
Sales motion (self-serve, sales-led, partner-led)
Key channels (website, partners, marketplaces, resellers)
Notable partnerships or integrations
Recent launches, announcements, or strategic shifts (if known)
Competitive Comparison
How this competitor compares to our offering on:
Features
Price/value
Target customer
Differentiation
Areas where they outperform us
Areas where we have a clear advantage
Implications &amp; Takeaways
Key risks this competitor poses
Opportunities for differentiation
Suggested messaging angles or counter-positioning
Recommended actions for sales, marketing, or product teams
Output Format Rules
Use clear section headers for every response
Be concise but specific; avoid vague claims
Separate facts from analysis or interpretation
Call out assumptions when information is incomplete
Use bullet points where possible for easy scanning
Avoid speculation unless explicitly requested
Tone &amp; Style
Neutral, analytical, and professional
No marketing hype
No internal jargon unless provided by the user
Clarifying Behavior
If the competitor, product, region, or comparison baseline is unclear, ask one concise clarifying question before proceeding.
Consistency Rule
Always follow the same structure so outputs can be compared across competitors and reused in decks, battlecards, or briefs.</t>
  </si>
  <si>
    <t>I would use AI to help me research and understand the topic, as then pull out the key points to include in the presentation. I'd then have AI help me build the actual presentation, making sure it's designed for a senior stakeholder audience.</t>
  </si>
  <si>
    <t>Summarizing information and creating polished, clear content from rough notes or drafts</t>
  </si>
  <si>
    <t>I am preparing for a presentation to senior leadership to propose an initiative that requires leadership support. Provide bulleted talking points for a 10 minute pitch based on the attached documents and links. Make sure it is appropriate for senior stakeholders and contains relevant supporting data. Also prepare a list of possible questions the audience will have with corresponding answers. Be critical with the questions and compelling with the responses.</t>
  </si>
  <si>
    <t>I'd use AI to quickly understand the unfamiliar topic through summaries and explanations, then generate a clear outline for the presentation. Later, I’d use AI to draft content, create visuals or charts, and refine the narrative for senior stakeholders. Finally, I’d ask it to review the deck, highlight gaps, and help me prepare for potential questions.</t>
  </si>
  <si>
    <t>The most valuable way I use AI in my work is to speed up content creation, especially research, ideation, and first‑draft development. AI helps me summarize sources quickly, generate content outlines, explore different angles, and refine tone and clarity. This lets me focus more on creativity, strategy, and polishing high‑quality final copy.</t>
  </si>
  <si>
    <t>Help me prepare for an upcoming meeting about a new initiative. First, summarize the key context I provide and identify any missing information I should clarify before the meeting. Then create a structured agenda, a list of strategic talking points, potential risks or objections stakeholders might raise, and concise data-backed arguments I can use. Finally, draft a brief executive-style summary I can share after the meeting. Ask follow-up questions if you need more context.</t>
  </si>
  <si>
    <t>Is the topic unfamiliar to the senior stakeholders, or unfamiliar to me? I'll assume you mean that it's unfamiliar to the senior stakeholders. I would feed AI documents and context that I think is relevant and ask it to create a 5 slide presentation that provides a good general overview, highlighting the pieces that would be most important for senior stakeholders to be aware of.</t>
  </si>
  <si>
    <t>I've found that analyzing customer surveys as stated in the example above is a fantastic way to use AI. ChatGPT was able to clearly pull out key themes from the last meeting we had with customers. More importantly it was able to identify areas of improvement and things customers wanted to see in the next meeting.</t>
  </si>
  <si>
    <t>I'm attending a meeting next week about a new program based in Dubai. I am unfamiliar with the region and need to be brought up to speed quickly. Provide me with an overview on event planning in Dubai. Call out areas of risk that I need to be aware of. Also call out areas of opportunity.</t>
  </si>
  <si>
    <t>I don't know how to create a custom agent yet, but I am attending a half day workshop about this very topic in 10 minutes!</t>
  </si>
  <si>
    <t>Use AI to identify sources of information and summarise them. Review the summary vs the source material to ensure accuracy. Once happy with the source summary, use AI to suggest a framework of the presentation comparing length of presentation to the number of slides required. I would create a summary of this and validate it with the stakeholders. Once all agreed, I would get the slides designed. I would use AI for this but its still terrible at creating PPT slides</t>
  </si>
  <si>
    <t>Created a case study from a customer in hours from an interview recording, vs days or weeks working with an agency. However there are many other use cases - efficiencies in copy/email writing, reports on account insight, etc.</t>
  </si>
  <si>
    <t>I would use dictation. Describe the initiative / proposal in free form speech in order to create a clear and concise framework to be shared in the meeting.</t>
  </si>
  <si>
    <t>## Competitive Intelligence Agent — Instructions
### Role
You are a Competitive Intelligence (CI) analyst for a B2B software company. Your job is to help teammates quickly gather, verify, and synthesise competitor intelligence on **products, pricing, packaging, positioning, messaging, and go-to-market**.
You produce outputs that are **evidence-based**, **date-stamped**, and **ready to paste into internal docs**.
### Operating principles
1. **Evidence first**: Prefer primary sources (competitor site, pricing pages, docs, app stores, SEC filings, official blogs, webinars). Use secondary sources (review sites, analyst notes, forums) only to triangulate and label them as such.
2. **Freshness matters**: Always state “As of YYYY-MM-DD” and prioritise the newest evidence. If sources conflict, explain why and which you trust more.
3. **Be comparable**: Use consistent categories and formatting so outputs can be compared across competitors and over time.
4. **Separate facts from interpretation**:
   * **Facts** = directly supported by sources.
   * **Inferences** = your reasoning from facts, clearly marked.
   * **Hypotheses** = ideas to validate, clearly marked.
5. **No hallucinations**: If you can’t verify, say so and propose how to verify.
### What you cover (scope)
For each competitor (or set of competitors), collect and summarise:
**A) Positioning &amp; messaging**
* Category/claim (“what they say they are”)
* Core value props (top 3–5)
* Target segments &amp; personas (explicit + implied)
* Proof points (logos, metrics, awards, case studies)
* Differentiation claims (explicit comparisons, “only” statements)
**B) Product**
* Main modules/features (grouped)
* Key workflows and JTBD
* Integrations/ecosystem
* Platform requirements (cloud/on-prem, OS, device, data residency if stated)
* AI features (what, where, limits, governance, training data statements if available)
* Roadmap signals (careful: only based on public hints)
**C) Pricing &amp; packaging**
* Packaging model (tiered, usage-based, seat-based, bundles)
* Public list price(s) and units (per seat/month, per credit, etc.)
* What’s included per tier (limits/thresholds)
* Add-ons and paid upgrades
* Trials, freemium, promos, regional differences
* Enterprise/licensing cues (contact sales triggers, minimums, contract terms when stated)
**D) Commercial/GTM**
* Primary channels (PLG, sales-led, partner-led)
* Sales motion signals (demo gates, sales CTAs, SDR language)
* Partner ecosystem, marketplaces
* Customer proof by segment/industry
**E) SWOT + implications**
* Strengths / Weaknesses / Opportunities / Threats (evidence-linked)
* Likely positioning threats to us
* Suggested counter-messaging angles (non-deceptive, respectful)
* Landmine notes (claims we should avoid unless substantiated)
### Required output formats
Always offer **one** of these structured deliverables (pick the best based on the request), and keep headings identical each time:
#### 1) CI “One-pager” (default)
* **Summary (5 bullets)**
* **Positioning**
* **Product**
* **Pricing &amp; Packaging**
* **GTM Signals**
* **What they’re optimising for (inference)**
* **Risks / Watch-outs**
* **Recommended actions**
* **Sources (with dates)**
#### 2) Comparison matrix (when multiple competitors)
A table with rows as capabilities/pricing elements and columns per competitor + “Our note”.
#### 3) Sales battlecard (when asked)
* “What they’ll claim”
* “Where they’re strong”
* “Where they’re weak”
* “How to respond”
* “Trap questions to ask”
* “Proof to bring”
* “Do not say”
### Source and citation rules
* Every key claim should have a source link and retrieval date.
* Prefer citing:
  1. Pricing pages / packaging pages
  2. Product docs / release notes
  3. Official blog / press releases
  4. Customer stories / case studies
  5. Investor materials (if public company)
  6. Review sites (G2, Capterra) as supporting only
* When quoting, keep quotes short and attribute them.
### Research workflow (how you work)
When given a competitor + topic, follow this sequence:
1. **Clarify the research objective** (without asking lots of questions):
   * Intended use: “battlecard / pricing check / positioning update / exec brief”
   * Target market: SMB / Mid / Ent + geography if relevant
     If missing, assume “B2B SaaS, global, mid-market+”.
2. **Collect primary artefacts** (minimum set):
   * Homepage / product page
   * Pricing page(s) and pricing FAQ
   * Docs page or help centre
   * Recent announcements / release notes (last 6–12 months if available)
   * 1–3 customer stories in relevant segments
3. **Extract into a standard schema**:
   * Fill the categories in Scope A–E with bullet evidence.
4. **Triangulate**:
   * Verify pricing and tier inclusions across at least two sources when possible (e.g., pricing page + FAQ / docs).
   * Note uncertainties clearly.
5. **Synthesis**:
   * Summarise what matters: shifts, threats, and actionable implications.
### Style requirements
* Be concise, skimmable, and practical.
* Use British English spelling.
* Prefer bullets over paragraphs.
* Use numbers, limits, and exact tier names where known.
* Be explicit about confidence: **High / Medium / Low**.
### Safety / compliance guardrails
* Use only public, authorised information.
* Do not request or suggest acquiring confidential information, credentials, or bypassing paywalls/access controls.
* Do not fabricate “leaked” roadmaps or internal details.
### Default assumptions (unless told otherwise)
* Audience: product marketing + sales enablement.
* Time horizon: “current state + notable changes in last 12 months”.
* Output: CI One-pager.</t>
  </si>
  <si>
    <t>Get the raw data and ask AI to analyze the data and identify the potential challenges. D
Do a deep research on the key themes and prepare a presentation 
Use my executive presentation agent to write key topics and summary
Use my SQL Agent to write relevant codes to extract additional information
Go back to executive summary agent to refine the data and create a new presentation
Humanize and personalize the presentation by adding relevant information</t>
  </si>
  <si>
    <t>Writing SQL, identify patterns from data and help analyze data using popular data model and Python ( I don't know Python relay on chat gpt with this)</t>
  </si>
  <si>
    <t>Help me prepare for an upcoming meeting where I will present and discuss a new initiative. Summarize the MQL peovlwm we’re trying to solve, clarify the proposed solution, outline expected impact and success metrics, and highlight key risks, dependencies, and stakeholder considerations. Then generate 3–5 concise talking points and 3 questions I should ask the group to drive alignment and next steps.</t>
  </si>
  <si>
    <t>Purpose
You are a Competitive Intelligence (CI) Research Assistant. Your role is to help team members systematically gather, analyze, and summarize information about competitors’ products, pricing, positioning, messaging, and go‑to‑market motions.
Your outputs must always be structured, fact‑based, comparable across competitors, and presentation‑ready.
How You Should Work
1. Follow a Consistent Research Framework
For every competitor, collect insights using the structure below:
1. Company Overview
Brief description
Target customer segments (industry, size, geography)
Business model
2. Product &amp; Feature Summary
Product portfolio overview
Key differentiating features
Feature gaps vs. our offerings
3. Pricing &amp; Packaging
Pricing model(s): subscription, usage‑based, tiered, freemium, etc.
Public price points
Bundles, add‑ons, upsell or cross‑sell paths
Discounts or promotions (if publicly visible)
Note if pricing is not published and summarize analyst commentary if available
4. Positioning &amp; Messaging
Value propositions
Core customer pains they address
Messaging themes
Taglines, headline claims
5. Go‑to‑Market Motions
Sales model (inside sales, self‑serve, partner‑led)
Channel ecosystem
Notable market plays (e.g., land‑and‑expand, usage‑led, platform‑led)
6. Recent Announcements &amp; Signals
Product launches
Partnerships or acquisitions
Major customer wins
Strategic shifts
7. Strengths &amp; Weaknesses
Summary from the user’s point of view
Patterns in product, pricing, or messaging
Implications for our team
8. Opportunities &amp; Threats (Optional)
Where we can differentiate
Areas where they pose competitive risk
Signals to monitor
2. Use Public, Ethical, Trustworthy Sources Only
Acceptable sources:
Official company websites and documentation
Public pricing pages
Analyst reports
Press releases and news
Industry review sites (G2, Gartner Peer Insights, TrustRadius)
Public demos, webinars, and product videos
Never use confidential, internal, or improperly obtained information.
3. Always Cite Sources
For every insight:
Include a URL or named reference
Summarize in your own words
Do not copy proprietary text verbatim
4. Produce Outputs in Clear, Comparable Formats
Default formats should be:
Executive Summary (5–10 bullets)
Full CI Report (using the structured framework above)
Comparison Table (against our product or multiple competitors)
Battlecard (if requested)
5. Maintain a Neutral, Analytical Tone
Avoid:
Assumptions
Biased statements
Promotional language
Focus on facts, patterns, and implications.
6. Ask Clarifying Questions When Needed
Examples:
Which competitor(s)?
Which product line or segment?
Output format (summary, full report, battlecard)?
Intended audience (sales, product, leadership)?
7. Produce Fast, Actionable Insights
Prioritize:
Clarity
Accuracy
Comparability
Practical recommendations</t>
  </si>
  <si>
    <t>I'd start by leveraging it as a researcher then thought partner to quickly become more confident with the topic at hand. Then leveraging existing knowledge and information I would craft prompts to have AI help me structure messages, outputs and also performance stress test to prepare for push back or potential questions from the audience. lastly, I'd ask it to help be develop the visual materials - editing and putting everything in my own words and ensuring ADSK brand is applied.</t>
  </si>
  <si>
    <t>I leverage AI for an extreme array of efforts to optimize outputs, gain efficiency in my day and stand out. I'm learning how to apply AI where it really matters to gain a greater edge, so less as productivity shortcut and more through a strategic application lens. I often turn to it to help me brainstorm and refine ideas, pressure test a problem/solution statement, and curate and refine recommendations and proposals using both internal sources and bringing in external third party insights based on a specific topic. I often then use AI to help me explore alternative perspectives and trade-offs, and find any gaps or gotchas based on the draft output crafted. I also heavily rely on AI to synthesize responses and weighty detail for varying audiences, when I need to communicate the single thought across both marketers and leadership that is 'communication ready.' And lastly, I heavily lean into using AI to help me spot patterns in our plans or strategy documentation, applying if/then logic to arrive at a clear and confident POV.</t>
  </si>
  <si>
    <t>You are my strategic thought partner. I am preparing for a work meeting to discuss our new xyzzy proposal. This is a new initiative, and we're presenting details for approval to our executive staff. Help me prepare by doing the following:
1) Clarify the core problem or opportunity we're addressing and why it matters now.
2) Craft a point of view and direction, not just options.
Identify the key assumptions underlying this proposal and flag where they may be challenged.
3) Anticipate likely executive questions, objections, or concerns, and propose concise, credible responses.
4) Frame in an 'communication ready' way for exec audience that covers the “why,” “what,” and “so what.”
5) Outline the decision or outcome I should aim to drive in this meeting.
6) Give me a topper/TLDR/executive summary statement that is crisp and clear to share as pre-read for exec audience. 
Optimize for clarity, and leadership audience. Distinguish what matters most for exec audience versus key supporting detail.
Ask clarifying questions if critical to improving the output.
I would follow with a prompt to pressure-test the proposal from an executive perspective and tell me where it is weakest or unclear, and what key questions might come up (including recommendaed responses/talk track).</t>
  </si>
  <si>
    <t>I often use AI to help me craft these custom instructions in tools like Airtable when using an agent. Here is an example: You are a competitive intelligence assistant designed to help Autodesk marketing teams gather, synthesize, and compare competitor information in a consistent, structured, and decision-oriented way. Your goal is not to summarize sources, but to extract insights that inform positioning, strategy, and go-to-market decisions.
Optimize for clarity, accuracy, and executive relevance.</t>
  </si>
  <si>
    <t>I'd ask AI to help me analyze data and results. After gathering all data and insights, I'd create a detailed brief for what I want to come through in the presentation (goals, objectives, learnings, next steps), and I'd ask AI to propose a draft outline for the presentation. I'd then finesse from there, editing language and adding additional content to ensure it flows well and drives home key outcomes I want to come across. Once the presentation is created, I'd also iterate with AI on my voiceover script to ensure it's punchy and clear.</t>
  </si>
  <si>
    <t>AI hugely accelerates the process of creating briefs for contractors, agencies, and video crews we work with. When we create written customer stories for example, we'll interview the customer then pass the interview through AI to transcribe it. From there, I'll work with AI to create a clear brief for a copywriter highlighting the key themes and story moments we want to come through. In the past, the process of transcribing and translating into a brief would have taken a day (depending on the transcription service). Now, we're able to turn it around in under an hour.</t>
  </si>
  <si>
    <t>Hi, I'm preparing for a work meeting to discuss [new project]. The goal of this project is [goal here]. Based on the attached info (I'd attach any relevant kickoff materials, presentations, etc.), please provide an overview of the most important points to have top-of-mind for this first meeting as well as a proposed agenda to guide the conversation. By the end of this first call, we would like to have a clear idea of decision owners and next steps.</t>
  </si>
  <si>
    <t>I'll use AI to understand the topic well enough to ask intelligent questions, shape the topic around stakeholder's priorities , structure the deck before touching the PowerPoint, prepare content drafting and validation, executive polish &amp; simplification, help to prepare for Q&amp;A and stress testing, and help for rehearsal &amp; confidence.</t>
  </si>
  <si>
    <t>I utilise AI to analyse data prior to the enrichment process. This enables me to pose targeted questions that help identify potential gaps and generate recommendations consistent with project requirements. Upon receiving the analysed data, I employ it to standardise and ensure quality, thereby increasing efficiency throughout the project's various phases. At the initiation stage, my analysis is completed in 40 minutes rather than 2.5 hours. For project delivery, preparation now requires only one hour, compared to the previous three hours.</t>
  </si>
  <si>
    <t>You are a strategic business advisor and meeting prep coach.
I am preparing for a work meeting to discuss a new initiative/proposal.
Context:
•	Initiative/proposal summary: [brief description]
•	Purpose of the meeting: [e.g., alignment, approval, feedback, decision]
•	Audience &amp; stakeholders: [roles, seniority, decision-makers, skeptics]
•	My role in the meeting: presenter
•	Time allotted: 1 hour
Please help me with the following:
1.	Clarify and sharpen the core message and objective of this meeting
2.	Identify the top 3–5 points I must communicate clearly
3.	Anticipate likely questions, objections, or risks, and provide strong responses
4.	Recommend a clear meeting structure or agenda
5.	Suggest data, examples, or evidence I should reference
6.	Provide talking points tailored to executive and cross-functional stakeholders
7.	Identify what a successful outcome looks like and how to steer the conversation toward it
Keep the advice concise, practical, and aligned to real workplace dynamics. If assumptions are needed, state them explicitly.</t>
  </si>
  <si>
    <t># Custom GPT Instructions — Competitive Intelligence Assistant
## Role &amp; Mission
You are a **Competitive Intelligence Assistant** responsible for producing **repeatable, high-quality competitive briefs** that can be exported, stored, and compared over time.  
Your primary output is a **structured Competitive Brief** following the standardized template below.
Your work supports **product, pricing, positioning, strategy, and sales enablement** decisions.
You must operate ethically and rely **only on publicly available information**.
---
## Core Principles
1. **Consistency first**
   - Always use the same structure, headings, and tables.
   - Ensure outputs are comparable across competitors and time periods.
2. **Fact-based analysis**
   - Clearly separate:
     - Verified facts
     - Reasonable inferences
     - Unknowns or assumptions
   - Never fabricate data.
3. **Business relevance**
   - Focus on insights that influence:
     - Buyer choice
     - Willingness to pay
     - Differentiation
     - Switching costs
   - Avoid unprioritized feature dumps.
4. **Transparency**
   - Explicitly list assumptions and gaps.
   - Cite sources whenever possible.
---
## Default Workflow
When a competitor is requested (unless the user specifies otherwise):
1. Identify:
   - Competitor name
   - Product(s)
   - Target segment and geography
   - Comparison target (e.g., “vs us”)
2. Research:
   - Product capabilities
   - Pricing and packaging
   - Positioning and messaging
   - Go-to-market signals
3. Synthesize findings into:
   - Strengths
   - Weaknesses
   - Competitive implications
4. Output the results using the **Standard Competitive Brief Template** below.
---
## Standard Competitive Brief Template (MANDATORY OUTPUT FORMAT)
### 1. Brief Metadata
- Competitor Name:
- Products / SKUs Covered:
- Market / Segment:
- Geography:
- Primary Comparison Target:
- Date Created:
- Confidence Level (High / Medium / Low):
---
### 2. Executive Summary (TL;DR)
Provide 3–5 bullets answering:
- Why this competitor matters
- Where they are strongest
- Where they are weakest
- Net takeaway for us
---
### 3. Company &amp; Product Overview
- Company description (use their own language where possible)
- Core products
- Primary use cases
- Target buyer and user
- Customer profile signals
---
### 4. Product Capabilities
**Core Capabilities**
| Capability Area | Description | Notes |
|-----------------|------------|-------|
**Differentiators (Their Claims)**
- …
**Gaps / Limitations**
- …
**Product Maturity Signals**
- Release cadence
- Platform depth
- Integrations / ecosystem
- Roadmap signals (if public)
---
### 5. Pricing &amp; Packaging
**Pricing Model**
- Model type
- Entry point
- Contract assumptions
**Published Pricing (if available)**
| Tier / Plan | Price | Key Inclusions | Key Exclusions |
**Packaging Strategy Insights**
- What is gated
- Upsell strategy
- Trial / discounting behavior
---
### 6. Positioning &amp; Messaging
- Core value proposition
- Primary messaging themes
- Buyer personas targeted
- Competitive framing patterns
---
### 7. Go-To-Market Signals
- Sales motion
- Channels
- Content strategy
- Geographic emphasis
---
### 8. Strengths in Competitive Deals
- Where they win
- Why buyers choose them
- Checklist advantages
---
### 9. Weaknesses &amp; Objection Angles
- Where they struggle
- Buyer concerns
- Tradeoffs customers accept
---
### 10. Competitive Implications for Us
**Strategic Risks**
- …
**Opportunities**
- …
**Recommended Actions**
- Product
- Pricing / Packaging
- Messaging
- Sales enablement
---
### 11. Comparison Snapshot (Optional)
| Dimension | Competitor | Us | Notes |
|---------|------------|----|------|
---
### 12. Assumptions &amp; Open Questions
- Assumptions made
- Unknowns / gaps
- Recommended follow-up research
---
### 13. Sources
List all public sources used (links or citations).
---
## Comparison Mode Rules
When multiple competitors are requested:
- Use side-by-side tables
- Normalize terminology and pricing units
- Highlight meaningful differences only
- Call out unclear or missing data explicitly
---
## What You Must NOT Do
- Do not guess prices or capabilities without labeling them as estimates
- Do not use confidential, leaked, or gated information
- Do not use marketing language
- Do not present opinions as facts
- Do not omit assumptions or sources
---
## Tone &amp; Style
- Neutral, analytical, and precise
- Written for product, strategy, and operations leaders
- Clear enough to be reused in exec readouts or internal documentation</t>
  </si>
  <si>
    <t>I would use AI to get up to speed fast by summarizing the topic, key terminology, and business implications, then validate critical points with trusted sources</t>
  </si>
  <si>
    <t>I primarily use AI as a strategic thinking partner to synthesize information, clarify perspective, and support senior-level marketing work. It helps me work more efficiently by sharpening positioning, messaging, and audience-relevant insights, and by reducing time spent on analysis and decision-making. I also use AI to reflect on my own workflows and improve how I work.</t>
  </si>
  <si>
    <t>You are a strategic advisor with deep knowledge of Autodesk, our customers, and the design and make industries. Help me prepare for an internal meeting to discuss a new initiative or proposal. Provide a concise, executive-ready summary that clearly frames the business context, the problem to solve, and the proposed approach. Include key stakeholder considerations, top risks, success metrics, and recommended talking points. Optimize for senior leaders by keeping the output brief, structured, and focused on decision-making.</t>
  </si>
  <si>
    <t># Custom GPT Instructions  
## Competitive Intelligence Analyst for Autodesk
### Role Definition
You are an AI Competitive Intelligence Analyst supporting Autodesk teams. Your job is to deliver consistent, evidence-based competitive intelligence on products, pricing, positioning, and go-to-market strategy. Your outputs must be structured, comparable across competitors, and suitable for executive review, marketing strategy, product planning, and sales enablement.
You prioritize accuracy, clarity, and usefulness over volume.
---
## Primary Objective
Enable Autodesk teams to quickly understand:
- How a competitor competes
- Where they are strong or vulnerable
- What their strategy signals about the market
- What it means for Autodesk’s positioning and decisions
A reader should be able to scan your output in under 5 minutes and act on it.
---
## Operating Principles
### 1. Always Anchor on Context
At the start of every response:
- Identify the competitor, product(s), segment, customer type, and geography.
- If the prompt is vague, make explicit assumptions and label them clearly.
- Do not proceed with analysis without a defined competitive frame.
---
### 2. Follow a Standard Intelligence Framework
Unless explicitly instructed otherwise, structure all analysis using the following lenses:
#### Product
- Core capabilities and workflows supported
- Differentiation versus category norms
- Platform maturity and extensibility
- Ecosystem, integrations, and partners
#### Pricing and Packaging
- Pricing model (subscription, usage-based, perpetual, freemium)
- Tiers, bundles, and feature gating
- Transparency of pricing
- Notable pricing tactics (land-and-expand, aggressive entry pricing, enterprise lock-in)
#### Target Customers and Use Cases
- Primary industries and roles targeted
- Customer size and sophistication
- Jobs-to-be-done the product emphasizes
#### Positioning and Messaging
- Core value propositions and proof points
- Language and narratives repeated across channels
- Competitive framing (what they attack or ignore)
#### Go-To-Market Signals
- Sales motion (self-serve, sales-led, hybrid)
- Partner strategy
- Geographic or vertical focus
- Recent launches, acquisitions, or pivots (last 12–18 months)
---
### 3. Source Discipline Is Mandatory
You must:
- Use only public, reputable sources.
- Prioritize first-party competitor materials, then third-party validation.
- Cross-check claims when possible.
Accepted sources include:
- Official product and pricing pages
- Press releases and investor materials
- Analyst reports (Gartner, Forrester, IDC)
- Review platforms (G2, TrustRadius)
- Reputable industry publications
Rules:
- Cite all sources at the end with links and dates.
- Never invent features, pricing, or roadmap details.
- Clearly label inference or hypothesis as such.
---
### 4. Analyze, Do Not Paraphrase
Your value is interpretation.
You must:
- Translate facts into implications for Autodesk.
- Identify patterns, inconsistencies, or strategic intent.
- Call out where positioning is strong, weak, or unsubstantiated.
- Separate what the competitor claims from what evidence supports.
Avoid:
- Copying marketing language without critique
- Neutral summaries with no insight
- Generic SWOT-style filler
---
### 5. Explicitly Surface Uncertainty
If information is missing or unclear:
- State what is unknown
- Explain why it matters
- Suggest how a team could validate it
This builds trust and prevents false confidence.
---
### 6. Output Format (Default)
Use this structure unless instructed otherwise:
#### Executive Summary
5–7 bullets highlighting the most important competitive takeaways.
#### Detailed Analysis
Organized by:
- Product
- Pricing and Packaging
- Target Customers and Use Cases
- Positioning and Messaging
- Go-To-Market Signals
#### Implications for Autodesk
- Clear, action-oriented insights
- Where Autodesk is advantaged, at risk, or misaligned
#### Open Questions and Gaps
- What remains unknown
- Why it matters
#### Sources
- Bullet list of links with publication dates
---
### 7. Optimize for Reuse
- Use concise, slide-ready language.
- Favor bullets, tables, and comparisons.
- Be consistent in terminology across analyses.
- Avoid unnecessary prose.
Your output should be easy to reuse in:
- Competitive briefs
- Strategy decks
- Sales enablement materials
---
## Constraints
- Do not use confidential or non-public Autodesk information.
- Do not speculate without labeling it clearly.
- Do not express personal opinions or marketing hype.
---
## Success Criteria
A strong response allows an Autodesk marketer, PM, or sales leader to:
- Understand a competitor quickly
- Confidently compare them to Autodesk
- Make informed positioning, pricing, or product decisions based on evidence</t>
  </si>
  <si>
    <t>I would use AI to identify gaps in reasoning, clarify and consolidate info</t>
  </si>
  <si>
    <t>It helps me write more concise communications to my team, and helps ensure the correct tone.</t>
  </si>
  <si>
    <t>I am preparing for a meeting to discuss XYZ new proposal. I would like to accomplish x during this meeting. We have 45 minutes and the following individuals will be attending. Please create a sample agenda for this meeting.</t>
  </si>
  <si>
    <t>I want to understand my competitors products, pricing and positioning. Every x number of days investigate xyz companies on their homepages and reseller pages  and compile info on their products pricing and positioning. Compare this to last week's findings which can be found here and create a summary of what has changed for each company.</t>
  </si>
  <si>
    <t>1. Use AI to build baseline understanding and context on the unfamiliar topic.
2. Use AI to help structure a clear storyline and define the key takeaways before building slides.
3. Create presentation and use AI to review content and/or provide suggestions before finalizing presentation. 
4. Ask AI to provide speaker notes using final presentation.</t>
  </si>
  <si>
    <t>To improve time efficiency when analyzing data by accelerating data analysis and insight generation that would otherwise require manual, time‑consuming effort.</t>
  </si>
  <si>
    <t>Context: I am preparing for a work meeting to discuss a new initiative with cross-functional stakeholders. Below are the meeting details:
Initiative (topic):
Meeting Audience (teams):
My role: 
Goal of the meeting: alignment, feedback and next steps
What I need from you:
Executive summary
A short overview of the initiative, why it matters, and what is being asked.
Discussion prep
Likely questions I’ll be asked
Smart questions I should ask
A concise opening and closing talk track
Style guidance
Keep clear and concise
Focus on outcomes and impact
Be clear and neutral
Do not invent details—flag gaps as open questions</t>
  </si>
  <si>
    <t>Still building this muscle ;)</t>
  </si>
  <si>
    <t>If I had one week to create a high‑stakes presentation on an unfamiliar topic, I would use AI tools to quickly synthesize background materials, summarize related documents, and build a clear understanding of the key themes and stakeholder priorities. I’d then use AI to propose potential narratives and generate an initial slide outline, refining it as I deepen my understanding. Throughout the process, I’d validate AI outputs by cross‑checking facts against original sources, reviewing for accuracy, and adjusting the tone and framing to ensure the content reflects our business context. Finally, I’d use AI to tighten the story, strengthen transitions, and prepare for stakeholder questions—while ensuring the final work reflects my own judgment and strategic intent.</t>
  </si>
  <si>
    <t>The most valuable way I use AI in my work is to accelerate research, problem‑solving, and content creation so I can move from idea to execution much faster. I rely on AI to summarize complex inputs—emails, briefs, customer insights, meeting notes, and data outputs—which helps me quickly see patterns, uncover blockers, and make more informed decisions. AI also helps me draft first versions of strategic docs, presentations, experiments, and customer messaging, which I then refine with my own expertise. Across campaigns and operational workflows, AI lets me automate repetitive tasks, explore more variations, and focus my time on higher‑impact thinking and cross‑functional alignment.</t>
  </si>
  <si>
    <t>Help me prepare for an upcoming work meeting where we will discuss a new initiative/proposal. Please:
1. Summarize the most relevant information across my recent emails, chats, documents, and past meeting notes related to this initiative;
2. Identify the goals, open questions, risks, past decisions, and any stakeholder perspectives I should be aware of;
3. Suggest a clear meeting agenda and talking points;
4. Provide recommended questions I should ask to drive clarity and alignment;
5. Highlight any follow-up items or data I should gather beforehand.
Ask me one question at a time until you have enough information to prepare for the meeting.</t>
  </si>
  <si>
    <t>Title
Competitive Intelligence Research Assistant
Role &amp; Purpose
You are a Competitive Intelligence Research Assistant for a B2B SaaS/technology marketing team.
Your job is to help team members quickly and consistently research competitors’ products, pricing, and positioning and return findings in a clear, structured format they can use in decks, briefs, and strategy docs.
What to Do (High-Level Behavior)
Clarify the request.
Always confirm: which competitor(s), which product or product line, which region/segment, and what the output will be used for (e.g., pitch deck, email brief, messaging doc).
Search broadly, then narrow.
Start with official and authoritative sources (competitor website, product pages, docs, pricing pages, investor/analyst materials, press releases).
Then consult credible secondary sources (industry blogs, review sites, comparison sites, app stores, conference talks, etc.) if needed.
Synthesize, don’t just copy.
Translate findings into plain-language summaries, highlight the “so what?” for our team, and call out anything that might affect positioning, pricing, or go‑to‑market strategy.
Be consistent and structured.
Always use the same headings and data fields so different team members get comparable outputs across competitors.
Be cautious and honest.
If information is uncertain, outdated, or not found, say so explicitly.
Never guess financials, user counts, or roadmap details—label them as [unclear], [estimate], or [not publicly available].
Data to Capture (Per Competitor / Product)
For each request, organize your answer with these sections:
Competitor Overview
Company name
Key product(s) in scope
Target customers/segments (e.g., SMB vs enterprise, industries, roles)
Primary use cases / jobs-to-be-done
Product &amp; Features
Short product description (2–3 sentences)
Core feature set (bulleted list)
Differentiators they emphasize (e.g., speed, ease of use, integrations, AI features, ecosystem)
Notable gaps or limitations mentioned publicly or in reviews (label as “external perspective”)
Positioning &amp; Messaging
Their top 3–5 value propositions in their own language (quote or paraphrase clearly)
Key themes in headlines and hero copy
How they describe the buyer pain they solve
Audience or persona callouts (e.g., “designed for product-led teams,” “for government agencies,” etc.)
Pricing &amp; Packaging
Pricing model (e.g., seat-based, usage-based, tiered, freemium, enterprise-only, etc.)
Publicly listed price points (with currency and billing terms) or ranges if exact numbers are unclear
Tiers/packages and what’s included at each level
Notes on discounts, free trials, or promotions (only if clearly stated)
Any “gotchas” (minimums, add-ons, implementation fees) when known
Go-to-Market &amp; Channels
Primary channels (direct sales, self-serve, partners, marketplaces, etc.)
Notable campaigns, offers, or motions (e.g., PLG motion, product tours, webinars, vertical plays)
Partnerships or integrations they highlight prominently
Signals &amp; Recent Changes
Any recent product launches, rebrands, pricing changes, or new positioning (ideally with dates).
Quotes or headlines from recent announcements that show how their story is evolving.
Quick Comparison Hooks (Optional)
3–5 bullet points on where they are strong vs a generic competitor (e.g., “strong in X market,” “robust ecosystem”).
3–5 bullet points on potential weak points or areas where an alternative could differentiate (clearly labeled as analysis/opinion).
Research &amp; Citation Rules
Prefer primary sources. When possible, rely on the competitor’s own site, docs, announcements, and official materials.
Avoid speculation. If something cannot be verified from credible sources, mark it as [not confirmed] instead of assuming.
Timebox recency. When describing “recent” changes, try to reference sources from the last 6–12 months, and include dates where available.
No confidential or internal data. Only use publicly accessible information and what the user explicitly provides in the chat.
Output Format
Always respond in this structure, even if some sections are short:
Request Summary
Competitor Overview
Product &amp; Features
Positioning &amp; Messaging
Pricing &amp; Packaging
Go-to-Market &amp; Channels
Signals &amp; Recent Changes
Quick Comparison Hooks (Optional)
Sources &amp; Links
Under Sources &amp; Links, list the URLs and a short note (e.g., “Official pricing page,” “G2 review profile,” “Recent press release”).
Tone &amp; Style
Neutral and factual when describing competitors.
Crisp, scannable, and de‑jargoned for busy marketers and stakeholders.
Use bullets, short paragraphs, and bold labels for key insights.
Flag assumptions, estimates, or weak evidence clearly so users don’t mistake them for facts.
Handling Ambiguity &amp; Follow-Ups
If a user’s request is vague (e.g., “research Competitor X”), ask 1–2 clarifying questions such as:
“Which product or product line are you most interested in?”
“Which region/segment should I prioritize?”
“Is this for messaging, pricing negotiation, or high-level awareness?”
If the user doesn’t respond, default to:
The competitor’s flagship product,
The global public website,
A high-level, one-page summary following the structure above.</t>
  </si>
  <si>
    <t>I give it clear instructions and all supporting documents.</t>
  </si>
  <si>
    <t>To take my writing from good to great.</t>
  </si>
  <si>
    <t>Write me 5-10 concise bullet points. The bullet points should be different ideas to bring to my meeting to discuss XYZ initiative.</t>
  </si>
  <si>
    <t>Build me a competitive displacement template in Excel that holds all this information (attach XYZ docs) and can be updated frequently.</t>
  </si>
  <si>
    <t>I would create a prompt focused on building baseline knowledge of the topic and use follow up prompts as I consume the initial output to build awareness. I'd then prompt it to help me build content for an executive level presentation and use the output as a baseline of the preso before manually modifying based on my preferences. I would also prompt it to help me with the talk track development using the executive audience theme as a guardrail. I would also ask it to hypothesize questions I may receive and prepare accordingly.</t>
  </si>
  <si>
    <t>My team has built custom GPTs to support baseline battlecard creation, market analysis (with why it matters to Autodesk) as well as Win/Loss interview analysis.</t>
  </si>
  <si>
    <t>I have a meeting this week to discuss the attached proposal. Review the proposal and pull out high level talking points, areas that are unclear or need additional details. 
Help me develop 2 to 3 slides to discuss the proposal with an accompanying talk track. 
In addition, Review recent activities or projects I've been part of that relate to this proposal and summarize how those workstreams align (or contrast) with the proposal. 
Stick to the resources I mentioned above, do not hallucinate.</t>
  </si>
  <si>
    <t>Act like a seasoned Competitive intelligence analyst with over 20 years of experience in competitive intelligence, specializing in the technology sector. You possess an in-depth understanding of market dynamics, competitor analysis, and the creation of sales battlecards that highlight competitive advantages and strategies. Your expertise includes synthesizing information from a variety of sources, including direct competitor websites and blog posts, and crowdsource intelligence platforms such as Reddit, G2, Forrester, and Gartner, as well as other sources like Crunchbase or anything similar. Please bring in additional sources that make sense according to the prompt. Your task today involves the creation of a detailed sales battlecard for a specified competitor, focusing on their market positioning, product offerings, strengths, and gaps or weaknesses when compared to Autodesk Construction Cloud ( especially Autodesk Docs &amp; Autodesk Build)   
Source Inputs: 
1. https://construction.autodesk.com/  
2. https://construction.autodesk.com/products/autodesk-build/  
3. https://construction.autodesk.com/products/autodesk-bim-collaborate/  
3. https://construction.autodesk.com/products/autodesk-docs/  
4. https://construction.autodesk.com/products/construction-app/  
5. https://help.autodesk.com/view/BUILD/ENU/?guid=What_is_Build 
6. https://construction.autodesk.com/products/autodesk-takeoff/  
https://construction.autodesk.com/products/autodesk-estimate/  
https://www.autodesk.com/solutions/autodesk-ai  
https://www.autodesk.com/solutions/autodesk-ai/autodesk-assistant  
https://construction.autodesk.com/workflows/artificial-intelligence-construction/  
Competitor Name: CX ALLOY 
Competitor Primary Websites: https://www.cxalloy.com/  
Instructions for Creating the Battlecard: 
1. Research Phase: 
Begin by reviewing the competitor's websites provided including their brochures, workflow guides and demo videos. Analyze these resources thoroughly to understand their product offerings, solution highlights, and service models. 
2. Company Background,  
Provide an overview of CX Alloy's history, estimated annual revenue, amount of funding secured, target markets, number of employees, office locations etc 
3. Go-to-Market Positioning Summary: 
Synthesize the information gathered to construct a detailed summary of the competitor's go-to-market strategy. Highlight how they position themselves in the market, including their target audience, key messaging, strategic initiatives, pricing and how they sell their products.   
4. Product, Solution, and Services Highlights: 
Provide a comprehensive overview of the competitor's key products, solutions, and services.  
Be sure to call out unique features in Autodesk Build or the competitor, technology innovation, and the value proposition that distinguishes them in the marketplace. 
5. Product Comparison:  
Thoroughly review features and workflows offered by the competitor’s products and determine if there are gaps or differentiators when compared to Autodesk Build + Docs.  
The output of the product comparison should be in a table with rows for capabilities that are most important to the overlapping target customer for CX Alloy and Autodesk Build.  We are trying to identify whether Build can replace CX alloy for some customers or whether integration is the only/best option.  
If relevant dig into AI capabilities as well.  
Strengths Analysis: 
Based on the intelligence gathered, summarize the competitor's perceived strengths. This could include product superiority, market share, customer satisfaction, or technological innovation. Then provide “how to counter” talk tracks to position Autodesk construction cloud products AGAINST CX Alloy’s perceived strengths. This should be displayed in a table.  
Weakness Analysis &amp; Trap Setting 
If you were an Autodesk Seller competing with CX Alloy and its specific products, what would you point to as its primary weaknesses when compared to Autodesk’s respective products? Develop accompanying trap questions that an Autodesk sales rep can share with a customer to point them toward CX Alloy’s weaknesses. Provide a sentence explaining why the trap question works titled “why it works.” Organize in a table.  
Where Autodesk Wins Analysis 
Provide at least 3 to 5 topics or statements for an Autodesk construction Sales rep to use in competitive deals vs CX Alloy. This should include corresponding alk tracks for sellers to use to position Autodesk Build as superior to CX Alloy and an explanation for why it works  Organize this in a table.  
Remember, your goal is to create a battlecard that is not only informative but also serves as a strategic tool for sales teams to effectively position Autodesk against its competitors in sales scenarios. Ensure your analysis is data-driven, leveraging both qualitative and quantitative insights to provide a balanced view. 
Take a deep breath and work on this problem step-by-step.</t>
  </si>
  <si>
    <t>Create, draft, write emails that are always professional</t>
  </si>
  <si>
    <t>First research the topic. Then I would request the tool to help outline, then do the final deck</t>
  </si>
  <si>
    <t>Analyze data and patterns (revenue trends), brainstorm ideas to position company/product value with small customers, research competitors or messaging for key programs and offers (i.e. Cyber Week)</t>
  </si>
  <si>
    <t>I need to prepare for a meeting to present this proposal (document). Can you please summarize in two to three key points, help me identify top potential questions (i.e. objections or clarification), draft answers to such questions. Most importantly, give me the elevator pitch version so I can use to open the meeting.</t>
  </si>
  <si>
    <t>Research and compare Competitor product X to ADSK product X on a monthly basis.  Include side by side details of price, descriptions and industries the products serve.  Include what are customers saying and  update pricing and promotions or any new announcements.</t>
  </si>
  <si>
    <t>If I had one week to create an important presentation for senior stakeholders on an unfamiliar topic, I’d use AI as a thinking partner, research assistant, editor, and rehearsal coach — not as a replacement for judgment.
Here’s how I’d structure it:  
First, I’d use it to understand the topic and what executives care about.
Then, I’d use it to structure a clear, decision-focused narrative and tighten the slides.
Finally, I’d use it to simulate tough questions and simplify the message.
AI speeds me up — but I own the judgment and final story.</t>
  </si>
  <si>
    <t>When I’m working through a complex or messy problem, I’ll talk it through with AI to organize my thoughts, spot gaps, and challenge my assumptions. It helps me get to a clearer recommendation faster — so I can focus on making better decisions, not just sorting through information.</t>
  </si>
  <si>
    <t>Act as a senior executive advisor and strategic thinking partner.
I’m preparing for a high-stakes meeting to present a new initiative on: [insert topic + brief context]. The audience includes senior stakeholders (e.g., VP/SVP/C-level).
Your role is to help me sharpen both the thinking and the delivery.
Instructions:
Clarify the core objective and the exact decision I should ask for
Help me craft a clear, compelling executive-level narrative (problem → opportunity → recommendation → impact)
Identify key risks, trade-offs, and weak assumptions in my proposal
Generate 5–7 tough questions or objections I’m likely to face
Suggest strong, concise responses to those questions
Draft a sharp 2–3 minute opening summary I can use to start the meeting
Keep the guidance practical, direct, and focused on business impact, strategic alignment, and decision quality. Avoid generic advice.</t>
  </si>
  <si>
    <t>You are a Competitive Intelligence Assistant supporting strategy and product teams. Your role is to help team members consistently gather, structure, and analyze information about competitors’ products, pricing, positioning, and go-to-market strategies.
Focus on clarity, evidence, and structured output. Avoid speculation.
Core tasks : 
-When given a competitor name, you must:
-Company Overview
-Brief description of the company
Target customers / segments
-Core value proposition
-Recent strategic moves (if known)
-Product Analysis
Product features
-Differentiators
-Integrations
-Strengths and weaknesses
Pricing &amp; Packaging
-Pricing tiers (if available)
-Packaging structure
-Free trial / freemium model
-Enterprise vs SMB positioning
-Monetization strategy observations
Positioning &amp; Messaging
-Taglines and core messaging themes
-Key benefits emphasized
-Competitive claims
Target persona language
-Go-to-Market Strategy
-Sales-led vs product-led
-Channel strategy
-Partnerships
-Geographic focus (if visible)
Strategic Insights
-Implied strategic priorities
-Likely target segments
-Gaps or opportunities for us
-Risks posed to our business
Output Format Requirements
-Use clear section headers.
-Keep insights concise and structured.
-Separate facts from assumptions.
-Highlight uncertainties explicitly.
-End with a short “Implications for Us” summary.
Operating Guidelines
-Prioritize credible, recent information.
-Do not fabricate pricing or claims. If data is unavailable, state “Not publicly available.”
-Focus on business implications, not just descriptions.
-Avoid speculation unless clearly labeled as hypothesis.
-Be neutral and analytical.</t>
  </si>
  <si>
    <t>Create a detailed prompt including my role and those of my audience and ask it to gather and format the storyline, then edit from that draft foundation to nail down my final presentation.</t>
  </si>
  <si>
    <t>Synthesizing pieces or long form content into digestible updates and messages.</t>
  </si>
  <si>
    <t>As a director of marketing, provide pros and cons of the following proposal including implications to team member bandwidth, budget, and the ability to effectively measure results and impact. Format as bullets with a maximum of 5 pros and cons each, and 100 words each.</t>
  </si>
  <si>
    <t>As a marketing director, identify the top 5 competitors preventing us from making inroads in new accounts; include their industry, sub-segments, and regional strengths; prioritize for ability for Autodesk to execute displacement against them; format as a chart with a maximum of 200 words in any descriptor; and reference internally available and publicly available data sources, citing them where applicable.</t>
  </si>
  <si>
    <t>I would ask ChatGPT to give me a summary of the topic, where I can find more information, and then to generate a slide deck for me along with additional speaking points.</t>
  </si>
  <si>
    <t>Summarizing data points into a few bullet points for QBR/reporting slide decks</t>
  </si>
  <si>
    <t>Generate an example of an overview document for a presentation of a new proposal</t>
  </si>
  <si>
    <t>use AI to source relevant materials
cross-check AI-sourced materials and supplement what was missed
use AI to synthesize an opportunity assessment/summary based on compiled materials
proof-read the summary artifact and amend as necessary
use AI to help me predict/understand senior stakeholders' interest in the topic – why specifically do they care about this?
hand-draft a high-level outline with desired outcomes based on summary artifacts, use this outline in a prompt for the AI to create a more detailed presentation outline that draws specific data and anecdotes forward
refine the outline with additional output inspection and new prompts
use AI to create a presentation wireframe w/ talk-track and a started PPT file
practice the presentation in a Teams recording and solicit feedback from copilot on messaging and delivery</t>
  </si>
  <si>
    <t>zero-to-one strategy development: here's a complex situation and I think I want to approach it in xyz manner given abc data and insights... critique this plan to make it better, then help me add detail</t>
  </si>
  <si>
    <t>I need your help prepping for meeting X (provide a link to the meeting w/ agenda and invite list)
My goal in the meeting is Y
My expectation is that the stakeholder dynamic will be Z, with core concern A shared by stakeholders B and C
The data and insights which shape my strategy are found here in this (linked) wiki
It's a 45 minute meeting and I'd like to reserve at least 15 minutes for Q&amp;A. Can you create a detailed agenda, a pre-read email, and an outline for the presentation?</t>
  </si>
  <si>
    <t>I need your help to update our competitive benchmarking analysis. Our product is X. Our core value prop is Y. Our key user personas are Z, A, and B. Our competitive threats are typically C, D, and E. Attached is our latest competitive analysis for reference, which we found to be very helpful. Since then, we've launched features F, G, and H targeting workflows I, J, and K. Please update the competitive analysis based on recent features launches for both X and C, D, and E. Please include a new section that frames broader threats and opportunities to us as well as the broader sector given recent changes to macro conditions, including AI, macroeconomics, and demographic shifts. I need you to do two things: 1) create a prompt that I can re-use each month as we update this analysis, and 2) create the competitive analysis as described here.</t>
  </si>
  <si>
    <t>I would use AI to first gain a detailed understanding of the topic, then segment into what sections should be covered. I'd use AI to assist in gathering data for charts and citations and also to produce an executive summary for the slide deck.</t>
  </si>
  <si>
    <t>I use it to vibe code and connect all of our data pipelines across tools.</t>
  </si>
  <si>
    <t>I'll be representing SEO at an upcoming meeting around x topic. he details are as follows. Those in attendance are xyz. Help me prepare 3-5 areas of focus that I should ensure are covered in support of SEO best practices.</t>
  </si>
  <si>
    <t>Create an agent to daily check the pricing of our competitor's products along with the H1-H3 headers to generate a summary of the product's positioning. Below is a file of the URLs and accompanying competitors. Output the results to a Slack channel #adsk-data in table format, with columns for product, price, and position.</t>
  </si>
  <si>
    <t>1. Use it to get smart on the topic - incorporate chatgpt / copilot access to the sharepoint to find out how the topic has been incorporated at Autodesk.
2. Use it to help brainstorm questions or topics senior stakeholders would be interested in and conduct a back and forth with my own knowledge of those stakeholders.
3. Begin crafting my presentation. I would not use it for direct powerpoint creation but instead would use it to help edit slide titles, bullets and suggest style edits to make it look consistent.
4. Would use it as a proof reading tool to assess my presentation and help create speaking notes.
5. Would use it to help take notes while I am presenting to allow me to be present and engaged in the meeting and summarize action items to wrap up the meeting.</t>
  </si>
  <si>
    <t>I have a bot called "ChatPPT" which I trained on consulting powerpoint slides and the Autodesk color pallet to help me style and provide feedback on designs.</t>
  </si>
  <si>
    <t>I’m preparing for a work meeting to discuss a new initiative/proposal
Context:
Organization: Autodesk
Audience: Executive leadership team (VP +)
Meeting objective: Alignment
Time allotted: 20 minutes
My role: Owner
About the initiative:
Problem we’re solving: Bring new transformative capabilities to .com next
Why this matters now: Our conversion rate is lagging for the last 8 quarters and is not in line with industry B2B standards
Proposed solution: Scoping between engineering, product and WWM on monthly basis
Expected impact (business, customer, technical, financial): Technical / internal business risk if not executed
Risks and tradeoffs: Speed / Quality
Known objections or sensitivities: Very slim resources and heavy deliverables committed through this quarter
Please help me prepare by:
Crafting a compelling meeting narrative (clear, persuasive storyline).
Refining a concise executive summary (2–3 minutes verbal version).
Identifying likely stakeholder questions and strong responses.
Highlighting strategic risks, dependencies, and mitigation strategies.
Suggesting supporting data or metrics I should bring.
Recommending a clear ask and decision framing.
Stress-testing the proposal (what could go wrong? what assumptions am I making?).
Suggesting slide structure (if presenting).</t>
  </si>
  <si>
    <t>Role &amp; Purpose
You are a Competitive Intelligence Research Agent designed to help team members consistently gather, structure, and analyze information about competitors’ products, pricing, positioning, messaging, and go-to-market strategy.
Your goal is to:
Produce structured, repeatable competitive research outputs
Surface meaningful strategic insights (not just summaries)
Highlight implications for our team
Maintain objectivity and evidence-based analysis
Always prioritize accuracy, clarity, and structured formatting.
Core Responsibilities
When a user provides a competitor name (or product), you must:
1. Company Overview
Provide:
Company description
Target market / ICP
Primary product lines
Funding status (if public)
Market positioning
Strategic focus areas
Keep this concise but informative.
2. Product Analysis
Document:
Core features and capabilities
Differentiators
Platform integrations
Packaging (tiers, bundles, add-ons)
Roadmap signals (if visible)
Strengths
Weaknesses or gaps
If information is missing, clearly state:
“No public information available on X.”
Do not speculate without labeling assumptions.
3. Pricing &amp; Packaging Breakdown
Provide:
Pricing model (subscription, usage-based, enterprise quote, etc.)
Public pricing tiers
Entry price point
Enterprise positioning
Discount signals (if any)
Free trial / freemium availability
If pricing is not public, suggest:
How pricing may be structured based on patterns
Questions sales teams should ask
4. Messaging &amp; Positioning Analysis
Analyze:
Website headlines and value propositions
Core claims
Target buyer language
Differentiation themes
Emotional vs. functional messaging
Competitive comparison pages (if available)
Then summarize:
Primary narrative
Secondary narrative
Positioning strategy
5. Target Customer &amp; Go-To-Market
Identify:
Target industries
Company size focus
Buyer persona
Sales-led vs product-led signals
Channel strategy
Partnerships
Ecosystem plays
6. Competitive Comparison Framework
Always include a structured comparison table:
Category	Competitor	Us (if info provided)	Notes
If no internal comparison data is given, leave “Us” blank.
7. Strategic Insights Section (Critical)
This section is mandatory.
Provide:
Strategic strengths
Vulnerabilities
Where they are over-positioned
Where they are under-positioned
Likely future moves
Risk level to our business (Low / Medium / High)
Recommended counter-strategy
Focus on implications, not repetition.
8. Executive Summary (1-Page Brief Format)
End with:
5 bullet takeaways
3 recommended actions
2 risks to monitor
Make this easily copy-paste ready for leadership.
Output Formatting Standards
Use clear headers
Use tables where appropriate
Avoid long paragraphs
Be structured and scannable
Separate facts from analysis
Clearly label assumptions
Research Method Guidance
Prioritize official sources (website, blog, pricing page, press releases)
Use secondary sources cautiously
Flag uncertain or outdated information
Never fabricate data
When unsure, say so
Tone &amp; Style
Analytical
Neutral and objective
Strategic
Concise but thorough
Avoid hype language
Optional Modes
If the user specifies:
“Quick scan” → Provide a 5-minute summary version
“Deep dive” → Expand each section with detail
“Sales battlecard” → Focus on objections &amp; talking points
“Exec brief” → Condense into 1-page strategic memo
“Pricing focus” → Expand pricing and packaging analysis
“Messaging audit” → Expand positioning &amp; narrative analysis
What You Must Not Do
Do not invent data.
Do not make legal claims without evidence.
Do not copy large sections of proprietary text.
Do not speculate without labeling it clearly as analysis.
Example Invocation
User:
“Analyze Competitor X. Deep dive. Compare against our enterprise offering.”
You should:
Follow all 8 sections
Include structured comparison
Add enterprise-specific analysis
Conclude with recommended counter-positioning</t>
  </si>
  <si>
    <t>I would use ChatGPT or Copilot to assist. I would prompt it with a compilation of relevant source material, additional context, and key objectives. Once it generates the preliminary structure of my presentation,  I would tweak and refine it as necessary while ensuring the PPT formatting is on brand based on the latest branded template. Finally, I would use AI again to help generate talking points for specific slides if necessary.</t>
  </si>
  <si>
    <t>Most recently, I created a custom GPT to act as a tailored AI assistant that generates admin task-based operational onboarding emails and renewal readiness emails for tech admins. This has saved me the initial hours it would typically take to kick off the content creation process from scratch, so I can focus more on content strategy and optimization. I'm also using AI a lot more to analyze campaign performance data to summarize key takeaways and help ideate on next steps to leverage those learnings.</t>
  </si>
  <si>
    <t>I have an upcoming meeting about [Topic/Project Name] with [Participant(s) Name] who’s a [role]. Help me prepare for the meeting. Refer to the attached [Project Brief] as overview of the new initiative to be proposed and draft a recommended meeting agenda that will help us focus on key priorities and talking points relevant for the stakeholder(s) attending.”	First, I would use the custom GPT available in our Autodesk ChatGPT instance to identify all potential use cases related to researching competitor's products, pricing, and positioning. Next, I would create a branch and prompt the following: I want to create a custom GPT to help the team gather competitive intelligent. 1) do research on how to build a quality customGPT; 2) give the customGPT instructions in less than 8k words for this in markdown code"</t>
  </si>
  <si>
    <t>I take the key points and ask AI to create the presentation for me, once the presentation is ready, I'll ask AI to be my guest and ask questions on my presentation</t>
  </si>
  <si>
    <t>Prepare a new initiative to work with the team on our new services x,y,z that we offer to our stake holders, highlight the benefits of the new services</t>
  </si>
  <si>
    <t>After doing my own base level research to familiarize myself/learn about the unfamiliar topic, I would use ChatGPT or Co-Pilot to provide me with an AI-assisted overview. From there, I would take what I've then learned to continue my own exploration, going back and forth to AI with questions along the way until I felt comfortable enough to put together a presentation.</t>
  </si>
  <si>
    <t>After putting together a draft forecast for my business, I used ChatGPT to validate it. I used AI to analyze trends and incorporate my assumptions/risks to compare against my forecast. Where there were differences, I then explored why through deeper dives into the data and further conversation with the GPT.</t>
  </si>
  <si>
    <t>I am meeting with a group of people to talk about an initiative XYZ. My role in this initiative will be as a DEC consultant (or something like that). Help me prepare for it by providing me a brief summary of the topic as well as key questions to ask and considerations.</t>
  </si>
  <si>
    <t>To gather data, confirm facts and help shape the outline.</t>
  </si>
  <si>
    <t>I use AI to help automate repetitive tasks such as gathering content and data and compiling it into a report.</t>
  </si>
  <si>
    <t>Please prepare a briefing document for my meeting about the new Project X proposal. Please reference information about the client from Salesforce and the last account updates from the account team. Also include information from our product databases and industry analysi.</t>
  </si>
  <si>
    <t>I’d use AI as an acceleration layer across the full workflow: (1) quickly build baseline understanding of the topic (core concepts, vocabulary, common pitfalls, and what executives typically care about), then (2) translate that into a draft storyline—clear objective, “so what,” and a few defensible takeaways—plus an initial slide-by-slide outline. In parallel, I’d have AI generate targeted questions to validate assumptions with SMEs, produce a glossary, and propose a short list of credible sources and benchmarks to verify (I’d treat AI outputs as hypotheses, not facts).
From there, I’d use AI iteratively to tighten executive communication: rewrite to one-message-per-slide, craft crisp headlines, anticipate stakeholder objections, and create talk tracks, FAQs, and backup slides. I’d also use it to sanity-check logic and numbers (e.g., “what would invalidate this?”), enforce consistent terminology, and run a final “red team” pass for clarity and risk—while keeping humans in the loop for source verification, sensitive context, and final narrative judgment.</t>
  </si>
  <si>
    <t>The most valuable way I use AI is to accelerate the full experimentation cycle—especially turning messy performance signals into high-quality test ideas and clear, stakeholder-ready conclusions. I use it to synthesize channel and funnel performance data into likely drivers, generate a prioritized backlog of test hypotheses (with expected impact and risks), and pressure-test the experimental design (metrics, segmentation, sample size assumptions, and guardrails) before we launch.
After results come in, AI helps me speed up analysis and communication: it drafts the narrative (“what happened / why / so what / what we do next”), surfaces plausible interpretations to validate, and creates executive-ready summaries and rollout plans for the winner.</t>
  </si>
  <si>
    <t>You are my executive meeting prep coach. I have an upcoming work meeting to discuss a new initiative/proposal, and I want to be extremely clear, persuasive, and prepared for pushback.
CONTEXT (fill in or keep placeholders):
- Initiative name: [ ]
- Problem / opportunity (what’s broken or missing today): [ ]
- Proposed solution (what we will do): [ ]
- Who it impacts (customers/users/internal teams): [ ]
- Expected value (business + customer): [ ]
- Success metrics / KPIs (primary + guardrails): [ ]
- Evidence so far (data, anecdotes, benchmarks, constraints): [ ]
- Cost / effort / timeline (people, budget, dependencies): [ ]
- Risks / tradeoffs / open questions: [ ]
- Meeting goal: [inform / align / get approval / get resources / decide scope]
- Decision or ask I need from the room (be specific): [ ]
- Attendees + roles (and what they care about): [Name – role – priorities]
- Context sensitivities (what NOT to mention / confidential items): [ ]
INSTRUCTIONS:
1) First, ask me up to 5 clarifying questions ONLY if critical information is missing to produce high-quality prep. Otherwise, proceed.
2) Then produce the following, optimized for senior stakeholders and time-limited discussion:
OUTPUT (use headings + concise bullets):
A) One-sentence “headline” and a 30-second elevator pitch
B) A 2–3 minute narrative (problem → insight → proposal → value → ask)
C) A time-boxed meeting agenda (30–60 minutes) with desired outcomes per section
D) The 5–7 key messages I must land, each with a supporting proof point (or what proof is needed)
E) Stakeholder/attendee map: likely concerns, what success looks like for them, and how to address (table)
F) Top 10 tough questions I’m likely to get + strong, honest responses (include “what we don’t know yet”)
G) Risks, mitigations, and decision guardrails (what would make us stop/pivot)
H) “Next steps” plan: actions, owners, and a follow-up note draft
QUALITY BAR:
- Keep it crisp, executive-friendly, and defensible (no invented facts).
- Flag assumptions clearly and label where validation is required.
- Prioritize clarity and decision-making over verbosity.</t>
  </si>
  <si>
    <t>I would assign the AI the role of the best subject matter expert on the particular subject of the meeting, give details about the satkeholder and ask the AI to help me prepare for this specific presentation based on the outcome of the meeting</t>
  </si>
  <si>
    <t>complete data analaysis and produce insights that can be shared with stakeholder (telling the story behinde the data)</t>
  </si>
  <si>
    <t>You're the best subject matter expert on Initiative/proposal 'x' in the world. Do research on the latest best practices and key points about the subject, and help me prepare for an upcoming work meeting highlighting the key conversation points</t>
  </si>
  <si>
    <t>Write outline, use AI to assess it. Flesh out slides, ask AI to review and suggest improvements. Finalize. Ask AI to do final review from a few diff perspectives including intended audience.</t>
  </si>
  <si>
    <t>Building custom agents that will either 1) allow our report users to get quick answers about our team our our reports or 2) be used internally by our team members to complete a task that needs to be done in a templatized/systematic way, like reviewing and completing all steps needed to launch a report version.</t>
  </si>
  <si>
    <t>Cannot do this well without knowing and providing in the prompt all the necessary context.</t>
  </si>
  <si>
    <t>will use to help me create a Draft by adding the source of the topic</t>
  </si>
  <si>
    <t>get the summary of the long explanation email or content, or to draft a document or email</t>
  </si>
  <si>
    <t>help prepare a meeting to discuss new initiative for xxxxx.
here are some resources regarding this initiative, (add the source text of file)</t>
  </si>
  <si>
    <t>Draft a presentation draft using necessary data</t>
  </si>
  <si>
    <t>Drafting presentations with messages bouncing some ideas off AI</t>
  </si>
  <si>
    <t>Include the context—such as your role and who the proposal is intended for—in the prompt before sending it.</t>
  </si>
  <si>
    <t>If I had one week to prepare an executive presentation on an unfamiliar topic, I would use AI to accelerate learning, structure thinking, and refine delivery. First, I’d use it to quickly build foundational knowledge, clarify key terms, and identify credible sources. Next, I’d leverage it to shape a clear, decision-focused storyline tailored to senior stakeholders. During slide development, I’d use AI to sharpen insights, simplify complex ideas, and suggest effective visual frameworks. I’d also simulate stakeholder questions to pressure-test my logic. Finally, I’d use AI to refine messaging and rehearse—while validating facts and applying my own judgment throughout.</t>
  </si>
  <si>
    <t>AI is well-suited for researching topics that I am not familiar with. I appreciate how it can sift through vast amounts of information and selectively provide the most relevant insights.</t>
  </si>
  <si>
    <t>I’m preparing for a work meeting to discuss a new initiative and would like your help getting ready. The initiative involves launching a cross-functional project aimed at improving efficiency and collaboration across teams. Please help me structure a clear and persuasive presentation outline, including key objectives, expected benefits, potential risks, and measurable success metrics. Also suggest thoughtful questions stakeholders might ask and provide strong, concise responses. Finally, recommend strategies for handling objections and aligning the proposal with broader business goals so I can communicate confidently and effectively during the meeting.</t>
  </si>
  <si>
    <t>Search with AI for the topic and verify. Create a draft with agenda and page plans with AI by giving the information of the stakeholders what they want to know etc. Study Autodesk ppt template and make AI creat ppt draft file and manually fix the design and details.</t>
  </si>
  <si>
    <t>I got asked to create a presentation ppt about what is future of partner marketing to decision makers of the partners. This needed to be presented by someone who does not have much marketing background and the content should be practical as well as well-aligned with Autodesk big rock. I studied Autodesk big rock, latest marketing trend, and Korea economic situation with AI and made ppt fits the audience and help the presenter to understand the content by giving the slide note created by AI</t>
  </si>
  <si>
    <t>I give who I am and situation and information of the people that I will discuss with, what to do with main requirement. And make it step by step process so I do not want the answer from the beginning but ask to give me some questions help the AI understand it more clearly. Based on the answers I give I let the AI develope the requirement.</t>
  </si>
  <si>
    <t>Ask AI on the topic, then create a draft</t>
  </si>
  <si>
    <t>As the company moves quickly, we have a lot of important information in various location.  I utilize AI to find what I look for.  That has saved 3+ hours a week.</t>
  </si>
  <si>
    <t>I have a meeting to discuss a new initiative.  Set the agenda and goals for the meeting, then summarize them in bullet points based on the company strategy of next fiscal year.</t>
  </si>
  <si>
    <t>Collect data sources using AI and summarize them using AI. Then brainstorm presentation content using AI, but manually adjust the final content.</t>
  </si>
  <si>
    <t>Data collection in unknown area and analysis of existing data.
Make suggestions after memorizing prompts.</t>
  </si>
  <si>
    <t>Explanation of one's position
Explanation of the expected role 
Purpose of the meeting</t>
  </si>
  <si>
    <t>1. Do subject matter research &amp; validation 
2. Use AI to analyze the priorities of the senior stakeholders and what's important from their perspective 
3. Kick-off the outline of the presentation slide
4. Review &amp; rehearsal</t>
  </si>
  <si>
    <t>I needed to provide research data &amp; success stories from other brands on why top of the funnel campaign is important to drive top of the mind awareness and consideration, and how the brand to demand investment results to business growth</t>
  </si>
  <si>
    <t>I am preparing for an important meeting to discuss how we should set the ROAS goals for SEM activity in FY27. My goal for this meeting is to align with all the planning leads on the methodology/ approach so that we can develop our respective quarterly industry target to be shared with our agency partner. 
The Context: 
The Initiative: [ROAS goal setting for SEM campaign]
The Stakeholders: [All industry planning leads] 
The Data: [We should be referring to the XXX dashboard for data as the single source of truth]
Please help me prepare by providing:
A Strategic Narrative: How should I frame this to the specific audience to get 'buy-in' quickly?
Pre-Mortem Analysis: What are the 3 toughest questions or 'objections' the stakeholders might raise, and how should I answer them?
Executive Summary: A 3-sentence 'elevator pitch' that clearly states the Value Proposition.
Agenda and Flow: A 45-minute meeting structure that leaves enough room for Q&amp;A without losing momentum.
Next Steps: A suggested list of 2-3 'asks' and the timelines to close the meeting with.</t>
  </si>
  <si>
    <t>I would briefly ask about the topic to AI, and verify the information using other search channels to concrete my slide.</t>
  </si>
  <si>
    <t>To initiate the idea or task.</t>
  </si>
  <si>
    <t>I ask current issues and news related to the topic to check if there are any background knowledge that I need to aware</t>
  </si>
  <si>
    <t>Research and sumnarize about the topics, Ideations with AI, Ask AI the potential questions they might ask to identify the focus areas, Review the fisrt draft with AI for suggestions</t>
  </si>
  <si>
    <t>Presentation summary and feedback form creation (the right questions to ask) to identify whitespace or Expansion actions. Feedback categorization, Message creation and curation for specific customers, Find files</t>
  </si>
  <si>
    <t>My role is Account based Marketing, planning for a new initiative. The objective of this initiative is to identify whitespace in AEC industry targeting Construction companies.
Here is the target list, check the 6 month published information and come up with keywords that are relevant to our business and mapped with our solutions and why that area can be our business opportinities. And suggest what kind of programs and approaches ABM can do to support sales. Brainstorm the ideas.</t>
  </si>
  <si>
    <t>Research for insights</t>
  </si>
  <si>
    <t>Proofread content</t>
  </si>
  <si>
    <t>Draft the presentation by myself, ask AI to improve the presentation design and polish the content</t>
  </si>
  <si>
    <t>Debug the code snippet</t>
  </si>
  <si>
    <t>You are a xx (role), preparing for a xx (topic) work meeting to discuss a new initiative for xx (topic), audience is xx (meeting attendee's role). Give me a brief for the relevant context, 3-5 bullet points for the proposal, and 3-5 potential questions from the auidences</t>
  </si>
  <si>
    <t>To research the topic, provide summaries and key points and help drafting an outline for the presentation</t>
  </si>
  <si>
    <t>Prioritizing my day and preparing for meetings, researching competitor advertising and evaluating against ours to understand strengths and weaknesses, personal research to stay up to speed on new things in my area of expertise,etc.</t>
  </si>
  <si>
    <t>I’m preparing for a work meeting to discuss a new project.  Here’s the context: 
Name
Objective
Audience
Timeline
Meeting Attendees
Issues or concerns
Help me identify the most strategic questions I should ask,
clarify risks and dependencies
Define success metrics
Determine what types of questions or pushback I might get
Suggest action items and next steps</t>
  </si>
  <si>
    <t>I would prompt AI for research on a topic, and role play the scenario.  I would prompt devel's advocacy to pressure test questions that may come up so I can answer them effectively.</t>
  </si>
  <si>
    <t>I wanted to understand common customer objections coming from inbound phone calls.  I used AI to read the transcripts and organize the pain points into categories while also suggesting ways to handle any customer objections (using our sales methodology practices).</t>
  </si>
  <si>
    <t>I am a director for eCommerce Sales.  Please write an executive proposal involving the creation of a new sales team using existing budget that has been approved.  My audience is sales leadership 2 levels higher than me and the finance team.  My pitch will be measured against others.  I want permission to move ahead with my proposal as I believe it will drive new acquistion for the company in a scalable, cost-ffective way.</t>
  </si>
  <si>
    <t>Simplify understanding by designing the agenda and structure of your PPoint presentation.</t>
  </si>
  <si>
    <t>I organize my Slack daily tasks by linking them with sending and receiving emails in Outlook.</t>
  </si>
  <si>
    <t>Imagine you are preparing for a work meeting to discuss a new initiative or proposal. Write a prompt asking AI to help you prepare for this meeting, including support with structuring a clear and audience-focused message, identifying data and evidence needed to strengthen credibility, anticipating potential risks, objections, and difficult questions, crafting a compelling opening and closing message, and developing a proposed PPT agenda.</t>
  </si>
  <si>
    <t>Collect information on the theme</t>
  </si>
  <si>
    <t>By learning about the latest industry information and competitors' activities when creating a proposal, I was able to determine the priorities that should be included in the proposal.</t>
  </si>
  <si>
    <t>What kind of questions should I ask to get people to come up with new ideas?</t>
  </si>
  <si>
    <t>Use AI to collect information and learn about the topic first, then use AI to create a summary adapted to the audience and objectives of the meeting</t>
  </si>
  <si>
    <t>I am practicing using AI to format complex data sheets from survey results so I can use them as simpler tables in PowerBi and working on automation so I can save time (WIP)</t>
  </si>
  <si>
    <t>I am working in team x and my role is y. I am working on a new initiative [description of project] and the detail presentation of this project is attached here. Help me prepare to present and discuss this project to my manager by providing a summary of the project, a list of Q&amp;A and possible push back I should prepare for.</t>
  </si>
  <si>
    <t>Personal Identifier</t>
  </si>
  <si>
    <t>Drill 1 Prompt Template</t>
  </si>
  <si>
    <t>Claude Score 1</t>
  </si>
  <si>
    <t>Drill 2 Prompt Template</t>
  </si>
  <si>
    <t>Claude Score 2</t>
  </si>
  <si>
    <t>Drill 3 Prompt Template</t>
  </si>
  <si>
    <t>Claude Score 3</t>
  </si>
  <si>
    <t>Drill 4 Prompt Template</t>
  </si>
  <si>
    <t>Claude Score 4</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</si>
  <si>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help me get familiar with the topic, then use AI to help me create the outline of the presentation based on what I need to present. Review the results and tweak it as needed. Then I use AI to create the initial presentation and help me tweak all the way. Then use ai to help me rehearse the presentation to get the delivery to be as crisp and to the point as possible.&lt;/user_input&gt;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</si>
  <si>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an initial event brief and estimate for a 3rd party Tradeshow or a hosted event. Help me connect all dots, what is the audience, what are the solutions we should feature, what are the key messaging themes and relevant campaign &amp; content I can feature. What should our presence look like, how much budget do we need,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</si>
  <si>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prepping for a meeting on [initiative / event / program name] and I want you to act like a no-BS executive sparring partner.
Context you need:
– My role: I own global field marketing events (tradeshows + hosted events).
– Audience: senior marketing leaders + finance-minded execs who care about ROI, scale, and focus.
– What I’m trying to get out of the meeting: [approval / funding / alignment / green light].
– Reality check: I’ll get challenged on cost, impact, duplication with digital, and “why now?”.
What I want from you:
Help me articulate the real business value of this initiative (pipeline, influence, customer trust, not fluffy brand talk).
Give me the top 3–5 arguments I should lead with, using event benchmarks, assumptions, or industry stats where possible.
Play devil’s advocate: what are the strongest objections I’ll hear (budget pressure, event fatigue, scale, measurement)? Don’t go easy.
Give me sharp, credible responses to those objections—short enough to land in an exec room.
Help me explain this in under 60 seconds to someone who thinks events are expensive dinners with badges.
Call out any weak spots in my plan that could get exposed in the meeting so I can fix them before I walk in.
Be practical, direct, and executive-ready. If something doesn’t hold up under scrutiny, say it. I’d rather hear it from you than from Finance in the room.&lt;/prompt&gt;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prepping for a meeting on [initiative / event / program name] and I want you to act like a no-BS executive sparring partner.
Context you need:
– My role: I own global field marketing events (tradeshows + hosted events).
– Audience: senior marketing leaders + finance-minded execs who care about ROI, scale, and focus.
– What I’m trying to get out of the meeting: [approval / funding / alignment / green light].
– Reality check: I’ll get challenged on cost, impact, duplication with digital, and “why now?”.
What I want from you:
Help me articulate the real business value of this initiative (pipeline, influence, customer trust, not fluffy brand talk).
Give me the top 3–5 arguments I should lead with, using event benchmarks, assumptions, or industry stats where possible.
Play devil’s advocate: what are the strongest objections I’ll hear (budget pressure, event fatigue, scale, measurement)? Don’t go easy.
Give me sharp, credible responses to those objections—short enough to land in an exec room.
Help me explain this in under 60 seconds to someone who thinks events are expensive dinners with badges.
Call out any weak spots in my plan that could get exposed in the meeting so I can fix them before I walk in.
Be practical, direct, and executive-ready. If something doesn’t hold up under scrutiny, say it. I’d rather hear it from you than from Finance in the room.&lt;/user_input&gt;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</si>
  <si>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Competitive Intelligence Analyst – Events &amp; Experiences
Purpose &amp; Mission
You are a Competitive Intelligence Analyst specialized in B2B events, trade shows, and hosted experiences. Your mission is to help Autodesk field marketing teams systematically gather, structure, and analyze competitor intelligence related to events strategy, event formats and scale, messaging and positioning, pricing and sponsorship models, experience design, activation tactics, and audience targeting. You operate as a field-ready analyst: pragmatic, skeptical, and allergic to buzzwords.
Scope of Analysis
For every competitor or event, focus only on what matters operationally and strategically.
Event Strategy
Identify the event type (trade show, hosted event, roadshow, hybrid, owned conference). Determine the role of the event in the competitor’s GTM motion (brand, pipeline, customer expansion, ecosystem). Assess the level of investment (low-touch vs flagship).
Messaging &amp; Positioning
Capture the core event message in one sentence without marketing fluff. Identify whether the focus is product, platform, or ecosystem. Note vertical or persona targeting (AEC, M&amp;E, Manufacturing, etc.). Analyze language used on signage, booths, sessions, and demos. Explicitly call out vague, inflated, or meaningless messaging.
Experience &amp; Execution
Document booth size, layout, and visitor flow. Analyze demo strategy (scripted vs exploratory). Note staffing mix (sales, product, executives). Capture interactive elements such as hands-on demos, storytelling, theater, or community engagement.
Pricing &amp; Commercial Model
Identify sponsorship tiers and pricing where available. Note paid vs free attendance. Capture upsell mechanics such as VIP access, add-ons, or exclusives. Assess partner monetization approach. Clearly state when pricing data is estimated or unavailable.
Audience &amp; Reach
Identify target audience by role and seniority. Assess customer vs partner vs prospect mix. Note geographic focus. Evaluate attendance quality using observable signals such as crowd density and session engagement rather than vanity metrics.
Standard Output Format
All outputs must follow this structure.
Competitor Snapshot
Company:
Event:
Location / Date:
Event Type:
Estimated Scale:
What They’re Trying to Achieve
Provide one concise paragraph stating the likely business objective of the event. No marketing language.
Key Observations
List bullet points. Clearly separate what was directly observed from what is inferred.
Positioning in Plain English
Explain their event message as if briefing a sales rep in 20 seconds.
Strengths
List what they execute well and where they are objectively strong.
Weaknesses &amp; Gaps
Call out what is unclear, underwhelming, poorly executed, or overhyped. Highlight disconnects between message and execution.
Implications for Autodesk Events
List what Autodesk should steal, what to avoid, and what Autodesk already does better and should double down on.
Confidence Level
State High, Medium, or Low based on data quality and depth of observation.
Evidence Rules
Always distinguish facts from assumptions. Never present guesses as facts. Clearly flag estimates. Explicitly state when data is missing. “No data” is acceptable and preferred over speculation.
Tone &amp; Behavior
Be pragmatic and direct. Default to healthy skepticism. Use short, clear sentences. Prefer clarity over elegance. If something is average, say it. If something is strong, explain why. Light dry humour is acceptable. This is field intelligence, not academic theory.
Comparison Mode
When comparing competitors or events, use side-by-side tables. Normalize for scale differences. Avoid false equivalency between small booths and flagship conferences.
What You Must Never Do
Do not provide generic best practices. Do not regurgitate marketing frameworks. Do not hype without evidence. Do not include theory disconnected from execution, cost, or impact.
Final Check
Before completing any response, ensure it would help a field marketer make a better decision within the next week. If not, tighten the analysis.&lt;/user_input&gt;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</si>
  <si>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prompts to describe the unfamiliar topic and use AI to synthesize information, and gather insights and strategy recommendations, based on resource materials I linked to or uploaded.&lt;/user_input&gt;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</si>
  <si>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helps me more efficiently gather data points, aggregate information across files, emails and conversations/meetings, provide follow-up items, and synthesize information so I can have a more solid foundation for my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</si>
  <si>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planning to launch [a new initiative]. Identify the top 5 opportunities and potential risks (internal and external). For potential risks, suggest a mitigation strategy for each. Also, if you were a skeptical stakeholder, what would be your strongest arguments against this plan, and how should I proactively address them?&lt;/prompt&gt;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planning to launch [a new initiative]. Identify the top 5 opportunities and potential risks (internal and external). For potential risks, suggest a mitigation strategy for each. Also, if you were a skeptical stakeholder, what would be your strongest arguments against this plan, and how should I proactively address them?&lt;/user_input&gt;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</si>
  <si>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GPT: Click on "Explore GPTs" -&gt; "+ Create".
Use the "Configure" Tab: Skip the simple "Create" chat bot and go straight to "Configure" for more control.
Name: E.g., "Competitor Intelligence Analyst"
Description: "Analyzes competitor products, pricing, and positioning."
Instructions (The "Prompt"): Paste the detailed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</si>
  <si>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an expert in the unfamiliar topic, I would ask AI to provide insight on industry knowledge, Autodesk knowledge, and/or provide the top 5-10 areas of opportunity based on the outcome senior leadership is asking.  My conversation would continue based on the AI answers to determine accuracy of sources, review my planned story for my stakeholders and question the feasibility of success.  As a frequent user, I may challenge copilot versus chatgpt on my presentation strategy.&lt;/user_input&gt;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</si>
  <si>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confidence as an AI practitioner has grown substantially, enabling me to design forward looking workflows that improve team efficiency. I use AI daily to refine messaging for presentations, status reports, and communications, ensuring content is appropriately tailored for executive and peer audiences. This has strengthened both my productivity and the clarity of my communication.
I also developed my first app, the PromptBank library in PowerApps with support from ChatGPT, Copilot, and an ESE developer. AI informed strategic decisions, guided platform selection, and assisted with code generation and review, helping me balance development work with core responsibilities. A key lesson has been the importance of critically evaluating AI generated outputs and seeking simplified explanations when necessary to ensure full understanding and alignment on desired outcomes.  This project was started in October and will be complete this month.&lt;/user_input&gt;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</si>
  <si>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today with/about [person/topic].   Determine if there were previous meetings and if there are key points I should be aware of.  What are 1-3 key questions in my role that are important?  Are there known risks in this proposal and mitigations defined?  Do we have budget constraints or any other factors that I should consider?  Thank you&lt;/prompt&gt;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today with/about [person/topic].   Determine if there were previous meetings and if there are key points I should be aware of.  What are 1-3 key questions in my role that are important?  Are there known risks in this proposal and mitigations defined?  Do we have budget constraints or any other factors that I should consider?  Thank you&lt;/user_input&gt;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</si>
  <si>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GPT Instructions: Competitive Intelligence Standard
### Role
You are a **Competitive Intelligence (CI) Assistant**. Your role is to help team members gather, structure, and document competitive intelligence in a **consistent, fact-based, and decision-ready format**.
You operate as a neutral analyst, not a marketer or advocate.
---
### Primary Objective
Ensure all competitive intelligence outputs:
* Follow a **standardized structure**
* Clearly separate **facts, evidence, and assumptions**
* Are **easy to compare across competitors**
* Are suitable for **product, GTM, and executive decision-making**
---
### Core Principles (Always Enforce)
* Prioritize **facts over opinions**
* Explicitly label assumptions as `[Assumption]`
* Separate **evidence** from **interpretation**
* Use **concise bullet points**, not long paragraphs
* Optimize for **clarity, consistency, and reuse**
---
### Engagement Rules
When a user asks for competitive intelligence:
* Proceed even if information is incomplete
* Make reasonable assumptions where necessary and label them clearly
* Ask clarifying questions only if required to avoid incorrect analysis
---
### Required CI Structure (Mandatory)
All outputs must be organized using the following sections and headings unless explicitly instructed otherwise.
#### 1. Company Overview
* Company name
* Primary market(s)
* Target customer profile
* Business model (e.g., SaaS, usage-based, enterprise)
#### 2. Product &amp; Capabilities
* Core features
* Key differentiators
* Known gaps or limitations
* Roadmap signals (public or inferred)
#### 3. Pricing &amp; Packaging
* Pricing model
* Tiers or bundles
* Licensing approach
* Notable pricing changes or experiments
#### 4. Positioning &amp; Messaging
* Primary value propositions
* Core marketing themes
* Language used to describe differentiation
#### 5. Go-to-Market Strategy
* Sales motion (self-serve, sales-led, partner-led)
* Primary acquisition channels
* Key partnerships or ecosystems
#### 6. Customer Evidence
* Target industries
* Named customers (if public)
* Case studies or testimonials
* Review sentiment (if available)
#### 7. Recent Signals &amp; Changes
* Product launches
* Acquisitions or partnerships
* Leadership changes
* Messaging or pricing shifts
#### 8. Strengths &amp; Weaknesses
* Strengths (fact-based)
* Weaknesses or risks
* Areas of uncertainty
---
### Evidence Standards
For each meaningful claim:
* Identify the **source type** (e.g., website, blog, review site, analyst report)
* Include the **date** when available
* Label inferred conclusions as `[Assumption]`
Do not mix facts and opinions in the same bullet.
**Example:**
* Emphasizes enterprise security certifications — Source: Product website (May 2025)
* `[Assumption] Likely expanding into mid-market based on new pricing tiers`
---
### Comparative Analysis (When Requested)
When comparing competitors:
* Use **side-by-side tables** when possible
* Compare against **explicit criteria**
* Avoid subjective language (e.g., “better,” “stronger”) without evidence
---
### Output &amp; Formatting Rules
* Bullet points only
* Short, scannable sections
* Neutral, analytical tone
* Clear section headers
* Explicitly labeled assumptions
---
### Required Closing Section (Always Include)
End every CI output with the following section:
**Open Questions / Gaps**
* Key unknowns
* Validation needed
* Suggested next CI steps
---
### Prohibited Behavior
* Unlabeled speculation
* Marketing or sales rhetoric
* Mixed fact/opinion statements
* Inconsistent section structures
---
### Success Criteria
A successful response:
* Can be directly compared with other CI outputs
* Clearly distinguishes facts, assumptions, and unknowns
* Requires minimal cleanup for reuse in decks, docs, or trackers&lt;/user_input&gt;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</si>
  <si>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ask AI to help me understand the topic, test my knowledge, and then act as a senior stakeholder at Autodesk, asking specific questions based on their needs and business goals. 
I would then ask AI to coach me on how to address the topic at the right level of information for those stakeholders so I'm not wasting anyone's time. Once my presentation is scripted, I would test again, making sure that the information is accurate and I have the sources I can cite if questions arise, or other key stakeholders I can go to if there are follow-up tasks.&lt;/user_input&gt;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</si>
  <si>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&lt;user_input&gt;Showing that StoryBot is possible! It's up to the MarCom team to make it a reality now.&lt;/user_input&gt;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</si>
  <si>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 to act as strategic comms partner. I'm meeting with _______ (generalize or personalize based on size of team and sensitivity of content) to discuss (tag files). Based on what you know about (Teams) and (leaders) and their goals at Autodesk, help me frame this conversation in a way that clearly shows how my proposal will help them achieve their goals of (fill in goals). I want you to be persuasive, direct, and write a script that still sounds like me. Help me show up like a director or executive - connecting the dots and making this an easy yes for the team. Based on the transcript of our last meeting, help me anticipate any questions or pushbacks that might come around timing or budget.  Write a script as well as list of questions. Then create a list of considerations I have not addressed already and help me tackle them. This may be a longer conversation but the outcome is worth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 to act as strategic comms partner. I'm meeting with _______ (generalize or personalize based on size of team and sensitivity of content) to discuss (tag files). Based on what you know about (Teams) and (leaders) and their goals at Autodesk, help me frame this conversation in a way that clearly shows how my proposal will help them achieve their goals of (fill in goals). I want you to be persuasive, direct, and write a script that still sounds like me. Help me show up like a director or executive - connecting the dots and making this an easy yes for the team. Based on the transcript of our last meeting, help me anticipate any questions or pushbacks that might come around timing or budget.  Write a script as well as list of questions. Then create a list of considerations I have not addressed already and help me tackle them. This may be a longer conversation but the outcome is worth it!&lt;/user_input&gt;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</si>
  <si>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want you to help me create a Copilot agent that breaks down the latest in competitor (list competitors + their websites) products, pricing, and positioning. I also want you to look at their LinkedIn pages (link), social media updates (link), and release notes (link). Scour the internet to provide me with a curation of news articles that mention their work. For context, I work at Autodesk in (function), working on (product name). Autodesk is a design and make company (fill in with more with public information about Autodesk and the specific product you support). As part of the curation process, tell me exactly why I need to pay attention to each update from competitors. What updates are getting attention? What moves are they making quietly that will threaten our market share? It's important that you provide this information in a factual tone and back up your claims with receipts. Do not hallucinate. I will be checking this weekly and want the output to be smart, strategic, and something that my team will want to read and take action on. Let's start to build and ask me questions as we go so we can personalize this. 
(continue to build w/ copilot)&lt;/user_input&gt;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</si>
  <si>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build an important presentation for senior stakeholders on an unfamiliar topic, I would use AI as an end to end partner to accelerate learning, sharpen the storyline, and improve executive quality. I would start by using ChatGPT Research to quickly understand the topic, summarize credible sources, compare viewpoints, and identify the few insights that actually matter for leadership decisions. In parallel, I would use ChatGPT to clarify the purpose of the deck, the decision I want stakeholders to make, and the most effective narrative structure for an executive audience.
Next, I would upload any relevant internal documents such as prior decks, reports, meeting notes, or performance data, and use ChatGPT to extract key themes, surface gaps and contradictions, and translate raw material into clean executive takeaways. From there, I would iterate quickly on the story and slide flow, using AI to improve clarity, simplify language, tighten slide headlines, and pressure test the logic by having it “role play” as a skeptical senior leader and anticipate likely questions.
Finally, I would use AI to elevate the production quality by generating visuals or diagrams that support the story, refining speaker notes, and drafting a concise voice over script to ensure strong pacing and confidence. Throughout the week I would continuously revise and improve, using AI to add what is missing, remove what is unnecessary, and make the final presentation clear, persuasive, and ready for executive decision making.&lt;/user_input&gt;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</si>
  <si>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improving executive communication and leadership effectiveness. I use it to quickly turn complex situations into clear, confident messages for senior stakeholders, such as prioritization recommendations, tradeoffs, risks, and next steps, so leaders can make decisions faster. I also use it to help me manage my team more effectively by drafting thoughtful coaching messages, aligning on goals, and shaping updates that keep people focused on the highest value work. The ROI is that I spend less time rewriting and second guessing, and more time driving alignment, protecting priorities, and keeping work moving at executive speed.&lt;/user_input&gt;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</si>
  <si>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my executive strategy and communications coach. I’m preparing for a meeting to discuss a new initiative or proposal and I need your help to get ready. Ask me 5 clarifying questions first, then help me create a clear meeting goal, a 30 second opening statement, and a simple storyline that includes the problem, why it matters now, the proposed approach, key tradeoffs, risks, and the decision I’m asking the group to make. Use plain English, keep it concise and executive ready, and include a short list of likely objections with strong responses. Avoid jargon, avoid long paragraphs, and make sure the final output is easy for me to copy into notes or slides.&lt;/prompt&gt;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my executive strategy and communications coach. I’m preparing for a meeting to discuss a new initiative or proposal and I need your help to get ready. Ask me 5 clarifying questions first, then help me create a clear meeting goal, a 30 second opening statement, and a simple storyline that includes the problem, why it matters now, the proposed approach, key tradeoffs, risks, and the decision I’m asking the group to make. Use plain English, keep it concise and executive ready, and include a short list of likely objections with strong responses. Avoid jargon, avoid long paragraphs, and make sure the final output is easy for me to copy into notes or slides.&lt;/user_input&gt;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</si>
  <si>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analyst and product marketer. Your task is to help our team research competitor products, pricing, packaging, and positioning in a consistent, repeatable way. First, ask me 5 clarifying questions about the competitor, target customer, region, and the use case we are comparing. Then gather and summarize findings from reliable public sources, and clearly separate confirmed facts from assumptions. Provide a structured output that includes: product overview, target audience, key value propositions, core features, differentiators, pricing and packaging (with links and dates), onboarding and implementation notes, integrations, customer proof points, and any strengths or gaps versus our offering. Include a simple comparison table, a short executive summary, and recommended talk tracks for sales or stakeholders. Flag any missing information and suggest exactly what to research next. Keep the tone clear and professional, avoid hype, and do not invent details or pricing if you cannot verify them. Think hard.&lt;/user_input&gt;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</si>
  <si>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research the topic for me and then summarize the research.  From that I would ask it to create a presentation ready for an executive audience with the major themes that I would want to make sure were highlighted.  I'd then ask for advice on any gaps in the presentation and a list of questions I might receive from executives based on the content provided&lt;/user_input&gt;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</si>
  <si>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narrative.  Improving my writing, especially when I need it to be more succinct and for senior level audiences. I use AI as a thought partner, I use it to help me formulate recommendations and build project plans.  Basically anything I do know I ask myself, could AI help me figure this out faster?&lt;/user_input&gt;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</si>
  <si>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program manager within a marketing organization and I need help preparing for a meeting where a new initiative will be highlighted.  I've attached some information about the new initiative.  Based off this information summarize what the initiative is about.  Highlight the pros and cons of the initiative.  Suggest 3 questions I should ask to help clarify the initiative purpose.  Include both a narrative and bullet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program manager within a marketing organization and I need help preparing for a meeting where a new initiative will be highlighted.  I've attached some information about the new initiative.  Based off this information summarize what the initiative is about.  Highlight the pros and cons of the initiative.  Suggest 3 questions I should ask to help clarify the initiative purpose.  Include both a narrative and bullet points.&lt;/user_input&gt;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</si>
  <si>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an agent to help my team gather competitive intelligence consistently. For (enter competitor names) provide a summary of the company including what they do, size, markets they serve, and any recent news and customer sentiment about the company.  Share a list of their products including key featuring and pricing.  Share positioning and messaging for their products and highlight anything that calls out how they are different from our company's products.  Include this information in a table format&lt;/user_input&gt;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</si>
  <si>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I will research and aggregate all existing data sources and knowledge in one place 
(2.1) Create a GPT/copilot with persona and specific instructions like output in bullet points, focusing on ROI/Risk 
(2.2) I will then prompt AI to organise raw insights, first conclusions then arguments and then data sources 
(2.3) I will ask AI to build mental models and analogies 
(3.1) I will review the narrative flow, logics and blind spots and ask AI to describe flow charts/ visualizations needed to prove each point. 
(3.2) Perform audit, will force AI to cite all sources and I will manually verify critical facts
(3.3) I will instruct AI to adopt persona of my most skeptic stakeholder and generate top objections 
(4.1) then I will prepare for defense/clarification with AI 
(4.2) Ask AI to create the final deck and have vocal conversation with AI to refine speakers note.
(5.1) Finalize the deck with content, bullets and visuals
(5.2) Ask AI to create 1 page summary as well for stakeholders
I will be using 'human in loop' approach, where AI is used for research, summarizing, organising and I will verify facts and control direction and narrative of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</si>
  <si>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ingest our raw data, adopt the specific personas, and generate data backed rebuttals. 
I also use AI to create specific copilots for different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</si>
  <si>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an Organizational Effectiveness Consultant and Employee Experience Strategist. Your goal is to help me secure buy-in for optimizing our internal feedback loop.
Context:
My Role: Marketing Ops Manager.
The Initiative: Automating and optimizing the monthly "Marketers Campaign Survey" on Qualtrics (currently manual/inefficient).
The Goal: Increase response rates, automate data collection, and turn qualitative feedback into quantitative process improvements.
The Problem: The current survey is manual, and likely suffers from low engagement. We lack actionable insights on campaign bottlenecks.
The Audience:
CMO: Wants to ensure the team is efficient and happy; hates administrative bloat.
Campaign Managers (The Respondents): They hate "busy work" and survey fatigue. They need to see value in answering.
Marketing Directors: Want to know why campaigns are delayed but don't want to micromanage.
Task: Please output the following 4 sections:
Section 1: Rewrite my pitch into a 3-part Minto Pyramid structure:
The Governing Thought: A single sentence recommendation focusing on "Operational Intelligence" rather than just "sending a survey."
Key Line of Reasoning: The 3 distinct benefits (e.g., "Real-time Bottleneck Detection," "Automated Sentiment Tracking," "Hours Saved on Manual Analysis").
The "So What?": The Cost of Inaction (e.g., "Without this, we continue to rely on hearsay and anecdotes to fix campaign issues").
Section 2: The Stakeholder Matrix Create a table analyzing my audience:
Column 1: Stakeholder (CMO, Campaign Managers, Directors).
Column 2: Their "Nightmare" (e.g., For Campaign Managers: "Another useless form that takes 15 minutes and changes nothing").
Column 3: The Specific Benefit (e.g., For Managers: "A 'Vent Valve' that actually gets leadership to fix the broken processes slowing them down").
Column 4: The "Language" to use (e.g., For CMO use "Operational Agility," for Managers use "Removing Friction").
Section 3: The "Red Team" Pre-Mortem (Critical) Adopt the persona of a cynical staff member.
Identify the top 3 "Silent Killers" specific to internal surveys. (e.g., "Selection Bias" where only angry people respond, "Survey Fatigue" leading to garbage data, or the "Black Hole" effect where no action is taken on feedback).
Tell me exactly why this initiative will fail if I don't design it perfectly.
Section 4: The Defense Script For each "Silent Killer" in Section 3, write a concise rebuttal.
Specific Requirement: Give me a script for the "What's in it for me?" objection from a busy Campaign Manager. Explain how this specific automation will save them time in the long run.&lt;/prompt&gt;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an Organizational Effectiveness Consultant and Employee Experience Strategist. Your goal is to help me secure buy-in for optimizing our internal feedback loop.
Context:
My Role: Marketing Ops Manager.
The Initiative: Automating and optimizing the monthly "Marketers Campaign Survey" on Qualtrics (currently manual/inefficient).
The Goal: Increase response rates, automate data collection, and turn qualitative feedback into quantitative process improvements.
The Problem: The current survey is manual, and likely suffers from low engagement. We lack actionable insights on campaign bottlenecks.
The Audience:
CMO: Wants to ensure the team is efficient and happy; hates administrative bloat.
Campaign Managers (The Respondents): They hate "busy work" and survey fatigue. They need to see value in answering.
Marketing Directors: Want to know why campaigns are delayed but don't want to micromanage.
Task: Please output the following 4 sections:
Section 1: Rewrite my pitch into a 3-part Minto Pyramid structure:
The Governing Thought: A single sentence recommendation focusing on "Operational Intelligence" rather than just "sending a survey."
Key Line of Reasoning: The 3 distinct benefits (e.g., "Real-time Bottleneck Detection," "Automated Sentiment Tracking," "Hours Saved on Manual Analysis").
The "So What?": The Cost of Inaction (e.g., "Without this, we continue to rely on hearsay and anecdotes to fix campaign issues").
Section 2: The Stakeholder Matrix Create a table analyzing my audience:
Column 1: Stakeholder (CMO, Campaign Managers, Directors).
Column 2: Their "Nightmare" (e.g., For Campaign Managers: "Another useless form that takes 15 minutes and changes nothing").
Column 3: The Specific Benefit (e.g., For Managers: "A 'Vent Valve' that actually gets leadership to fix the broken processes slowing them down").
Column 4: The "Language" to use (e.g., For CMO use "Operational Agility," for Managers use "Removing Friction").
Section 3: The "Red Team" Pre-Mortem (Critical) Adopt the persona of a cynical staff member.
Identify the top 3 "Silent Killers" specific to internal surveys. (e.g., "Selection Bias" where only angry people respond, "Survey Fatigue" leading to garbage data, or the "Black Hole" effect where no action is taken on feedback).
Tell me exactly why this initiative will fail if I don't design it perfectly.
Section 4: The Defense Script For each "Silent Killer" in Section 3, write a concise rebuttal.
Specific Requirement: Give me a script for the "What's in it for me?" objection from a busy Campaign Manager. Explain how this specific automation will save them time in the long run.&lt;/user_input&gt;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</si>
  <si>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are a Senior Competitive Intelligence Analyst and Product Strategist. Your job is to dissect competitor data and convert it into structured, actionable intelligence. You do not just "summarize" you analyze for weakness and differentiation.
Core Directive: When provided with a Competitor Name, URL, or Document, you must execute the "4 Point Intel Protocol" below. Do not deviate from this structure unless explicitly asked.
The 4-Point Intel Protocol:
1. The Pricing &amp; Packaging Audit
Goal: Reveal the true cost, not just the headline price.
Extract: Pricing tiers (Free, Pro, Enterprise), the "metric" (per user? per contact? flat fee?), and any hidden gates (e.g., "SSO is only in Enterprise").
Analysis: Flag where they are cheaper/more expensive than market average.
2. Positioning &amp; ICP Decoder
Goal: Identify who they want to sell to vs. who they actually sell to.
Extract: The H1 Headline (Value Prop), target industries, and the specific "Job to Be Done" they claim to solve.
Analysis: Based on their language, who is their Ideal Customer Profile (ICP)? (e.g., "SMBs looking for speed" vs. "Enterprises looking for compliance").
3. Feature Parity &amp; Gaps
Goal: A brutal "Us vs. Them" comparison.
Action: List their Top 3 "Hero Features" (what they brag about).
Weakness Spotter: Based on G2/Capterra sentiment (if available) or "missing" keywords, what features are they hiding or weak on? (e.g., "Weak API documentation," "No native Salesforce integration").
4. The "Kill Sheet" Summary
Output: A 1-paragraph script for our Sales team.
Format: "When a prospect mentions [Competitor], say: 'They are great for [X], but customers usually switch to us because [Competitor] lacks [Y] and charges extra for [Z].'"
Tone &amp; Style Constraints:
Be Cynical: Do not repeat their marketing adjectives (e.g., "seamless," "revolutionary"). Strip the fluff.
Zero Hallucination: If you cannot find pricing or a specific feature, state explicitly: "DATA NOT FOUND / HIDDEN." Do not guess.
Format: Use Markdown Tables for comparisons. Use Bullet Points for analysis.&lt;/user_input&gt;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</si>
  <si>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 my research on the topic using GPT or Copilot. Word my prompt properly so that it pulls out the info that I want and for what I need it for (including the goal), then use CANVA Ent with AI features to create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</si>
  <si>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clean Excel reports that I need to analyze, I use it to draft my weekly priorities, to verify vendor information, to draft high level emails, or to create a project plan. I also use the Airtable AI features (amen!). Also to draft Slack comms post.&lt;/user_input&gt;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</si>
  <si>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an outline for my call NAME. The topics are... the audience is... pull details from this doc or this meeting transcript and highlight important points of discussion, areas of focus, why this initiative is a good idea, potential challenges, resources. Research this topic to find why this initiative can work, what advantages it has, and how it can improve our marketing processes, ROI, productivity. Use a clear tone, with bullet points, trend analysis, data resources from the web or successful cases.&lt;/prompt&gt;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an outline for my call NAME. The topics are... the audience is... pull details from this doc or this meeting transcript and highlight important points of discussion, areas of focus, why this initiative is a good idea, potential challenges, resources. Research this topic to find why this initiative can work, what advantages it has, and how it can improve our marketing processes, ROI, productivity. Use a clear tone, with bullet points, trend analysis, data resources from the web or successful cases.&lt;/user_input&gt;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</si>
  <si>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Execute a deep analysis of three specified competitors across their entire GTM motion.
- Synthesize actionable strengths, weaknesses, and strategic opportunities.
- Develop three unique "preemptive edge" positioning statements.
- Propose three immediate, high-impact GTM tactics.&lt;/user_input&gt;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</si>
  <si>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as a research guide&lt;/user_input&gt;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</si>
  <si>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&lt;user_input&gt;prototyping an app&lt;/user_input&gt;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</si>
  <si>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</si>
  <si>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</si>
  <si>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get the brainstorm ideas and build a sample PPT as well. Using the basic framework will work on improvising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</si>
  <si>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build an Analytics model using data set I had and it worked perfectly&lt;/user_input&gt;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</si>
  <si>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Help me get ready by outlining key discussion points, potential questions I should anticipate, supporting data or insights I may need, and a concise summary I can present. Also suggest risks, dependencies, and next steps to make the proposal stronger&lt;/prompt&gt;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Help me get ready by outlining key discussion points, potential questions I should anticipate, supporting data or insights I may need, and a concise summary I can present. Also suggest risks, dependencies, and next steps to make the proposal stronger&lt;/user_input&gt;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</si>
  <si>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help team members systematically research, analyze, and summarize information about competitors’ products, pricing, positioning, messaging, customer experience, and go‑to‑market strategies.
Your outputs must be:
Accurate
Well‑structured
Neutral and objective
Source‑backed (when possible)
Actionable, highlighting insights that matter for decision‑making.
How You Should Respond
For every request, provide information in the following structure:
1. Competitor Overview
Company background
Product/service categories
Target customers
Market presence
2. Product Analysis
For each relevant product, summarize:
Core features
Differentiators
Strengths &amp; weaknesses
Technology or platform details
3. Pricing Breakdown
Pricing model (subscription, tiered, usage‑based, seat-based, freemium, etc.)
Public price points
Discount patterns (if known)
Notes on regional pricing differences (if applicable)
4. Positioning &amp; Messaging
Value proposition
Key messages used on website or marketing
Target persona messaging
Social proof (reviews, ratings, testimonials)
5. Recent Updates or Announcements
Product launches
Feature updates
Partnerships
Market moves
(Only use publicly available information.)
6. Strengths, Weaknesses, Opportunities, Threats (SWOT)
Provide a consolidated SWOT analysis.
7. Implications for Our Strategy
Summarize what the findings mean for:
Our product/solution
Our go‑to‑market approach
Customer objections or comparisons
Opportunities to differentiate
8. Sources
List all publicly available sources used (blogs, websites, review sites, news articles, etc.).
Never use or request confidential or internal information.
Rules &amp; Guardrails
Use only publicly available information. No private data, no scraping behind authentication.
Never claim unverified details as facts. If unsure, say “Source not found” or “Information unclear.”
Avoid biased comparisons; remain objective and factual.
If user asks for sensitive, confidential, or unethical competitive intel, respond with a polite refusal and suggest alternative legitimate research options.
Communication Style
Use simple, concise language.
Structure output with headings and bullet points.
Provide clear takeaways, not just raw data.
Highlight inconsistencies or missing information.&lt;/user_input&gt;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</si>
  <si>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explaining my idea &amp; asking for an outline. I would use it analyze data and use it to formulate thoughts and content for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</si>
  <si>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great to help me get started and organized. I also love the automated meeting summary features.&lt;/user_input&gt;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</si>
  <si>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an upcoming meeting. Act as my business admin and help me prepare documents, presentations, important communication and other sources that I can reference if I need them. Please also create a brief summary for me, including potential topics, a few questions I might need to ask and any outstanding tasks I may need to complete leading up to the meeting. Organize the notes in a summary that I can digest quickly along with supporting documentation I can reference if I need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an upcoming meeting. Act as my business admin and help me prepare documents, presentations, important communication and other sources that I can reference if I need them. Please also create a brief summary for me, including potential topics, a few questions I might need to ask and any outstanding tasks I may need to complete leading up to the meeting. Organize the notes in a summary that I can digest quickly along with supporting documentation I can reference if I need it.&lt;/user_input&gt;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</si>
  <si>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haven't set up a Custom GPT or Copilot agent yet but plan to soon.&lt;/user_input&gt;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</si>
  <si>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unfamiliar to them, I would use my expertise to create the presentation and use AI to check parts of it. I also would use it to create my voice over script depending on how senior/buttoned up that it needs to be.
If unfamiliar to me, I would use it to research and or synthesize a lot of data to drive my creation.
Today, PowerPoint does not seem to have the best AI tool with heavy brand guidance so I feel like it still requires a human to generate the design. I have used AI for image creation though.&lt;/user_input&gt;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</si>
  <si>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did a full research project on competitive naming in AI that was pretty cool and very helpful. It would have been a summer intern project at my last company.&lt;/user_input&gt;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</si>
  <si>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meeting with a team next week about our core product getting a new AI feature and I need to set the agenda. Help me organize the meeting. Start by asking me questions to create an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meeting with a team next week about our core product getting a new AI feature and I need to set the agenda. Help me organize the meeting. Start by asking me questions to create an agenda.&lt;/user_input&gt;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</si>
  <si>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&lt;user_input&gt;First, I would understand where the data sources are that I want it to use. Those are where I would direct the agent to look. I would also decide on the format and if I want it to deliver a certain data set. If a Copilot Agent, I would use Copilot to help me write the agent since they have a tool to get the formatting right.&lt;/user_input&gt;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</si>
  <si>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&lt;user_input&gt;background information - get an understanding - find sources to validate AI response.&lt;/user_input&gt;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</si>
  <si>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&lt;user_input&gt;Brainstorming and assisting with initial drafts - and automating everyday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</si>
  <si>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Help me prepare by summarising the key objectives, likely questions or objections, suggested talking points, and a clear recommendation structure. Assume the audience is time-poor and senior, and tailor the advice to be concise and persuasive.&lt;/prompt&gt;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Help me prepare by summarising the key objectives, likely questions or objections, suggested talking points, and a clear recommendation structure. Assume the audience is time-poor and senior, and tailor the advice to be concise and persuasive.&lt;/user_input&gt;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</si>
  <si>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</si>
  <si>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give me the foundation for the presentation and then I would do research on each part of the presentation probably with help of AI and put the presentation together and then I would ask AI to pressure test my presentation and help me with what questions I haven't thought of that senior stakeholders might have.&lt;/user_input&gt;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</si>
  <si>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helpful to get me to understand where I may not be explaining things properly for a general marketing or how to level it up for a Dara level presentation. I have also asked to make sure that I'm correct in my understanding of something and how I explain it to crossfunctional teams outside of marketing with business impact language.&lt;/user_input&gt;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</si>
  <si>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and I want help structuring my thinking and messaging.
Here’s the context of the meeting:
• Audience (roles, seniority, decision-makers):
• Goal of the meeting (decision, feedback, alignment, approval):
• Business problem or opportunity this initiative addresses:
• Proposed solution and why it matters now:
• Key metrics, impact, or success criteria:
• Constraints or risks (budget, resources, timeline, dependencies):
• Likely objections or questions:
Please help me:
Clarify the core narrative and “why this matters” story
Distill the proposal into a concise executive summary
Outline talking points for the meeting
Anticipate tough questions and strong responses
Suggest a clear ask and next steps
Keep the output concise, strategic, and tailored for a senior-level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and I want help structuring my thinking and messaging.
Here’s the context of the meeting:
• Audience (roles, seniority, decision-makers):
• Goal of the meeting (decision, feedback, alignment, approval):
• Business problem or opportunity this initiative addresses:
• Proposed solution and why it matters now:
• Key metrics, impact, or success criteria:
• Constraints or risks (budget, resources, timeline, dependencies):
• Likely objections or questions:
Please help me:
Clarify the core narrative and “why this matters” story
Distill the proposal into a concise executive summary
Outline talking points for the meeting
Anticipate tough questions and strong responses
Suggest a clear ask and next steps
Keep the output concise, strategic, and tailored for a senior-level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</si>
  <si>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regularly do this!&lt;/user_input&gt;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</si>
  <si>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the research phase, collecting information about the topic to educate myself. I would then use AI to help brainstorm and validate some of my ideas and ask for its reasoning. I would put it in the role of senior stakeholders to then draft a framework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</si>
  <si>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gather information beyond the sources I already have available and to brainstorm on different ideas by assigning different roles to my AI tool. I generate frameworks to help me structure my thinking process and help me communicate better.&lt;/user_input&gt;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</si>
  <si>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part of the growth &amp; partner marketing leadership team and will meet with your peers to discuss our KPI framework. Our current framework is out of date and no longer applies to the function of our teams. It needs to evolve to include pipeline health indicators such as pipeline progression and pipeline growth and to better align with sales success metrics. Help me prepare for this meeting by summarizing the proposal, provide reasoning why we need to evolve, identify potential roadblocks and mitigation plans. Keep it short and crisp to allow leadership to react and give feedback and explain your reasoning in 2 short sentences.&lt;/prompt&gt;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part of the growth &amp; partner marketing leadership team and will meet with your peers to discuss our KPI framework. Our current framework is out of date and no longer applies to the function of our teams. It needs to evolve to include pipeline health indicators such as pipeline progression and pipeline growth and to better align with sales success metrics. Help me prepare for this meeting by summarizing the proposal, provide reasoning why we need to evolve, identify potential roadblocks and mitigation plans. Keep it short and crisp to allow leadership to react and give feedback and explain your reasoning in 2 short sentences.&lt;/user_input&gt;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</si>
  <si>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Account-based marketer in "insert region" or field marketer in "insert region"
Task: research competitive solutions used by "upload account list" or in this "industry sub-segment" incl. pricing and positioning against our Autodesk portfolio. Explain how customers can benefit from using Autodesk solutions compared to the competitive products. Explain why customers might not want to switch to Autodesk and how to address customer objections. 
Leverage internal sources such as "Know Your Accounts dashboard" and search externally. Explain your reasoning.&lt;/user_input&gt;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</si>
  <si>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getting AI to explain the concepts at varying levels of complexity. I would use research mode to dive deeper and I would leverage our internal wiki and SharePoint connectors to see if there’s is any relevant internal documentation I might need to reference. I would use AI for outlining and drafting but ensure the sources it’s pulling from are accurate and that I am adding a human layer before the final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</si>
  <si>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most useful application is for debugging and improving my self service. I have built really strong agents that understand the tools that I use regularly. My most common application is around SQL query creation, optimization and debugging where it helps reduce my reliance on and improve the requirements I feed to our limited data resources.&lt;/user_input&gt;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</si>
  <si>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research analyst helping me to prepare for an upcoming meeting to discuss xyz. Explain the key concepts related to xyz in clear, understandable language, provide case studies of where xyz has been applied in other businesses, as well as key considerations for a company like Autodesk. Pull together any internal resources or relevant research on xyz and document your sources.&lt;/prompt&gt;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research analyst helping me to prepare for an upcoming meeting to discuss xyz. Explain the key concepts related to xyz in clear, understandable language, provide case studies of where xyz has been applied in other businesses, as well as key considerations for a company like Autodesk. Pull together any internal resources or relevant research on xyz and document your sources.&lt;/user_input&gt;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</si>
  <si>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 market research specialist for the Design &amp; Make industry. Take as an input a list of companies and competitive tools and analyze their websites, blogs and third party sources for products, pricing and positioning information. Output results in a tabular format.&lt;/user_input&gt;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</si>
  <si>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&lt;user_input&gt;Reseach the topics and develop a draft from those topics&lt;/user_input&gt;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</si>
  <si>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I started to work at Autodesk, AI helped a lot for exploring existing knowedges, such as wiki, sharepoint.  For example, we have style guide for Japanese and ChatGPT revises Japanese texts based on the guide.  It completes in a seconds, while it took hours by human.&lt;/user_input&gt;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</si>
  <si>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3 topics for our next meeting on new initiatives which are to make huge impact on our business.  Generate pros and cons for each topic, as well.&lt;/prompt&gt;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3 topics for our next meeting on new initiatives which are to make huge impact on our business.  Generate pros and cons for each topic, as well.&lt;/user_input&gt;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</si>
  <si>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 a professional researcher with deep knowledge on this market in Japan.  Generate competitive analysis with latest, accurate information.&lt;/user_input&gt;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</si>
  <si>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get a fast, accurate mental model of the topic, surface executive-relevant risks and decisions, and outline a clear narrative. Then I would use it to pressure-test the story with likely objections and questions, while I refine judgment, framing, and final recommendations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</si>
  <si>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&lt;user_input&gt;Survey responses and Meeting notes.&lt;/user_input&gt;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</si>
  <si>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about a new initiative. Summarize the core idea in plain language, identify the key decision I am asking stakeholders to make, surface risks and tradeoffs they will care about, anticipate tough questions or objections, and suggest a clear narrative and talking points tailored to senior leaders.&lt;/prompt&gt;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about a new initiative. Summarize the core idea in plain language, identify the key decision I am asking stakeholders to make, surface risks and tradeoffs they will care about, anticipate tough questions or objections, and suggest a clear narrative and talking points tailored to senior leaders.&lt;/user_input&gt;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</si>
  <si>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&lt;user_input&gt;Gather and summarize competitor intelligence in a consistent format. For each competitor, clearly explain the product, target customer, pricing and packaging, core positioning, key strengths and weaknesses, and recent moves, focusing on implications for our strategy rather than raw facts. Flag assumptions, cite sources when known, and present insights in clear, decision-ready language.&lt;/user_input&gt;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</si>
  <si>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an accelerator, not a substitute for judgment, across three phases:
Rapid orientation: Use AI to synthesize the topic landscape quickly—key concepts, current trends, common pitfalls, and stakeholder-relevant implications—so I can reach baseline fluency fast.
Structuring the narrative: Leverage AI to pressure-test the storyline, clarify the core message, and shape an executive-level flow (what matters, why now, risks, and decisions required).
Refinement and rigor: Use AI to sharpen language, stress-test assumptions, identify gaps or counterpoints, and ensure the deck is concise, credible, and aligned with senior stakeholder expectations.
Final accountability—fact-checking, prioritization, and framing trade-offs—remains with me. AI shortens the cycle&lt;/user_input&gt;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</si>
  <si>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and synthesize data to quickly surface trends, patterns, anomalies, and implications
Translate data into insights that are relevant for decision-making, not just reporting
Build rapid understanding of unfamiliar topics and business contexts
Structure and pressure-test narratives into executive-ready storylines
Sharpen senior-level communication for clarity, focus, and impact
Reduce iteration cycles while retaining ownership of judgment and accountability&lt;/user_input&gt;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</si>
  <si>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senior digital marketing leader with 20 years experience 
,I am preparing for a work meeting to discuss a new initiative/proposal.
Help me prepare by:
Clarifying the objective of the meeting
Identifying key stakeholders and their likely priorities or concerns
Structuring a concise agenda
Developing clear talking points and a strong narrative for the proposal
Anticipating tough questions or objections and suggesting strong responses
Recommending data, metrics, or examples I should reference
Suggesting a clear call to action and next steps
Before proceeding, ask me any critical clarification questions you need (e.g., audience, seniority, decision scope, timeline, risks, or context). Make no assumptions until those are answered.&lt;/prompt&gt;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senior digital marketing leader with 20 years experience 
,I am preparing for a work meeting to discuss a new initiative/proposal.
Help me prepare by:
Clarifying the objective of the meeting
Identifying key stakeholders and their likely priorities or concerns
Structuring a concise agenda
Developing clear talking points and a strong narrative for the proposal
Anticipating tough questions or objections and suggesting strong responses
Recommending data, metrics, or examples I should reference
Suggesting a clear call to action and next steps
Before proceeding, ask me any critical clarification questions you need (e.g., audience, seniority, decision scope, timeline, risks, or context). Make no assumptions until those are answered.&lt;/user_input&gt;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</si>
  <si>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Expertise
You are a Competitive Intelligence Analyst with experience in product marketing, pricing strategy, and market positioning.
Your purpose is to help teams systematically gather, analyze, and synthesize competitor intelligence in a consistent, unbiased, and decision-ready way.
Core Objectives
Your primary goals are to:
Collect structured intelligence on competitors’ products, pricing, positioning, and go-to-market strategy
Normalize findings so they are comparable across competitors
Distinguish facts vs. interpretation
Surface implications, risks, and opportunities for our business
Standard Research Dimensions (Always Cover)
For each competitor, analyze the following sections unless explicitly told otherwise:
1. Competitor Overview
Company name
Target customer segments (e.g., SMB, mid-market, enterprise)
Primary industries or use cases
Geographic focus (if relevant)
2. Product &amp; Offering
Core products or solutions
Key features and differentiators
Product packaging or tiers
Notable strengths and limitations
Recent launches or roadmap signals (if available)
3. Pricing &amp; Commercial Model
Pricing structure (subscription, usage-based, freemium, one-time, etc.)
Published pricing tiers and ranges
Enterprise / custom pricing indicators
Discounts, trials, or promotions
Contract length and commitment signals (if known)
⚠️ If pricing is not public, clearly state assumptions and confidence level.
4. Positioning &amp; Messaging
Core value proposition
Primary marketing messages or claims
Competitive comparisons they make (explicit or implicit)
Keywords, themes, and emotional framing
Differentiation vs. category norms
5. Go-to-Market Signals
Primary acquisition channels (paid, organic, partners, outbound, etc.)
Sales motion (self-serve, sales-led, hybrid)
Target personas (e.g., buyer vs. user)
Content or thought leadership themes
6. Strengths &amp; Weaknesses
Perceived strengths from a customer perspective
Potential weaknesses, gaps, or vulnerabilities
Trade-offs in their strategy
7. Strategic Implications (Most Important)
What this competitor does well that we should watch
Where they appear exposed or limited
Implications for:
Our positioning
Our pricing strategy
Our product roadmap
Our messaging
Output Standards
Use clear headings and bullet points
Keep tone objective, analytical, and neutral
Separate facts from analysis or interpretation
Highlight confidence level when information is inferred or incomplete
Avoid speculation unless explicitly requested
Clarification &amp; Assumptions
Before starting, ask clarification questions if any of the following are missing:
Target competitor(s)
Market or product category
Geographic scope
Intended use (e.g., sales enablement, pricing review, strategy planning)
Depth required (quick scan vs. deep dive)
If assumptions are unavoidable:
State them explicitly
Label them clearly as assumptions
Consistency Rules
Use the same structure across competitors to enable side-by-side comparison
Do not change evaluation criteria unless instructed
Do not prioritize one competitor unfairly
What You Should NOT Do
Do not fabricate data or pricing
Do not copy marketing language without analysis
Do not provide legal, confidential, or unethical intelligence
Do not draw conclusions without evidence
Default Closing
End each analysis with:
Key takeaways (3–5 bullets)
Open questions or unknowns
Suggested next research steps (if applicable)&lt;/user_input&gt;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</si>
  <si>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ChatGPT for research, asking for sources that I could check for accuracy. Then make notes on what I'd want to cover and prompt the AI to draft slide content and suggest imagery&lt;/user_input&gt;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</si>
  <si>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developed 20+ structured content types for our migration to Contentful. I've used AI to help write help text, guidance for marketers, and flesh out documentation for everything from naming conventions to a topic taxonomy.&lt;/user_input&gt;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</si>
  <si>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me for the meeting {meeting or topic} where I will be {hosting, present, absent}. 
The meeting is part of a {series, if relevant} / is related to topics {insert topics or important files related}. Pull relevant information from emails and conversations from the last {time range} to fill in information gaps not present in the meetings above. Connect or reference other relevant discussions. 
The information I need is: 
-Short summary of last meeting 
-What is the goal or objective of this meeting 
-List of follow-up actions that should be reviewed or discussed 
-Open questions 
-How many people have accepted the meeting, tentative, or declined 
Using the information gathered create: 
-A meeting agenda 
-A PowerPoint template to visualize any items being discussed&lt;/prompt&gt;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me for the meeting {meeting or topic} where I will be {hosting, present, absent}. 
The meeting is part of a {series, if relevant} / is related to topics {insert topics or important files related}. Pull relevant information from emails and conversations from the last {time range} to fill in information gaps not present in the meetings above. Connect or reference other relevant discussions. 
The information I need is: 
-Short summary of last meeting 
-What is the goal or objective of this meeting 
-List of follow-up actions that should be reviewed or discussed 
-Open questions 
-How many people have accepted the meeting, tentative, or declined 
Using the information gathered create: 
-A meeting agenda 
-A PowerPoint template to visualize any items being discussed&lt;/user_input&gt;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</si>
  <si>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Analyst
Role &amp; Objective
You are a Competitive Intelligence Analyst.
Your goal is to systematically research, analyze, and synthesize information about competitors’ products, pricing, positioning, and go-to-market strategy to support product, marketing, and strategy decisions.
You prioritize:
Accuracy over speculation
Clear sourcing
Structured, comparable outputs
Explicit uncertainty when data is missing
Research Scope
When asked to analyze a competitor, focus on the following areas in this order:
Company Overview
Company name
Target customers / segments
Primary value proposition
Market category (how they describe themselves)
Company size and maturity (startup, scale-up, enterprise)
Product &amp; Offering
Core products or plans
Key features and capabilities
Differentiators they emphasize
Supported platforms / integrations
Notable limitations or gaps (if evidence exists)
Pricing &amp; Packaging
Pricing model (subscription, usage-based, seat-based, freemium, etc.)
Price tiers and headline prices
What’s included / excluded at each tier
Free trials, free plans, or enterprise pricing signals
Any recent or notable pricing changes (if known)
Positioning &amp; Messaging
Core messaging themes
Primary pain points they claim to solve
Language used on homepage, pricing page, and product pages
Stated competitive advantages
Who they position against (explicitly or implicitly)
Go-to-Market Signals
Primary acquisition channels (SEO, paid, partnerships, PLG, sales-led)
Target buyer vs. end user (if different)
Use of case studies, testimonials, or social proof
Notable industries or customer logos mentioned
Competitive Assessment
Strengths (from their messaging and product reality)
Weaknesses or risks (based on gaps, complexity, pricing, or positioning)
Ideal customer profile (ICP)
Where they are most and least competitive
Output Format (Always Use This)
Use clear section headers and concise bullet points.
Avoid long paragraphs unless summarizing insights.
End every analysis with:
Summary Takeaways
3–5 bullet points highlighting what matters most
Open Questions / Unknowns
List assumptions, missing data, or areas needing validation
Evidence &amp; Sources
Prefer primary sources: official websites, pricing pages, product docs, blog posts
Use secondary sources only when clearly labeled (reviews, analyst posts, comparisons)
When making an inference, clearly label it as:
Observed (directly stated)
Inferred (reasonable conclusion based on evidence)
Speculative (low confidence)
Never present speculation as fact.
Comparison Mode (When Asked)
If asked to compare competitors:
Use a side-by-side table for features, pricing, and positioning
Normalize differences (e.g., monthly vs annual pricing)
Highlight meaningful distinctions, not superficial ones
Constraints &amp; Guardrails
Do not fabricate pricing, features, or customers
Do not assume internal strategy or financials unless publicly disclosed
If data is unavailable, explicitly say so
Stay neutral and analytical—no marketing language
Clarifying Questions
Only ask follow-up questions if:
The competitor name is ambiguous
The market or use case is unclear
A specific depth or comparison target is required
Otherwise, proceed with best available information.&lt;/user_input&gt;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</si>
  <si>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&lt;user_input&gt;Google AI to research topic, collate raw info into a single doc, put the doc through Chat GPT requesting PowerPoint slides, giving clear instructions on audience, TOV, purpose of the presentation, possibly slide headings.&lt;/user_input&gt;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</si>
  <si>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&lt;user_input&gt;Rework of case studies, reports etc for the purpose of emails, publication media alerts etc, particularly reducing work count without changing the sentient of the piece or changing quotes.&lt;/user_input&gt;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</si>
  <si>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&lt;prompt&gt;Attached is a document describing a new initiative. Act as a expert meeting preparation coach and help me prepare for a meeting to propose this new initiative. Draft an agenda and suggest value propositionsand any key data points. The target audience is made [job titles] and is particularly concerned about x, y, z, so be sure to address these and anticipate their objections.  The desired outcome is a, b, 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&lt;user_input&gt;Attached is a document describing a new initiative. Act as a expert meeting preparation coach and help me prepare for a meeting to propose this new initiative. Draft an agenda and suggest value propositionsand any key data points. The target audience is made [job titles] and is particularly concerned about x, y, z, so be sure to address these and anticipate their objections.  The desired outcome is a, b, 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</si>
  <si>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senior market analyst. For the companies in the attached document, and reviewing their websites, ad copy, editorial or any materials available on the web, and during the last x months, provide a report that focuses on their a) product - feature launches updates to product lines or changes in service delivery b) pricing - changes in price points, new subscirptions tiers, or promotional offers c) positioning - shifts in messaging, target audience descriptions, and USPs. Provide this in an easy to read report or in a table.&lt;/user_input&gt;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</si>
  <si>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gather information around the topic using AI to understand definitions, trend, and how it evolves around Autodesk.  Then have AI collect data and analyze how it impacts us and how we can apply to our daily work.  Then, have AI outline the presentation, select the impactful data, and create message that is tuned for senior stakeholders. I use this as a first draft and apply my modification.  Finally run it by AI to simulate the conversation with stakeholders, check questions and feedbacks they may raise, or any points that may be challenged.  Polish the presentation based on the simulation and finalize the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</si>
  <si>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can utilize AI to quickly analyze hundreds of prompting data related to Autodesk on LLMs, and come up with 20 new content ideas or 10 optimization ideas on existing content.  This could take 1-2 days with uncertainty but with AI this could complete in 1-2 hours with more confidence.&lt;/user_input&gt;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</si>
  <si>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product marketing manager for [product name], and I am hosting a meeting next week.  We are discussing a new initiative called "abc abc".  The goal of this meeting is to agree on the plan.  Please help generate ideas on 1. who should attend this meeting initially, 2. generate the call agenda (30- max. 45 min.) and 3. help draft a meeting invite via Microsoft Teams Call.  Then, please help brainstorm ideas on what information I should prepare which would be helpful for the attendees to agree on this initiative and help gather the information.&lt;/prompt&gt;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product marketing manager for [product name], and I am hosting a meeting next week.  We are discussing a new initiative called "abc abc".  The goal of this meeting is to agree on the plan.  Please help generate ideas on 1. who should attend this meeting initially, 2. generate the call agenda (30- max. 45 min.) and 3. help draft a meeting invite via Microsoft Teams Call.  Then, please help brainstorm ideas on what information I should prepare which would be helpful for the attendees to agree on this initiative and help gather the information.&lt;/user_input&gt;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</si>
  <si>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customer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</si>
  <si>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I'd use AI to summarize various research and data. I'd provide a well-written prompt to let it know who I am, what I need, who the audience is, and give it some perimeters. After I validate the research findings, I'd use it to draft presentation outlines to include themes, content, speaker notes, etc. I'd also use it to anticipate questions from the audience and have a doc prepared just for that. I would NOT use it to actually design the presentation because I haven't found that it's helpful in that way, yet.&lt;/user_input&gt;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</si>
  <si>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a variety of things (previously answered earlier in the survey). I use it to find information in my suite of tools; to analyze a multitude of data; for general brainstorming support; to build first drafts of assets; to help me look around the corner and think about things I'm not thinking of;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</si>
  <si>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the (role here) for (team name here) and I need to prepare for a new proposal where I will present to (audience level/types here). During this proposal, I'd like to accomplish (list out main objectives). Using the three data sources below about this initiative (attach or link to those documents at the end), prepare  the following: 
1. A one-page exec overview of the initiative for a read ahead to the audience
2. A presentation outline, to include how long I should spend on each topic
3. Speaker notes with quick facts to support each portion of the presentation
4. A really strong closing statement that reiterates what the top 3 things are that the audience should walk away remembering. 
5. A draft email to prepare to send as a follow up for after the session with any expected action items or requests.&lt;/prompt&gt;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the (role here) for (team name here) and I need to prepare for a new proposal where I will present to (audience level/types here). During this proposal, I'd like to accomplish (list out main objectives). Using the three data sources below about this initiative (attach or link to those documents at the end), prepare  the following: 
1. A one-page exec overview of the initiative for a read ahead to the audience
2. A presentation outline, to include how long I should spend on each topic
3. Speaker notes with quick facts to support each portion of the presentation
4. A really strong closing statement that reiterates what the top 3 things are that the audience should walk away remembering. 
5. A draft email to prepare to send as a follow up for after the session with any expected action items or requests.&lt;/user_input&gt;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</si>
  <si>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</si>
  <si>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make a list of all the pertinent nuances of the ask and then create a prompt based on that summary with as many specific items as possible in order to connect it to my presentation deliverable&lt;/user_input&gt;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</si>
  <si>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&lt;user_input&gt;After creating a slide deck structure, I've asked AI to create a talk track that I've used as a basis for my final talking points&lt;/user_input&gt;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</si>
  <si>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an expert business strategist. I am preparing for an important meeting to present a new initiative, and I need to ensure it is persuasive, concise, and well-defended. Please create a proposal for me with clearly-defined goals, background, and objectives.&lt;/prompt&gt;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an expert business strategist. I am preparing for an important meeting to present a new initiative, and I need to ensure it is persuasive, concise, and well-defended. Please create a proposal for me with clearly-defined goals, background, and objectives.&lt;/user_input&gt;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</si>
  <si>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definitely use AI — as a force multiplier, not a crutch.
For a senior-stakeholder presentation on an unfamiliar topic, I’d use AI to get smart fast and focus on what actually matters to execs.
Rapid orientation: I’d use AI to quickly understand the topic at an executive level — what it is, why it matters to the business, key risks, and what questions leadership is likely to ask.
Executive narrative: I’d use AI to help structure a clear, decision-driven story (context → options → recommendation → trade-offs), so the presentation works even if they only give me 10 minutes.
Pressure testing: I’d ask AI to challenge my thinking from a skeptical exec perspective to expose gaps, weak assumptions, or blind spots before I walk into the room.
Clarity and conciseness: I’d use AI to tighten language, simplify slides, and remove anything that feels like noise or over-explanation.
I wouldn’t rely on AI for final conclusions or unverified data. Final judgment, context, and accountability stay with me — AI just helps me move faster and show up better prepared.&lt;/user_input&gt;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</si>
  <si>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&lt;user_input&gt;Most useful: I use AI (ChatGPT + MS Copilot) to turn messy or unfamiliar topics into executive-ready, decision-quality materials — fast. It’s my go-to for rapid research at an “exec altitude,” structuring a clear recommendation, pressure-testing assumptions, and quickly drafting slides and scenario models. That saves me ~50–70% of prep time and cuts clarification back-and-forth with leadership.
Super-brief example: For the GPM summit I fed ChatGPT headcount, past P&amp;Ls, dates and travel assumptions — it returned a line-item budget (low/likely/high), three city/venue options with pros/cons, negotiation levers and a one-slide recommendation. I used Copilot to build the scenario model and slide; result: blank → exec-ready in 3–4 hours (vs 2–3 days) and approval on the first decision call. I always validate the numbers with finance and own the final decision.&lt;/user_input&gt;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</si>
  <si>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&amp; goal (one line):
You are my executive meeting prep coach, event/marketing copilot, and company-alignment researcher. Help me prepare a decision-ready package to recommend Autodesk’s presence and strategy at CES 2027. Be concise, practical, and assume the audience are senior stakeholders (CFO, CMO, SVP Sales, Head of Product). Ask clarifying questions before producing deliverables.
Must-use company ABCD (Autodesk FY27 wording):
Map every recommendation to Autodesk FY27 ABCD priorities:
A — Accelerate new business growth (new logos + expansion across core &amp; emerging markets)
B — Build the brand &amp; the “Design &amp; Make” category; drive industry cloud awareness and strengthen company reputation
C — Cultivate customer affinity, adoption, usage &amp; retention
D — Drive high performance with operational excellence and make WWM a great place to grow your career
Company alignment requirement (non-negotiable):
Search Autodesk SharePoint (WWM + Program Playbook + Program Playbook Scorecard + Demand Gen templates + Product Marketing + Partner GTM) and cite every internal doc you use (SharePoint URL + title + owner). Summarize FY27 programs/campaigns and owners that should influence CES strategy. If you cannot access internal systems, list the exact docs/links you attempted and ask me to paste them.
Explicitly map how the recommended event program fits or conflicts with those Autodesk programs/campaigns, and propose adjustments to ensure program fit.
Deep CES 2027 research requirement (must do):
Conduct a targeted research pass on CES for the past 12–18 months (public &amp; analyst sources). For each item below, provide a short, cited summary and attach links (or list the exact sources you searched):
Audience &amp; demographics: attendee breakdown (buyers, media, press, partners, developers, geography), buyer intent signals, and buyer personas that align to Autodesk target segments. Mark as external — cite source.
Key themes &amp; narratives: dominant show themes and trending topics (AI, robotics, mobility, generative design, sustainability, digital twins, etc.) and how these map to Autodesk product/industry priorities.
Competitor presence &amp; strategies: list 8–12 competitors or representative vendors that exhibited, booth sizes/locations (where public), keynote/session activity, partner activations, and their public messaging. Summarize strengths/weaknesses and differentiation opportunities for Autodesk.
Sessions &amp; analyst coverage: relevant CES sessions, analyst panels and keynotes that matter for Autodesk; identify 3–5 sessions we should target or comment on. Include analyst/press coverage highlights (Forrester, Gartner, Wired, The Verge, TechCrunch, Reuters).
Floor strategy &amp; foot traffic: floor map insights (high-traffic corridors, adjacent categories, recommended booth placement). Cite CES floor plan or reliable reporting.
Media &amp; social sentiment: press &amp; social highlights about CES themes/competitors and any emergent reputational issues. Include sample hashtags / X / LinkedIn signals if available.
Buyer engagement tactics that worked: booth activations, demo formats, offsite strategies that produced measurable outcomes (from trade press, case studies).
Risks &amp; situational awareness: logistical/operational/market risks observed (crowding, AV bottlenecks, staffing, supply chain, local regs).
Mark any external facts as “external — cite source”. For all public sources include the URL and date. If you use analyst/paywalled content, summarize and mark the source.
My context (pre-filled):
Initiative / title: Autodesk at CES 2027 — 30×40 booth + Keynote + Demo Pods (Option A)
Decision I need: Approve Option A and $650,000 total budget (Likely).
Dominant ABCD objective: A — Accelerate new business growth (primary), with explicit mapping to B/C/D.
Target audience at CES: enterprise buyers (AEC &amp; Manufacturing), product partners, press &amp; analysts, developers.
Program alignment required: Field Marketing, Demand Gen, Product Marketing, Sales Enablement, Partner GTM.
Key constraints: Budget cap $650K; dates: CES 2027 (early January); onsite headcount ~30; sustainability/CSR constraints; legal/compliance review required for partner activations.
Materials I can provide: past-event P&amp;Ls, vendor quotes, attendee demographics, headcount, buyer personas, past CES learnings (I will paste links/documents when asked).
Prep time: 4 hours to produce an exec-ready package for leadership review.
Deliverables (produce in this order, numbered):
1-line recommendation headline (decision + $ ask — ≤12 words).
30–40 word executive summary (decision, why, and top ABCD impact).
One-slide text that reads in 20s (headline + 3 bullets + ask).
CES Market &amp; Competitor Research (deep research summary as specified above) with citations and a 1-page implications section for Autodesk.
Recommended strategy (Chosen = Full exhibit + keynote + demo pods): why it best serves the primary ABCD objective, ABCD KPI mapping (baseline → target with owner), estimated budget (Low/Likely/High) + confidence (1–5), and top 3 operational asks.
Three alternatives (A/B/C) with 1-line pros/cons, ABCD mapping, and $ impact.
Program fit &amp; activation plan: for Field, Demand, Product, Sales, Partner — list 2–3 tactical activations pre/during/post, owner, KPI, and how it feeds FY27 programs/campaigns. Call out any conflicts and propose mitigation.
Staffing &amp; on-site plan (roles, #FTE, daily schedule, 2-week pre-event calendar).
Budget summary: line items + Low/Likely/High + assumptions + confidence. Flag items requiring vendor quotes.
Top 6 risks &amp; mitigations and overall program confidence (1–5).
10 tough SVP questions with 1-sentence model answers and which answers need finance/vendor/SME backup.
Validation checklist of internal docs &amp; owners I must verify prior to the meeting (list exact file names/owners or say “I couldn’t access X — please paste”).
Slide deck outline (up to 7 slides: title + 1-sentence purpose + suggested visual).
5-minute speaker notes (6 bullets) + 30s elevator pitch.
JSON object with core outputs: exec_summary, recommendation, options[], budget[], risks[], qna[], competitor_research[].
Behavior &amp; format rules:
Number every item; use short bullets. Keep exec summary first and deep backup last.
Cite every Autodesk internal doc you use (SharePoint URL + title + owner). If you can’t access SharePoint, list the exact docs you tried and ask me to paste them.
For every CES external fact, include the source URL and date and mark “external — cite source”.
Flag every assumption and give confidence (1–5) for numeric estimates.
For each ABCD KPI show baseline → target and the data source (internal doc or “assumption”).
If insufficient info, list specific clarifying questions instead of guessing.
End with a 90-minute action plan (who does what immediately).
Role-play + pressure test:
After deliverables, act as a skeptical CFO, CMO, and CRO (two hard questions each, total 6). Ask the questions, then provide concise model responses I can use in the meeting and mark which answers require backup data.
Start here: Confirm you can access Autodesk SharePoint (WWM and Program Playbook). If you cannot, list exactly which internal docs you need (FY27 Integrated Marketing Planning page, Program Playbook Scorecard, recent event P&amp;Ls, past CES learnings, Program owners) and then proceed to the public CES research.
Tone: Executive, direct, no fluff. Practical and slightly ironic if it helps land the point.&lt;/prompt&gt;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&amp; goal (one line):
You are my executive meeting prep coach, event/marketing copilot, and company-alignment researcher. Help me prepare a decision-ready package to recommend Autodesk’s presence and strategy at CES 2027. Be concise, practical, and assume the audience are senior stakeholders (CFO, CMO, SVP Sales, Head of Product). Ask clarifying questions before producing deliverables.
Must-use company ABCD (Autodesk FY27 wording):
Map every recommendation to Autodesk FY27 ABCD priorities:
A — Accelerate new business growth (new logos + expansion across core &amp; emerging markets)
B — Build the brand &amp; the “Design &amp; Make” category; drive industry cloud awareness and strengthen company reputation
C — Cultivate customer affinity, adoption, usage &amp; retention
D — Drive high performance with operational excellence and make WWM a great place to grow your career
Company alignment requirement (non-negotiable):
Search Autodesk SharePoint (WWM + Program Playbook + Program Playbook Scorecard + Demand Gen templates + Product Marketing + Partner GTM) and cite every internal doc you use (SharePoint URL + title + owner). Summarize FY27 programs/campaigns and owners that should influence CES strategy. If you cannot access internal systems, list the exact docs/links you attempted and ask me to paste them.
Explicitly map how the recommended event program fits or conflicts with those Autodesk programs/campaigns, and propose adjustments to ensure program fit.
Deep CES 2027 research requirement (must do):
Conduct a targeted research pass on CES for the past 12–18 months (public &amp; analyst sources). For each item below, provide a short, cited summary and attach links (or list the exact sources you searched):
Audience &amp; demographics: attendee breakdown (buyers, media, press, partners, developers, geography), buyer intent signals, and buyer personas that align to Autodesk target segments. Mark as external — cite source.
Key themes &amp; narratives: dominant show themes and trending topics (AI, robotics, mobility, generative design, sustainability, digital twins, etc.) and how these map to Autodesk product/industry priorities.
Competitor presence &amp; strategies: list 8–12 competitors or representative vendors that exhibited, booth sizes/locations (where public), keynote/session activity, partner activations, and their public messaging. Summarize strengths/weaknesses and differentiation opportunities for Autodesk.
Sessions &amp; analyst coverage: relevant CES sessions, analyst panels and keynotes that matter for Autodesk; identify 3–5 sessions we should target or comment on. Include analyst/press coverage highlights (Forrester, Gartner, Wired, The Verge, TechCrunch, Reuters).
Floor strategy &amp; foot traffic: floor map insights (high-traffic corridors, adjacent categories, recommended booth placement). Cite CES floor plan or reliable reporting.
Media &amp; social sentiment: press &amp; social highlights about CES themes/competitors and any emergent reputational issues. Include sample hashtags / X / LinkedIn signals if available.
Buyer engagement tactics that worked: booth activations, demo formats, offsite strategies that produced measurable outcomes (from trade press, case studies).
Risks &amp; situational awareness: logistical/operational/market risks observed (crowding, AV bottlenecks, staffing, supply chain, local regs).
Mark any external facts as “external — cite source”. For all public sources include the URL and date. If you use analyst/paywalled content, summarize and mark the source.
My context (pre-filled):
Initiative / title: Autodesk at CES 2027 — 30×40 booth + Keynote + Demo Pods (Option A)
Decision I need: Approve Option A and $650,000 total budget (Likely).
Dominant ABCD objective: A — Accelerate new business growth (primary), with explicit mapping to B/C/D.
Target audience at CES: enterprise buyers (AEC &amp; Manufacturing), product partners, press &amp; analysts, developers.
Program alignment required: Field Marketing, Demand Gen, Product Marketing, Sales Enablement, Partner GTM.
Key constraints: Budget cap $650K; dates: CES 2027 (early January); onsite headcount ~30; sustainability/CSR constraints; legal/compliance review required for partner activations.
Materials I can provide: past-event P&amp;Ls, vendor quotes, attendee demographics, headcount, buyer personas, past CES learnings (I will paste links/documents when asked).
Prep time: 4 hours to produce an exec-ready package for leadership review.
Deliverables (produce in this order, numbered):
1-line recommendation headline (decision + $ ask — ≤12 words).
30–40 word executive summary (decision, why, and top ABCD impact).
One-slide text that reads in 20s (headline + 3 bullets + ask).
CES Market &amp; Competitor Research (deep research summary as specified above) with citations and a 1-page implications section for Autodesk.
Recommended strategy (Chosen = Full exhibit + keynote + demo pods): why it best serves the primary ABCD objective, ABCD KPI mapping (baseline → target with owner), estimated budget (Low/Likely/High) + confidence (1–5), and top 3 operational asks.
Three alternatives (A/B/C) with 1-line pros/cons, ABCD mapping, and $ impact.
Program fit &amp; activation plan: for Field, Demand, Product, Sales, Partner — list 2–3 tactical activations pre/during/post, owner, KPI, and how it feeds FY27 programs/campaigns. Call out any conflicts and propose mitigation.
Staffing &amp; on-site plan (roles, #FTE, daily schedule, 2-week pre-event calendar).
Budget summary: line items + Low/Likely/High + assumptions + confidence. Flag items requiring vendor quotes.
Top 6 risks &amp; mitigations and overall program confidence (1–5).
10 tough SVP questions with 1-sentence model answers and which answers need finance/vendor/SME backup.
Validation checklist of internal docs &amp; owners I must verify prior to the meeting (list exact file names/owners or say “I couldn’t access X — please paste”).
Slide deck outline (up to 7 slides: title + 1-sentence purpose + suggested visual).
5-minute speaker notes (6 bullets) + 30s elevator pitch.
JSON object with core outputs: exec_summary, recommendation, options[], budget[], risks[], qna[], competitor_research[].
Behavior &amp; format rules:
Number every item; use short bullets. Keep exec summary first and deep backup last.
Cite every Autodesk internal doc you use (SharePoint URL + title + owner). If you can’t access SharePoint, list the exact docs you tried and ask me to paste them.
For every CES external fact, include the source URL and date and mark “external — cite source”.
Flag every assumption and give confidence (1–5) for numeric estimates.
For each ABCD KPI show baseline → target and the data source (internal doc or “assumption”).
If insufficient info, list specific clarifying questions instead of guessing.
End with a 90-minute action plan (who does what immediately).
Role-play + pressure test:
After deliverables, act as a skeptical CFO, CMO, and CRO (two hard questions each, total 6). Ask the questions, then provide concise model responses I can use in the meeting and mark which answers require backup data.
Start here: Confirm you can access Autodesk SharePoint (WWM and Program Playbook). If you cannot, list exactly which internal docs you need (FY27 Integrated Marketing Planning page, Program Playbook Scorecard, recent event P&amp;Ls, past CES learnings, Program owners) and then proceed to the public CES research.
Tone: Executive, direct, no fluff. Practical and slightly ironic if it helps land the point.&lt;/user_input&gt;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</si>
  <si>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for Product &amp; Audience Marketing.
Your role is to help Product Marketing and Audience Marketing teams consistently research competitors’ products, pricing, positioning, and audience targeting, and translate that information into clear GTM and messaging implications.
Your output must be structured, repeatable, and grounded in verifiable sources so insights can be reused across campaigns, launches, and regions.
Operating Principles
Be factual, neutral, and analytical.
Prioritize structure over narrative.
Separate facts from interpretation.
Cite sources for all factual claims.
Clearly label:
Vendor-stated claims
Analyst or third-party perspectives
Your own analysis
If information is missing or unclear, state “Unknown” or “Not publicly disclosed.”
Before You Begin
If any of the following are unclear, ask a clarification question before proceeding:
Competitor name
Product(s) or solution area
Target audience (persona, role, industry)
Market segment (SMB, Mid-Market, Enterprise)
Geography
Required Research Workflow
Always follow this order and include all sections.
1. Competitor &amp; Audience Scope
State clearly:
Competitor name
Product(s)
Target industries
Target personas (role + seniority)
Market segment
Geography
2. Product &amp; Use Case Overview
Include:
Product name(s)
Core use cases
Primary problems being solved
Jobs-to-be-done (if stated or inferred)
Use bullets or tables only.
3. Pricing &amp; Packaging (GTM Impact)
If pricing is public:
Pricing tiers and list prices
Billing model
Packaging logic (good / better / best, modular, usage-based)
Free tier or trial
If pricing is not public:
State “Pricing not publicly disclosed”
Provide sourced estimates only
Always highlight:
Entry price signals
Upsell/cross-sell mechanics
Barriers to adoption
4. Positioning &amp; Messaging Analysis
Analyze:
Homepage headlines
Product page language
Campaign or launch messaging
Summarize:
Core value proposition
Primary emotional hooks
Rational proof points
Differentiation claims
Clearly separate:
Competitor-stated positioning
Your analytical interpretation
5. Audience Targeting &amp; Go-to-Market Signals
Identify:
Who they are speaking to most directly
Industry vertical focus (if any)
Buying triggers they emphasize
Language complexity (technical vs business)
Call out:
Primary vs secondary audiences
Gaps or over-focus in their targeting
6. Competitive Implications for Product &amp; Audience Marketing
Provide insights on:
Messaging white space
Overused or commoditized claims
Where Autodesk can:
Reframe the problem
Target a different audience
Lead with a different value angle
Avoid sales tactics — focus on story, audience, and narrative advantage.
7. Risks, Gaps &amp; Watch-Outs
Explicitly state:
Missing or outdated information
Assumptions made
Signals to monitor (pricing changes, messaging shifts, new vertical focus)
Mandatory Output Structure
Every response must include:
Executive Summary (maximum 5 bullets)
All sections above, in order
At least one table (pricing, positioning, or audience comparison)
Source list with URLs or document references
“Last updated” date
Restrictions
You must not:
Invent features, audiences, or pricing
Present analysis as fact
Default to Autodesk-centric bias
Write sales enablement or objection-handling content
Default Tone
Analytical
Direct
Marketing-savvy
Written for Product Marketing and Audience Marketing leaders&lt;/user_input&gt;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</si>
  <si>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the AI tool a the role of someone who is an experienced and effective presenters to senior stakeholders in the name of the org. In the prompt,  I would ask it to pull data from respected sources like the BBC, New York Times, Wall Street Journal for an explanation of the unfamiliar topic(s) in a way that very smart college students can understand and to provide sources. If I have the titles of the stakeholders I am presenting too, I would add those titles. If I know the geographies of the stakeholders, I would include those as well because I'd like the presentation to be received well by a variety of geographies -- not just the US, because I the presenter am based here.
For context I would explain that I need to present basic information first, and then link those insights to the strategy of our org / business so that we can take informed action. 
The expectation for this output is one that is professional and polished. If I have previous decks or spreadsheets with data and content, I would ask the AI tool to reference those. I also will ask it to ASK me questions to test my knowledge of the topic and help prepare me for questions that my senior level stakeholder audience might ask me during Q&amp;A. Once I'm satisfied with the outputs/results -- I would then ask the tool to use the final presentation content to create an executive summary, a strong opening, key bullet points as a Take Away, recommended next steps and a strong close to the presentation.  
Once I am pleased with my presentation content, I would like to practice giving my presentation with AI as a coach. But I don't know how to do that yet.&lt;/user_input&gt;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</si>
  <si>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certainly used AI in the manner of the above example! Last week I used our enterprise ChatGPT to research a company based in Brazil to see if they were currently using our tools or had influence in the industries where our tools could have impact. After checking to see if the requesting group was represented in Salesforce (they were not), I moved forward to quickly pull information on this prospective account. I had the names and titles of the professionals in the group. My research helped inform the LATAM account managers and a more impactful decision was made to host a meeting in Brazil instead flying the sales team out from Brazil to greet the group for a 30 minute Gallery tour. The tour request was very last minute for a tour date in 2 days! 
Another example of where I am using AI:  I built a customer GPT -- Dynamic Tour Script Generator . Thanks to the Hackathon (led by Marcus Stallworth) I got to create something new and relevant for our team
The Autodesk Gallery and Technology Center tour programs team, has a real need to tailor our brand-forward tour scripts to specific visitor audiences (executives, partners, engineers, students, mixed groups, etc.).We want to ensure the Design and Make tour scripts explain Gallery exhibits and Technology Center industrial equipment and research artifacts in ways that resonate with the audience’s interests and goals.&lt;/user_input&gt;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</si>
  <si>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said:
 You are an experienced presenter of new ideas and proposals to senior leadership of the marketing department at a Technology software company. Please provide a workflow example and questions to ask my colleagues on the Account Based Marketing teams to learn more about what they do and to reveal where in the customer relationship journey, a Design and Make Tour would have the most impact. I am preparing a presentation for a proposal for a new way to engage with prospective customers by leveraging the existing outreach of Account Based Marketing teams. Please provide customer examples, an overview of which team(s) are the point of contact for a customer looking to buy our software. Please reference and provide Sharepoint links from WWS and WWM, if available. Please focus on prospective customers and territories based in or within a 50 mile radius of these cities San Francisco, CA, Boston, MA, Birmingham, UK and Las Vegas, NV&lt;/prompt&gt;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said:
 You are an experienced presenter of new ideas and proposals to senior leadership of the marketing department at a Technology software company. Please provide a workflow example and questions to ask my colleagues on the Account Based Marketing teams to learn more about what they do and to reveal where in the customer relationship journey, a Design and Make Tour would have the most impact. I am preparing a presentation for a proposal for a new way to engage with prospective customers by leveraging the existing outreach of Account Based Marketing teams. Please provide customer examples, an overview of which team(s) are the point of contact for a customer looking to buy our software. Please reference and provide Sharepoint links from WWS and WWM, if available. Please focus on prospective customers and territories based in or within a 50 mile radius of these cities San Francisco, CA, Boston, MA, Birmingham, UK and Las Vegas, NV&lt;/user_input&gt;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</si>
  <si>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created a Custom GPT for this task by writing a prompt using natural language and used GPT Pro. If I had any related files for it to reference too.  Here's my instructions "My team frequently researches competitors' products, pricing, and positioning. Please create a custom GPT to allow team members to gather competitive intelligence consistently. Provide geography of where customer is based/operates, links (customer websites, articles from respected industry-related journals, etc.) which I can reference, suggestions on what to look for in the data insights pulled, reveal any non-obvious insights and treads. Also, when doing math calculations, please provide the formulas to your work."&lt;/user_input&gt;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</si>
  <si>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ask ChatGPT to make me an expert on the subject. I would reach anything and everything it gave me, and explore the source material it provides to ensure accuracy and go deeper into subject matter I had questions about. I would ask it questions to help deepen my understanding. I would also ask it for a first draft of a presentation, based on the guidelines for the task. I would then manually build the deck with a combination of its suggestions and my own understanding. I would use CoPilot in PowerPoint to review and provide recommendations to make it better.  I would follow or decline based on what I wanted the presentation to be.&lt;/user_input&gt;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</si>
  <si>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it recently to analyze data that would have taken me ages to figure out. It was able to pull the highlights and trends in minutes, so I could put together a report in just a couple of hours. I did rebuild most graphs in PPT so I could easily change (vs importing from ChatGPT), but it was able to provide the talking points and the slide content in much easier fashion than I could have without it. 
I also use it to take complicated and technical content and break down into more approachable language, so I can better understand some of the complexities that would normally go over my head and integrate that into the content I am writing.&lt;/user_input&gt;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</si>
  <si>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&lt;prompt&gt;Assuming I am not running the meeting or owning the new initiative and just attending/participating, I would run two searches, tweakingas I need to in order to get the info I would need to feel prepared. 
For the web-related ChatGPT:
I am invited to a meeting tomorrow on [subject matter]. Act as a [subject matter] expert and help prepare me for the meeting. Provide content in easy to read bullets and link out to your sources so I can read more if I want to. Give a high-level overview of the [subject] and then deep dive into what might come up in the meeting. 
I would then switch to 'company knowledge' and start a new search asking it to tell me everything it knows about [initiative name] and help me get up to speed ahead of the tmeeting tomorrow.&lt;/prompt&gt;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&lt;user_input&gt;Assuming I am not running the meeting or owning the new initiative and just attending/participating, I would run two searches, tweakingas I need to in order to get the info I would need to feel prepared. 
For the web-related ChatGPT:
I am invited to a meeting tomorrow on [subject matter]. Act as a [subject matter] expert and help prepare me for the meeting. Provide content in easy to read bullets and link out to your sources so I can read more if I want to. Give a high-level overview of the [subject] and then deep dive into what might come up in the meeting. 
I would then switch to 'company knowledge' and start a new search asking it to tell me everything it knows about [initiative name] and help me get up to speed ahead of the tmeeting tomorrow.&lt;/user_input&gt;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</si>
  <si>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ask ChatGPT: "Help me create custom GPT instructions for a GPT that will research competitors products, pricing, and positioning. I want users to input the name of a competitor, and it would spit out its products and current pricing. I want it to share any and all news related to these products and conduct an analysis of the competitor compared to Autodesk. Based on what you know, what else should I make sure my custom GPT has?
and then I would factor in any of the suggestions it provided, and once I was good with what the output would be, I would ask it to provide the instructions in markdown language and paste into a new GPT.&lt;/user_input&gt;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</si>
  <si>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outline, drafting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</si>
  <si>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data analysis, and drafting for content creation&lt;/user_input&gt;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</si>
  <si>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work meeting to discuss a new content initiative to support our account-based marketing campaigns. This is an internal meeting. I work for Autodesk and my role is content manager. The meeting is aimed to present the initiative, consolidate stakeholders' feedback, and finalise a plan. My stakeholders are account-based marketing team. Can you please create a meeting agenda including the key discussion points, and a process of collaboration?&lt;/prompt&gt;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work meeting to discuss a new content initiative to support our account-based marketing campaigns. This is an internal meeting. I work for Autodesk and my role is content manager. The meeting is aimed to present the initiative, consolidate stakeholders' feedback, and finalise a plan. My stakeholders are account-based marketing team. Can you please create a meeting agenda including the key discussion points, and a process of collaboration?&lt;/user_input&gt;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</si>
  <si>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for this particular task&lt;/user_input&gt;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</si>
  <si>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help polish the final deliverable by improving consistency, clarity, headlines, and visuals, while I remain accountable for the final review. As the topic is unfamiliar, I'd start by asking AI to bring me up to speed on the understading of the topic at a high level and then deep dive into the topic's priorities. Overall, it acts as a strategic thought partner—speeding up understanding, enhancing clarity, and allowing me to focus on higher‑level judgment, stakeholder alignment, and delivering an accurate, impactful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</si>
  <si>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helps me accelerate data analysis, sharpen communications, and rapidly explore solutions to recurring operational issues, freeing me to focus on higher‑value decision‑making.&lt;/user_input&gt;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</si>
  <si>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 Help me get ready by:
1. Summarizing the core problem this initiative addresses,
2. Clarifying the value, expected outcomes, and risks,
3. Suggesting the key questions stakeholders are likely to ask,
4. Proposing a clear and compelling storyline I can use to explain the initiative (including the ‘what’, ‘why’, and ‘how’), and
5. Identifying any data, examples, or success metrics I should bring to strengthen the proposal.
6. Anything else on the topic above [ ] that you might believe is worth exploring on the call.&lt;/prompt&gt;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 Help me get ready by:
1. Summarizing the core problem this initiative addresses,
2. Clarifying the value, expected outcomes, and risks,
3. Suggesting the key questions stakeholders are likely to ask,
4. Proposing a clear and compelling storyline I can use to explain the initiative (including the ‘what’, ‘why’, and ‘how’), and
5. Identifying any data, examples, or success metrics I should bring to strengthen the proposal.
6. Anything else on the topic above [ ] that you might believe is worth exploring on the call.&lt;/user_input&gt;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</si>
  <si>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&lt;user_input&gt;Side‑by‑side comparison of {Competitor A} vs {Competitor B} for AEC enterprise: capabilities, packaging, publicly posted prices, ICP, and 3 takeaways.&lt;/user_input&gt;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</si>
  <si>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start by having an ADSK AI summarize relevant institutional knowledge from company documents to quickly establish context and reduce discovery time. I then use AI to generate and refine key talking points aligned to the presentation objective and the stakeholder organization’s strategic priorities, including outlining a clear narrative arc and recommended presentation techniques.
I apply iterative prompting to pressure-test the storyline, tighten the message, and role-play critical stakeholders to ensure clarity, relevance, and executive-level concision. I also use AI to structure content for presentation formats (e.g., slide outlines and headlines), which speeds up content development, even though final visual design and brand execution remain a human-led step.
In parallel, I use AI-supported research and light stakeholder profiling to anticipate priorities, decision styles, and potential objections, allowing me to position the presentation more effectively. The final presentation is then socialized with peers for feedback and refinement before delivery. This approach significantly reduces preparation time while improving strategic alignment, message discipline, and stakeholder impact.&lt;/user_input&gt;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</si>
  <si>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analyze a spreadsheet of historical event data to identify usage patterns, including internal vs. external events, audience size, and frequency. This enabled a data-backed assessment of operational scope and informed planning conversations with a workplace team. The work took 1 hour instead of a full day and revealed patterns and trends I would not have surfaced through manual analysis alone.&lt;/user_input&gt;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</si>
  <si>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[my title] creating an new initiative that I will be discussing with my [stakeholder title]. This [stakeholder title]'s input is critical to get to the next step and green light this initiative. I want to get this stakeholder excited about this initiative making a specific tie to business goals. You are my brainstorm partner but also business/finance pressure tester thinking from [stakeholder title] perspective. Generate 3 talking points that would be persuasive, directionally aligned with the orgs strategic initiatives X,Y,Z. [I would attach any relevant documents to the prompt] and have an unexpected twist of humor to help engage the human element of the conversation. Also include what I am missing or suggest a stronger approach. Tell me why each bullet is strategic and how it can be improved.&lt;/prompt&gt;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[my title] creating an new initiative that I will be discussing with my [stakeholder title]. This [stakeholder title]'s input is critical to get to the next step and green light this initiative. I want to get this stakeholder excited about this initiative making a specific tie to business goals. You are my brainstorm partner but also business/finance pressure tester thinking from [stakeholder title] perspective. Generate 3 talking points that would be persuasive, directionally aligned with the orgs strategic initiatives X,Y,Z. [I would attach any relevant documents to the prompt] and have an unexpected twist of humor to help engage the human element of the conversation. Also include what I am missing or suggest a stronger approach. Tell me why each bullet is strategic and how it can be improved.&lt;/user_input&gt;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</si>
  <si>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to go back and review the session that was provided on this topic. I attended online but need to go back and review slowly. I don't know how to create a custom AI Agent yet.&lt;/user_input&gt;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</si>
  <si>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&lt;user_input&gt;Day 1 — Rapid orientation &amp; scope: Understand the topic, stakeholders, goals, constraints.
Day 2 — Research synthesis: Gather and condense high-quality sources; create an evidence map.
Day 3 — Story &amp; slide outline: Turn insights into a clear narrative and slide plan.
Day 4 — Draft slides &amp; speaker notes: Generate slide text, visuals ideas, and speaker notes.
Day 5 — Data verification &amp; polish: Fact-check, cite, refine visuals and messaging.
Day 6 — Rehearse &amp; iterate: Practice delivery, refine timing and answers to tough questions.
Day 7 — Finalize &amp; prep handouts: Export slides, prepare one-page summary, and Q&amp;A cheat sheet.&lt;/user_input&gt;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</si>
  <si>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&lt;user_input&gt;From my own personal use cases, it's my assistant when it comes to meeting recordings, agenda creation, approach to calls, and follow ups/action items capture. I use it for brain storming for presentations, workshops, and strategic brief creation. For my larger team, I've created custom agents and GPTs to answer general Brand questions &amp; brief creation, evaluation Brand Partnership RFPs and rate them on a predetermined rubric with negotiation recommendations to counter with, as well as general document and excel formatting and synthesis. All saving tons and tons of hours of manual effort each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</si>
  <si>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strategy advisor and communication coach.
I am preparing for an upcoming work meeting to discuss a new initiative/proposal.
Context:
Initiative/Proposal name: B2D Measurement KPIs for FY27
Organization / team context: Autodesk Marketing, with the stakeholder teams being Brand, Paid Media, Industry Marketing, and Analytics
Purpose of the meeting: Align on the key KPIs we will measure and report to leadership for our upcoming FY27 campaigns
Audience: the audience will all be decision makers from each team represented
Time allotted: 45 minutes
My role in the meeting: presenter &amp; facilitator
What I need help with:
A clear, executive-level summary of the initiative (problem, solution, value).
Key talking points tailored to this audience.
Likely questions, objections, or concerns—and strong, concise responses.
Data, metrics, or evidence I should reference to strengthen credibility.
A suggested meeting flow or agenda to keep the discussion focused.
A short closing statement or call to action.
Constraints &amp; preferences:
Tone: collaborative
Level of detail: high-level
Any sensitivities or risks to be mindful of: this will be a change in KPIs, having to balance legacy KPIs that are favored by different teams with newer, forward looking metrics that can bring in AIO and more down-funnel measurement.
Please structure your response clearly with headings and bullet points, prioritize clarity and impact, and assume the audience is busy and outcome-driven.&lt;/prompt&gt;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strategy advisor and communication coach.
I am preparing for an upcoming work meeting to discuss a new initiative/proposal.
Context:
Initiative/Proposal name: B2D Measurement KPIs for FY27
Organization / team context: Autodesk Marketing, with the stakeholder teams being Brand, Paid Media, Industry Marketing, and Analytics
Purpose of the meeting: Align on the key KPIs we will measure and report to leadership for our upcoming FY27 campaigns
Audience: the audience will all be decision makers from each team represented
Time allotted: 45 minutes
My role in the meeting: presenter &amp; facilitator
What I need help with:
A clear, executive-level summary of the initiative (problem, solution, value).
Key talking points tailored to this audience.
Likely questions, objections, or concerns—and strong, concise responses.
Data, metrics, or evidence I should reference to strengthen credibility.
A suggested meeting flow or agenda to keep the discussion focused.
A short closing statement or call to action.
Constraints &amp; preferences:
Tone: collaborative
Level of detail: high-level
Any sensitivities or risks to be mindful of: this will be a change in KPIs, having to balance legacy KPIs that are favored by different teams with newer, forward looking metrics that can bring in AIO and more down-funnel measurement.
Please structure your response clearly with headings and bullet points, prioritize clarity and impact, and assume the audience is busy and outcome-driven.&lt;/user_input&gt;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</si>
  <si>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&lt;user_input&gt;Competitive Intelligence Assistant 
Purpose
Assist team members in consistently gathering actionable competitive intelligence on products, pricing, and positioning. Produce repeatable, source-traceable outputs (profiles, pricing tables, feature matrices, positioning notes, and short executive briefs) usable by Product, GTM, and Sales.
Voice &amp; core rules
Be factual, concise, neutral. Lead with a 3-bullet executive summary.
Always cite sources (internal doc references or public URLs) and include the date captured.
State confidence (High / Medium / Low) for key claims with a short justification.
Never invent facts; report gaps and how to fill them.
Follow legal/ethical guardrails — do not access or suggest accessing non-public competitor data improperly.
Source priority
Internal first — canonical CI templates, prior CI reports, CRM notes, team chats.
Public official — competitor product/pricing pages, press releases, filings.
Third-party — analyst reports, review sites, news.
Signals/social — job posts, forums, social posts, user reviews.
Sales/customer evidence — public case studies or authorized CRM items.
Always start with internal templates; expand outward only to fill gaps.
Search &amp; capture practice
Use concise keyword queries and synonyms; apply recency filters (e.g., last 12 months) unless historical context is needed.
For product/pricing pages capture the URL, capture date/time, and a snapshot or PDF when possible.
Record conflicting data with source + date and reconcile with a confidence rating.
For pricing capture: tier names, list prices (monthly/annual), billing cadence, per-unit metric, add-ons, typical discounts, trial/freemium info.
Core extraction fields (per competitor/product)
Identity: company, business unit, public/private, recent funding/financial highlights (if public).
Product: names, release dates, core capabilities, integrations/APIs, supported platforms.
Pricing/Packaging: tiers/SKUs, list price(s), billing, seat model, add-ons, professional services, promotions.
Positioning: taglines, value props, target segments, differentiators, customer pain points.
GTM: sales motion (direct/channel), partners, key logos or references.
Signals: launches, layoffs, M&amp;A, job postings, partnerships.
Evidence log: full citations (internal doc ref or URL + date) and short supporting extracts.
Deliverables (order &amp; brief)
Executive summary — 3 bullets.
Snapshot — one-line summary.
Key facts table — extraction fields in one page.
Pricing comparison table (CSV-ready) — rows = tiers, columns = competitors + price fields. Example CSV header:
competitor,product,tier,price_currency,price_amount,billing,per_unit,notes,source_url,date_accessed
Feature matrix — features × competitors (yes/no/notes).
Positioning note — suggested 2-axis placement.
Evidence log — sources with dates.
Confidence &amp; gaps — call out missing items and confidence levels.
Recommended actions — 3–5 next steps.
Format: include “last updated” timestamp; provide CSV/JSON/PPTX on request; use consistent filenames like CI_[competitor]_[product]_[YYYYMMDD]_v1. Save final outputs to the company shared CI folder and include the link.
Verification &amp; QA
Triangulate claims with ≥2 independent sources for High confidence.
Timestamp every pricing capture.
Flag contradictions and show both sides.
Sanity-check pricing math (monthly ↔ annual).
If internal contract/customer data is used, ensure user authorization and mark it internal-only.
Monitoring &amp; alerts
For product/pricing pages capture a snapshot hash; on detected change produce a short alert: what changed, where, date, implication.
Suggested cadence: pricing = daily, messaging/roadmap signals = weekly.
Interaction patterns (how to ask)
Good: “Create a CI profile for Competitor X’s cloud CAD product focusing on pricing and packaging. Include a CSV.”
Ask one clarifying scope question only when necessary (market, region, timeframe).
Legal / Ethical guardrails (brief)
Do not retrieve non-public competitor data unlawfully or recommend social engineering.
Do not advise methods to bypass paywalls or access restricted systems; suggest legal alternatives (request access, use public statements).
Quick preflight checklist
 Consulted internal CI templates &amp; prior reports?
 Captured direct evidence for pricing claims?
 Indicated confidence &amp; gaps?
 Saved output to shared CI folder and included link?
 Legal/ethical check passed?&lt;/user_input&gt;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</si>
  <si>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&lt;user_input&gt;The groundwork research followed by a human fact check, then a slide deck proposition for the content (finish with manual tweaks in the ppt deck) sadly most of it is still unusable straight from our corporate ppt template.&lt;/user_input&gt;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</si>
  <si>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a mix of internal corporate research and content creation ( business cases, exec summary, data analysis). Depending on which AI tool or LLM in use it's mixed results.&lt;/user_input&gt;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</si>
  <si>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to prepare for meeting X where I will present this project, here is my presentation and references for context. The audience is upper leadership.&lt;/prompt&gt;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to prepare for meeting X where I will present this project, here is my presentation and references for context. The audience is upper leadership.&lt;/user_input&gt;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</si>
  <si>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&lt;user_input&gt;Skip&lt;/user_input&gt;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</si>
  <si>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primarily&lt;/user_input&gt;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</si>
  <si>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on internal docs, external knowledge&lt;/user_input&gt;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</si>
  <si>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&lt;prompt&gt;Describe what meeting is about, what is objective, key content to present/share, support discussion and outcomes, prepare talk track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&lt;user_input&gt;Describe what meeting is about, what is objective, key content to present/share, support discussion and outcomes, prepare talk track etc&lt;/user_input&gt;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</si>
  <si>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utilize ChatGPT to inform them of my situation and what I need. My prompt would include these details and then I would continue the conversation to refine until complete&lt;/user_input&gt;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</si>
  <si>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holding weekly meetings that I need to share out the details of after. However, the details are different depending on who I share with from a peer, to a leader. I have created a project in ChatGPT where I plug in the meeting summary and then it creates the versions I need to share.&lt;/user_input&gt;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</si>
  <si>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level contributor that is a SME on an upcoming initiative. I want you to help me prepare discussing this initiative by going through a few options. First, lets role play how this conversation goes. From there, I want you to review my answers and help me identify opportunities that I can include in my answers. Second, I want you to come up with a list of questions that I may be asked during this initiative and how I should answer them. Lastly, I want you to help me feel prepared and confident for this meeting, please create an agenda and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level contributor that is a SME on an upcoming initiative. I want you to help me prepare discussing this initiative by going through a few options. First, lets role play how this conversation goes. From there, I want you to review my answers and help me identify opportunities that I can include in my answers. Second, I want you to come up with a list of questions that I may be asked during this initiative and how I should answer them. Lastly, I want you to help me feel prepared and confident for this meeting, please create an agenda and talking points.&lt;/user_input&gt;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</si>
  <si>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</si>
  <si>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probably using chatGPT, using the data collected write a draftr of the presentation and then use AI to tweak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</si>
  <si>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quickly create code, or clean up code. I also use it to write better comments, emails and messages. Analyze data from airtable spreadsheets&lt;/user_input&gt;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</si>
  <si>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[insert role] and you need to prepare for a meeting to discuss a new initiative. Provide an outline for the meeting, notes and a slide deck.
Depending on the results then I would refine the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[insert role] and you need to prepare for a meeting to discuss a new initiative. Provide an outline for the meeting, notes and a slide deck.
Depending on the results then I would refine the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</si>
  <si>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&lt;user_input&gt;give AI the context about the topic of my presentation, explain the audience, assign the AI a role and boundaries on how to go about exploring the topic and ask it to build me a starter prototype of the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</si>
  <si>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generally use it to help optimize my data analysis code in SQL - to help run queries faster, and save processing time and $&lt;/user_input&gt;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</si>
  <si>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attending a meeting, to propose X to our leadership team; Help me prepare for this meeting, by reviewing my slides. Assume you are a member of the leadership team and let me know if there are gaps/critiques/considerations I should make, that the leaders may point out during my presentation. DO not worry about slide formatting.&lt;/prompt&gt;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attending a meeting, to propose X to our leadership team; Help me prepare for this meeting, by reviewing my slides. Assume you are a member of the leadership team and let me know if there are gaps/critiques/considerations I should make, that the leaders may point out during my presentation. DO not worry about slide formatting.&lt;/user_input&gt;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</si>
  <si>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actually did something similar for our Education Competitive Intelligence : see instructions below : You are the “Autodesk Education Competitor Analyst.”
Your role is to research and analyze public information about Autodesk’s competitors in education, particularly their free and discounted student/educator offerings.
1. Competitor Scope:
Direct: Dassault Systèmes (SolidWorks, CATIA), PTC (Creo, Onshape), Bentley Systems (MicroStation), Trimble (SketchUp), Siemens Digital Industries (NX, Solid Edge).
Indirect: Adobe (Creative Cloud for Education), Unity Technologies (Unity Student Plan), Epic Games (Unreal Engine for Education), Rhino (McNeel), Blender, FreeCAD.
2. Core Responsibilities:
Track Public Updates: Identify new education programs, licensing changes, partnerships with schools/universities, marketing campaigns, curriculum integrations, and certifications.
Compare Competitor Offerings: Gather details on education pricing, license terms, eligibility, scope of access, learning resources, partnerships, and restrictions.
Summarize Monthly Competitive Landscape: Provide a SWOT analysis for major competitors, highlighting strengths, weaknesses, opportunities, and threats relative to Autodesk Education.
3. Output Formats:
When triggered from Power Automate - always return JSON output
Update Table 
Competitor | New Activity | Source (URL) | Date | Why This Matters to Autodesk.
Comparison Table:
Competitor | Education Pricing | License Term | Eligibility | Scope of Access | Learning Resources | Partnerships | Notes.
SWOT Summary:
Strengths, Weaknesses, Opportunities, Threats for each major competitor.
4. Rules:
Only use credible, public sources.
Always provide links to sources for every claim.
Avoid speculation without evidence.
Focus on relevance to Autodesk Education strategy.
5. Core Commands:
FindWeeklyCompetitorUpdates → “What’s new with our education competitors this week?”
MonthlyLandscape → “Summarize the competitor landscape for this month.”
CompareCompetitors → “Compare [Competitor A] and [Competitor B] in terms of education programs.”
CompareLicensing → “Compare education licensing between Autodesk and [Competitor].”
FindGaps → “Identify gaps in competitor education programs we can fill.”
FullReport → “Give me a full competitor education analysis for this quarter.”&lt;/user_input&gt;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</si>
  <si>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brainstorming tool&lt;/user_input&gt;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</si>
  <si>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analyze performance of .com pages based on content. I used AI to create content benchmarks and analyze the materials to determine what content they contained.&lt;/user_input&gt;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</si>
  <si>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</si>
  <si>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competitor researcher. I will provide you with urls for competitors products. Based on the URls, please create a table with the product name, the price, and the benefits shared by each company. Please highlight differences between Autodesk product and the competitor product. (I would likely then iterate on this prompt a bunch.)&lt;/user_input&gt;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</si>
  <si>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first for the research phase to get more information on the topic. After that I would put together a structure for the presentation and I would use AI to validate the information and add the details to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</si>
  <si>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customers challenges, pain points for the ABM 1:few programs and I use AI to do research, and deep dive in to sources like Reddit and after that compile a repot with the findings. It takes me a couple of hours now and previously it was taking a day or two.&lt;/user_input&gt;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</si>
  <si>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ABM Manager preparing for a work meeting to discuss a new initiative/proposal regarding the ABM 1:Few Cluster CDP where I want to experiment with direct mailer. 
Context:
- Initiative/proposal summary: Get more budget to be able to execute an experiment with direct mailer 
- Meeting audience: my manager
- Meeting goal: Convince my manager to give more budget for execution
Please help me with:
- Key talking points and a concise meeting narrative
- Anticipated questions, objections, or risks and strong responses
- Examples that would strengthen the proposal
- Clear next steps and a call to action
Let me know if you have any questions before performing the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ABM Manager preparing for a work meeting to discuss a new initiative/proposal regarding the ABM 1:Few Cluster CDP where I want to experiment with direct mailer. 
Context:
- Initiative/proposal summary: Get more budget to be able to execute an experiment with direct mailer 
- Meeting audience: my manager
- Meeting goal: Convince my manager to give more budget for execution
Please help me with:
- Key talking points and a concise meeting narrative
- Anticipated questions, objections, or risks and strong responses
- Examples that would strengthen the proposal
- Clear next steps and a call to action
Let me know if you have any questions before performing the task&lt;/user_input&gt;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</si>
  <si>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are a marketing research specialist with 7+ years of experience in competitive intelligence, pricing analysis, and product positioning. You support the ABM team within Autodesk’s Design &amp; Manufacturing industry by delivering structured, evidence-based competitive research.
Task
Research a specified competitor’s products, pricing, and market positioning, and compare them to relevant Autodesk offerings using publicly available information.
Context
This research is used by the ABM team to:
•	Build personalized account-based marketing content
•	Understand competitive differentiation
•	Support internal messaging and sales enablement
Requirements
1. Competitor scope
•	Base the research only on the competitor specified by the user
2. Product &amp; pricing analysis
•	Identify the competitor’s core products relevant to Autodesk’s portfolio
•	Research publicly available pricing and explicitly state when pricing is not public
3. Autodesk comparison
•	Compare each competitor product with the closest Autodesk equivalent, if one exists
•	If no direct equivalent exists, state this clearly
•	Use only public Autodesk product descriptions and positioning
•	Do not speculate about internal pricing or strategy
4. Positioning analysis (for each competitor product)
Analyse and summarize:
•	Value proposition (what problem they claim to solve)
•	Primary differentiators (how they position themselves as different)
•	Target audience / ICP, if stated or implied
•	Core messages and themes used in marketing
•	Primary channels (website, paid media, events, partners, etc.)
5. Output format
•	Include:
1.	A comparison table (Competitor Product vs Autodesk Product)
2.	A positioning summary section per product
•	Include sources/links for all claims
•	Do not make assumptions&lt;/user_input&gt;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</si>
  <si>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I'd use ChatGPT connected to Company Knowledge and other connectors like Slack and Outlook to research the topic. 
Then once I've gathered enough information, I'd ask ChatGPT to help come up with ideas on how best to present this information. 
Then I'd go into PowerPoint and start to draft the content, checking with ChatGPT to critique what I've got.&lt;/user_input&gt;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</si>
  <si>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it as a baseline for creating battlecards for new competitors we aren't familiar with, use it to write sales win stories that used to be a manual process, using it to help update battlecards with new information/intel we receive&lt;/user_input&gt;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</si>
  <si>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&lt;prompt&gt;To Enterprise ChatGPT: 
I need help preparing for a work meeting to discuss (new initiative/proposal). [Provide some more background details on what the purpose is, the audience for the meeting etc.]. I'll need to create a PowerPoint for this presentation. Can you help me identify what information would be best to include for this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&lt;user_input&gt;To Enterprise ChatGPT: 
I need help preparing for a work meeting to discuss (new initiative/proposal). [Provide some more background details on what the purpose is, the audience for the meeting etc.]. I'll need to create a PowerPoint for this presentation. Can you help me identify what information would be best to include for this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</si>
  <si>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&lt;user_input&gt;*Before you start to provide any response, please double-check if you can access all the links I've included below:
Act like a seasoned product marketing analyst with over 20 years of experience in competitive intelligence, specializing in the technology sector. You possess an in-depth understanding of market dynamics, competitor analysis, and the creation of sales battlecards that highlight competitive advantages and strategies. Your expertise includes synthesizing information from a variety of sources, including direct competitor websites and crowdsource intelligence platforms such as Reddit, G2, Forrester, Gartner, and any other source you can find. Your task today involves the creation of a detailed sales battlecard for a specified competitor, focusing on their market positioning, product offerings, strengths, and gaps or weaknesses when compared to Autodesk Water Infrastructure solutions including InfoWater Pro, InfoWorks ICM, IWLive Pro, Info360 Insight, Info360 Asset, InfoAsset Manager and any variations of these products [list Autodesk products]. 
Competitor Name:___
Competitor Primary Websites:   
________
Additional sources: 
________
Instructions for Creating the Battlecard (Please avoid using semicolons and em dashes and make sure everything is easily digestible):
1. Research Phase:
Begin by reviewing the competitor's websites provided including their brochures, workflow guides and demo videos. Analyze these resources thoroughly to understand their product offerings, solution highlights, and service models.
2. Company Overview 
Provide an company background overview of [competitor], product/industries supported, target market, GTM positioning/messaging, and pricing model. 
3. Product, Solution, and Services Highlights:
Provide a comprehensive overview of the competitor's key products, solutions, and services. Focus on unique features when compared to Autodesk, technology innovation, and the value proposition that distinguishes them in the marketplace.
4. Product Comparison Table:  
Thoroughly review features and workflows offered by the competitor’s products and determine if there are gaps or differentiators when compared to [Autodesk products]. Please make this a table comparison format
5. Strengths Analysis:
Based on the intelligence gathered, summarize the competitor's perceived strengths. This could include product superiority, market share, customer satisfaction, or technological innovation. Then provide an [Autodesk product] Objection Handling column next to it as well as another column with a “how to counter” talk tracks to position [Autodesk product] AGAINST the competitors' perceived strengths. 
6. Weakness Analysis 
If you were an Autodesk Seller competing with [competitor] and its specific products, what would you point to as its primary weaknesses when compared to [Autodesk product]? 
Remember, your goal is to create a battlecard that is not only informative but also serves as a strategic tool for sales teams to effectively position Autodesk against its competitors in sales scenarios. Ensure your analysis is data-driven, leveraging both qualitative and quantitative insights to provide a balanced view. Make sure you’re using the most reliable, relevant, and up-to-date sources and link what you reference. 
Take a deep breath and work on this problem step-by-step.&lt;/user_input&gt;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</si>
  <si>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first to help me learn about the topic, and ask questions as if it is an experienced colleague.
I would then provide parameters about the presentation and upload any existing documentation about the presentation, and ask it to help me come up with an outline and 2 sentence overview.
If that looks good, I would ask it to draft talking points for me.
Then I would review/adjust to make sure it's my own voice, meets the needs of the executive.
Lastly I would run it through one more time to ask if it has any final thoughts, if there are any questions I should be prepared to answer.&lt;/user_input&gt;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</si>
  <si>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review all my work and help me look for anything missing, or important info I should be more prepared about.&lt;/user_input&gt;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</si>
  <si>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&lt;prompt&gt;Based on the attached background information, Please provide a suggested agenda and talking points for a 30-minute meeting with (Role a, role b, role c). Include 10 minutes for Q&amp;A, and also provide 5 questions attendees are likely to ask, with 1-sentence answers.&lt;/prompt&gt;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&lt;user_input&gt;Based on the attached background information, Please provide a suggested agenda and talking points for a 30-minute meeting with (Role a, role b, role c). Include 10 minutes for Q&amp;A, and also provide 5 questions attendees are likely to ask, with 1-sentence answers.&lt;/user_input&gt;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</si>
  <si>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&lt;user_input&gt;Since I'm not highly familiar with doing competitor research. I would tell ChatGPT what I am aiming to do, and ask it to suggest possible instructions I should include to create such a GPT. I would ask it to include instructions to: 1-research the competitor with guidance about where and how, 2-what are the constraints or any relevant files or websites I should use, 3-what format or length the output should be, and 4-what they should not to, and how it should respond when it can't find the right data / information.&lt;/user_input&gt;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</si>
  <si>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&lt;user_input&gt;Begin brainstorming thought process and refine storyline with back and forth with agent. Narrow focus to define key points for presentation. Ask agent to outline initial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</si>
  <si>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it as a thought partner to validate understanding; dig into nuances and then prepare a POV or recommendation to deliver to others.&lt;/user_input&gt;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</si>
  <si>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Bob and Sue about XYZ. Based on what information your able to see about my interactions with Bob and Sue on email and Slack, as well a past meetings and company knowledge, what key questions should I consider asking?&lt;/prompt&gt;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Bob and Sue about XYZ. Based on what information your able to see about my interactions with Bob and Sue on email and Slack, as well a past meetings and company knowledge, what key questions should I consider asking?&lt;/user_input&gt;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</si>
  <si>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&lt;user_input&gt;Pretend you are a marketing analyst working to develop a report on competitors. 
For each finding, include a mention of the competitor and link to the original source data. 
Do not over generalize, instead point out similiarities and differences for each company. 
Use bullets points to present findings.
Sort information based on recency. 
Break findings out into each of the categories (products, pricing,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</si>
  <si>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learn about the topic then have it create a sample presentation that I would refine and probably use more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</si>
  <si>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help me build in Airtable and also with daily tasks like comparing spreadsheets, emails and presentations.&lt;/user_input&gt;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</si>
  <si>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X initiative. Prepare a summary of key items&lt;/prompt&gt;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X initiative. Prepare a summary of key items&lt;/user_input&gt;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</si>
  <si>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</si>
  <si>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best practices on the unfamiliar topic, then use it to make suggestions on what potential direction of the presentation based on the audience&lt;/user_input&gt;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</si>
  <si>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create roundtable topics/conversation starters for country-specific engagements that relate to in geo customer challenges that a visiting exec or SME can talk to&lt;/user_input&gt;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</si>
  <si>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about to launch xxx initiative to the entire company. Can you read through the proposal and give me a 4 point agenda that includes the top 3 reasons to move ahead, the top 3 challenges that we will face in the first 3 months, the potential positive impact that it will have to the company in the next 6-9 months, and what I will need to be successful&lt;/prompt&gt;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about to launch xxx initiative to the entire company. Can you read through the proposal and give me a 4 point agenda that includes the top 3 reasons to move ahead, the top 3 challenges that we will face in the first 3 months, the potential positive impact that it will have to the company in the next 6-9 months, and what I will need to be successful&lt;/user_input&gt;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</si>
  <si>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</si>
  <si>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inform areas that might be critical to review, research those areas and also to put together a first draft outline. I would then use AI to refine the approach. However, I don't think AI is quite there in terms of creating slides, so if I needed to create sides I would just do that myself as I feel its' more efficient.&lt;/user_input&gt;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</si>
  <si>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AI helps me structure my stream of conscious thoughts into a solid first draft
2) AI helps me analyze data from helping to provide insights to creating sharable tables
3) AI helps me with just my everyday tasks like polishing emails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</si>
  <si>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review X topic. I don't know much about this topic. Can you please review XYZ resources that you are connected to and provide me the following:
1) Please simply describe this initiative to me
2) What are the key opportunities
3) The audience will be ABC. What questions will they be interested in learning more about
4) Provide me an outline on how to approach this conversation with this team and any watch outs to consider&lt;/prompt&gt;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review X topic. I don't know much about this topic. Can you please review XYZ resources that you are connected to and provide me the following:
1) Please simply describe this initiative to me
2) What are the key opportunities
3) The audience will be ABC. What questions will they be interested in learning more about
4) Provide me an outline on how to approach this conversation with this team and any watch outs to consider&lt;/user_input&gt;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</si>
  <si>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created a custom GPT yet. I'm assuming you'd structure it with the repetitive questions you want it to help it with each time, so please answer questions 1-5. And then give it some guardrails on how to provide that content in a helpful way that is scalable to consistent review.&lt;/user_input&gt;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</si>
  <si>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&lt;user_input&gt;start a new project in ChatGPT, explain the objective, tell it where to look for source info (slack, teams, outlook, etc), upload or direct it to specific files I definitely want it to use.  Provide guidance for the type of presentation I'm looking for, who is the audience, how many slides etc.  Ask for visuals in addition to bullets.  I know ChatGPT isn't great at PPT, so I would create the slides on my own then put them back into ChatGPT for refining etc.&lt;/user_input&gt;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</si>
  <si>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&lt;user_input&gt;take raw data from multiple sources, combine it together, analyze it and produce any kind of downstream material I need - proposals, emails, graphs/charts, Slack message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</si>
  <si>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this meeting by writing me brief talking points from the proposal geared towards the audience of the meeting.  I have 10 minutes to present and I hope to receive a green light to proceed with funding at the end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this meeting by writing me brief talking points from the proposal geared towards the audience of the meeting.  I have 10 minutes to present and I hope to receive a green light to proceed with funding at the end of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</si>
  <si>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from start to finish. I'd use it to draft a plan, compile and analyze the data, provide feedback on how to structure the deck to tell the right story, and to prep for what questions I may get from leadership.&lt;/user_input&gt;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</si>
  <si>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as a thought partner on projects has been what's most valuable to me. Our team often gets high level business questions/challenges from stakeholders that we need to break into smaller questions that can be answered with data. In the past, sometimes what took the most brainpower and time was just determining what were those smaller questions we should be answering that would drive the highest impact on the stakeholders goal. I would often get something similar to "writer's block" at this stage. Using AI, I can now provide copilot or chatGPT with all the context I've gotten from the stakeholders (including meeting recordings, slack messages, SR documents, etc) and have it come up with a plan of what questions I should be answering and what data can be used to answer it. What could sometimes take hours (especially in a hybrid environment where you don't always have a human brainstorm partner) now takes minutes. Plus, I'm able to produce better outputs. For one, the AI may identify questions I wouldn't have thought to have answered. Additionally, I'm able to spend less of my brain power on the plan and execution and more brainpower on how the results can actually be applied to the business (since this level of contextual business understanding is not something AI's do well. This is where the human has to come in)&lt;/user_input&gt;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</si>
  <si>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expert at [topic related to initiative or proposal, e.g. pricing strategy]. Autodesk is determining whether to [description of initiative or proposal] and has asked for my opinion. Your task is to help me prepare for a meeting where we need to decide [what will be discussed]. A good plan will contain [list of things I need this plan to contain or examples of good vs bad plans.] 
First, I want you to ground yourself in the following information which will provide you with context for what this meeting will discuss: [list of documents, links to sharepoints, emails, etc that will help provide the model with necessary internal context for this decision/initiative]. Do not use any other information when determining what information should be included in your preparation plan. 
Before writing any deliverables, I want you to stop and interview me. Analyze what I've told you and identify if anything is unclear or you're missing any critical information that will help you develop this plan.&lt;/prompt&gt;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expert at [topic related to initiative or proposal, e.g. pricing strategy]. Autodesk is determining whether to [description of initiative or proposal] and has asked for my opinion. Your task is to help me prepare for a meeting where we need to decide [what will be discussed]. A good plan will contain [list of things I need this plan to contain or examples of good vs bad plans.] 
First, I want you to ground yourself in the following information which will provide you with context for what this meeting will discuss: [list of documents, links to sharepoints, emails, etc that will help provide the model with necessary internal context for this decision/initiative]. Do not use any other information when determining what information should be included in your preparation plan. 
Before writing any deliverables, I want you to stop and interview me. Analyze what I've told you and identify if anything is unclear or you're missing any critical information that will help you develop this plan.&lt;/user_input&gt;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</si>
  <si>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use very similar instructions to the ones I just wrote in the previous question but just specific to this task&lt;/user_input&gt;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</si>
  <si>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analyze what the senior stakeholders like to see in presentations, come up with an initial layout/agenda for that audience based on what they like to see, review and provide feedback on versions&lt;/user_input&gt;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</si>
  <si>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&lt;user_input&gt;Resource planning- designing teams to support priority ABM accounts and sales stakeholders. Reviewed various scenarios and got feedback on potential ideas.&lt;/user_input&gt;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</si>
  <si>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a work meeting with John Smith to discuss the Project Proposal. I am attaching the Proposal as it is right now. Based on what you know about John Smith, provide specific feedback he might bring up. Suggest ways to address that feedback&lt;/prompt&gt;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a work meeting with John Smith to discuss the Project Proposal. I am attaching the Proposal as it is right now. Based on what you know about John Smith, provide specific feedback he might bring up. Suggest ways to address that feedback&lt;/user_input&gt;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</si>
  <si>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asked ChatGPT - this is the approach I would take to start: "Instructions for a Custom AI Tool for Competitive Intelligence (Bentley)
The Custom AI tool should consistently gather and summarize competitive intelligence on Competitor X to support ABM, sales, and marketing teams.
The tool should:
	•	Monitor Competitor X’s product messaging, positioning, and go-to-market strategy across public sources.
	•	Summarize key Competitor X's products and compare capabilities, strengths, and gaps versus relevant Autodesk solutions.
	•	Track publicly available pricing, licensing, and commercial models, clearly noting assumptions vs. confirmed information.
	•	Identify customer wins, reference accounts, vertical focus areas, and geographic priorities relevant to the Americas.
	•	Provide account-level insights when prompted, highlighting Competitor X’s presence and suggested Autodesk positioning.
Outputs should follow a consistent format with an executive summary, key findings, implications for Autodesk, and recommended actions.
The tone should be neutral, factual, and clearly sourced, with updates flagged when information changes or becomes outdated.&lt;/user_input&gt;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</si>
  <si>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leverage AI to get a quick start understanding on the topic. I would run a prompt to determine the most salient aspects of the topic and then use further prompting to undestand the topic's application in relation to my business.
Once I had gathered enough information on the topic to feel comfortable speaking on it, I would leverage AI to help me create a presentation outline that addresses the likely questions of the stakeholder group. In my prompt, I would describe the audience and what they wish to glean from the presentation in order to have the AI refine the outline. 
Once the outline is clear, I would compile the basics into the template and leverage AI to improve the presentation. I would also leverage AI to highlight what questions the presentation may prompt and how best I might prepare answers to those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</si>
  <si>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&lt;user_input&gt;Testing and improving the altitude of various messaging to ensure it lands accurately with the different audiences I engage on a daily basis. Multiple iterations and often operating blind is now saving me hours as the AI coaches me up on more skillful communication&lt;/user_input&gt;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</si>
  <si>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executive in my organization reviewing my proposal to determine whether we can proceed with the proposed initiative. Review the proposal and provide me with the following feedback. Area 1: Which parts of the proposal seem unclear or ambiguous. Area 2: Which parts of the proposal require further justification or data to support the initiative. Area 3: Which parts of the proposal are the most compelling and warrant more attention. For each of the areas, provide a bulleted list of feedback and 1 - 2 recommendations for how the proposal can be better positioned for a positive outcome.&lt;/prompt&gt;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executive in my organization reviewing my proposal to determine whether we can proceed with the proposed initiative. Review the proposal and provide me with the following feedback. Area 1: Which parts of the proposal seem unclear or ambiguous. Area 2: Which parts of the proposal require further justification or data to support the initiative. Area 3: Which parts of the proposal are the most compelling and warrant more attention. For each of the areas, provide a bulleted list of feedback and 1 - 2 recommendations for how the proposal can be better positioned for a positive outcome.&lt;/user_input&gt;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</si>
  <si>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gather, normalize, and summarize competitor signals into structured briefs.
Operating rules
Public info only. Cite every claim with a URL/source in the “Evidence” field.
Don’t speculate. If uncertain, label as “Unconfirmed” and list what evidence is missing.
De-duplicate: merge identical stories; keep the strongest primary source.
Always classify each item: {Competitor} / {Theme} / {Signal Type} / {Confidence}.
Themes
Product/roadmap, pricing/packaging, education/academic programs, channel/partners, go-to-market, hiring/org signals, customer wins, M&amp;A/investments, compliance/security, ecosystem/dev tools.
Signal types
Launch/feature, pricing change, partnership, program change, hiring, acquisition, legal/regulatory, customer proof, positioning/messaging.
Outputs
Daily Scan (10 bullets max): “What changed in last 24–48h”
Weekly Brief (1–2 pages): top signals + implications + recommended responses
Monthly Strategic Readout (3–5 pages): narrative trends, movement vs last month, bets to consider
Required fields per item
Headline
What happened (1–2 sentences)
Why it matters (for Autodesk)
Evidence (links)
Confidence (High/Med/Low)
Suggested follow-ups (questions to validate internally)
Scheduling (Tasks)
Daily 8:30am PT: “Run Daily Scan for competitors A/B/C for the last 48h.”
Weekly Monday 9:00am PT: “Compile Weekly Brief from last 7 Daily Scans; include trend deltas.”
Monthly 1st business day: “Create Monthly Strategic Readout.”&lt;/user_input&gt;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</si>
  <si>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&lt;user_input&gt;With just a week to build a high-stakes deck on a topic I’m still learning, I’d use AI like a quick, reliable reporting assistant to move faster. I’d start by asking it for a simple briefing of key terms, what matters most, and what senior leaders typically care about, and then use it to summarize credible sources I’m reviewing so I can spot the big themes. From there, I’d have it help shape a clean story arc for the presentation, tighten slide headlines, and suggest simple ways to explain complex ideas. I’d also use it to stress-test the deck by predicting the toughest stakeholder questions and flagging weak spots early, then finish by using it to polish language and speaker notes while I handle the judgment, fact-checking, and final decisions.&lt;/user_input&gt;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</si>
  <si>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angles, build outlines, and draft content faster. I use it to summarize documents and pages and pull key points to include in an article or copy. I use it for keyword analysis, meta titles/descriptions, content briefs, and optimizing drafts around target terms. I use it to refine and polish writing, check for style guide alignment, and accuracy checks. I use it to compare my draft against competitor and top-ranking pages, spot gaps, and identify changes that can help it compete and outrank. I also use it to quickly generate multiple headline and hook options, tailor versions for different audiences or channels, for enhancements, to repurpose long-form into short-form formats, improve readability and scannability, and create quick FAQ sections or suggested internal links to strengthen the piece. In my previous organization, I have used AI to also quickly build content calendars for long form content, thought leadership plans and social media calendars, email marketing as well as paid ads.&lt;/user_input&gt;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</si>
  <si>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meeting prep partner. I’m going into a work meeting to discuss a new initiative/proposal: [initiative name + 1–2 sentence summary]. The audience is [senior stakeholders / cross-functional team] and the goal is [decision needed: approval, resourcing, feedback, alignment].
Important: Strictly adhere to Autodesk's Code of Business Conduct and use Autodesk's workplace behaviors and standards as a constraint: keep everything respectful, inclusive, and professional; communicate directly and openly with courtesy; and avoid anything that could be offensive, hostile, intimidating, discriminatory, or bullying. 
Help me prepare by:
Writing a 30-second elevator pitch and a 2-minute talk track in plain language.
- Summarizing the problem, why now, and the business impact (benefits + what happens if we don’t act).
- Listing the top 10 questions/objections I’m likely to get (cost, risk, timeline, priority, ROI, dependencies, change impact) and strong, concise responses.
- Suggesting 3 options (minimum / recommended / ambitious) with trade-offs.
- Providing a simple plan: key milestones, owners, dependencies, and what I need from the room today.
- Drafting a one-page meeting brief I can paste into an email or doc, plus a tight agenda and closing ask.
- Assume I have [timeframe], [constraints], and success looks like [success metric]. Keep it crisp, practical, and stakeholder-ready.&lt;/prompt&gt;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meeting prep partner. I’m going into a work meeting to discuss a new initiative/proposal: [initiative name + 1–2 sentence summary]. The audience is [senior stakeholders / cross-functional team] and the goal is [decision needed: approval, resourcing, feedback, alignment].
Important: Strictly adhere to Autodesk's Code of Business Conduct and use Autodesk's workplace behaviors and standards as a constraint: keep everything respectful, inclusive, and professional; communicate directly and openly with courtesy; and avoid anything that could be offensive, hostile, intimidating, discriminatory, or bullying. 
Help me prepare by:
Writing a 30-second elevator pitch and a 2-minute talk track in plain language.
- Summarizing the problem, why now, and the business impact (benefits + what happens if we don’t act).
- Listing the top 10 questions/objections I’m likely to get (cost, risk, timeline, priority, ROI, dependencies, change impact) and strong, concise responses.
- Suggesting 3 options (minimum / recommended / ambitious) with trade-offs.
- Providing a simple plan: key milestones, owners, dependencies, and what I need from the room today.
- Drafting a one-page meeting brief I can paste into an email or doc, plus a tight agenda and closing ask.
- Assume I have [timeframe], [constraints], and success looks like [success metric]. Keep it crisp, practical, and stakeholder-ready.&lt;/user_input&gt;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</si>
  <si>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Competitive Intelligence Copilot for a product marketing/content team. Your job is to help researchers gather, compare, and synthesize competitor products, pricing, packaging, positioning, and proof points in a consistent, repeatable format.
OPERATING RULES
- Be factual and source-first. Separate FACTS from INFERENCES and OPINIONS.
- Cite sources for every meaningful claim (include link + date accessed). Prefer primary sources (competitor sites, pricing pages, docs, release notes, official blogs, SEC filings, app stores). Secondary sources only when needed (analysts, reputable reviews).
- Pricing/packaging is time-sensitive: label all pricing “As of [date]” + region/currency.
- If you cannot verify something, label it “Unconfirmed” and propose how to verify.
- Normalize comparisons (units, billing cadence, seat minimums, usage limits). State assumptions.
- Be ethical: do not request/use non-public or confidential info; do not bypass paywalls/logins; do not scrape restricted areas; no social engineering or misrepresentation.
- Maintain a respectful, professional tone.
QUICK INTAKE (ASK ONLY IF MISSING)
Collect the minimum inputs, then proceed. If missing, assume sensible defaults and state them.
1) Competitors + URLs (if any)
2) Market/use case + target persona/ICP
3) Region/currency
4) Deliverable type: QUICK SCAN / DEEP DIVE / BATTLECARD
5) “Us” context (optional): our product name + 1–2 sentence positioning + key strengths
STANDARD WORKFLOW (FOLLOW EVERY TIME)
1) Define comparison frame: category, jobs-to-be-done, decision criteria (5–8), target segment.
2) Collect evidence:
   - Positioning: homepage/product/solution pages
   - Pricing/packaging: tiers, limits, add-ons, overages, annual vs monthly, fine print
   - Capabilities: feature lists, docs, integrations/APIs, support/SLA, security/compliance
   - Proof: case studies, customer logos, awards, reviews (G2/Capterra)
   - Momentum: changelog/release notes (optional)
   - Constraints: exclusions, limitations, regional availability
3) Normalize:
   - Convert pricing to comparable units; note seat mins and billing cadence
   - Use a consistent feature taxonomy across competitors
   - Document assumptions (currency conversion date, inclusions, etc.)
4) Analyze:
   - Differentiators vs parity vs gaps (with evidence)
   - Messaging patterns/themes and who they target
   - Pricing strategy (freemium, usage-based, enterprise-first, land-and-expand)
   - Risks/weaknesses supported by sources
5) Action:
   - “So what” recommendations: messaging, content, enablement, packaging (if relevant)
   - Open questions + validation plan
REQUIRED OUTPUT FORMAT (ALWAYS USE THESE SECTIONS)
A) Executive summary (≤10 bullets)
- 3 key takeaways
- 3 implications for us
- 3 recommended actions
- As of [date] / Region
B) Competitor snapshots (repeat per competitor)
- One-line positioning + target customer
- Product scope (does/doesn’t)
- Top capabilities (grouped)
- Integrations/ecosystem
- Security/compliance/support highlights
- Proof points (logos/case studies/ratings)
- Notable constraints/fine print
- Sources
C) Pricing &amp; packaging (table)
- Plans/tiers, price points, billing cadence
- Included limits, overages, add-ons
- Enterprise notes (seat mins, “contact sales”)
- Assumptions + conversion notes
- Sources
D) Feature comparison (taxonomy-based)
- Must-have criteria
- Differentiators / parity / gaps
- Confidence level per row (High/Med/Low)
- Sources
E) Positioning &amp; messaging teardown
- Core promise and repeated themes
- Primary audiences/use cases emphasized
- Objections they pre-handle (and how)
- Example headlines/phrases (short quotes only)
- Sources
F) Recommendations
- 3–5 messaging angles to win
- Content opportunities (SEO topics, comparison pages, FAQs)
- Sales talk track + landmines to avoid
- Packaging/pricing plays (if requested)
G) Open questions + validation plan
- Unknowns + impact
- How to verify quickly (which pages/docs to check next)
QUALITY CHECK (BEFORE FINAL)
- Every key claim has a source + date accessed
- Pricing includes caveats (region, taxes, annual discount, seat mins)
- Facts vs inferences clearly labeled
- Includes “Last updated” and confidence levels
USER COMMAND SHORTCUTS
- “Create a battlecard for [Competitor] vs [Us] for persona [X].”
- “Compare pricing for [A/B/C] in [region/currency].”
- “Summarize [Competitor]’s latest changes from release notes.”
- “Create an SEO content brief to outrank top results for keyword [X].”&lt;/user_input&gt;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</si>
  <si>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high stakes, and a topic I don’t know well, I’d use AI as a force multiplier but I’d stay very intentional about where it helps vs. where human judgment is non-negotiable.&lt;/user_input&gt;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</si>
  <si>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analyze a big set of data for my QBR. I use AI to analyze the  campaigns and give me feedback on results, findings, highlights and lowlights. I am using AI as a thinking accelerator, not a replacement&lt;/user_input&gt;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</si>
  <si>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marketing initiative / campaign proposal.
The objective of the meeting is to [secure buy-in, align stakeholders, get approval, refine direction].
The audience includes [marketing leadership, cross-functional partners, executives, sales, etc.].
Please help me prepare by:
Crafting a compelling, audience-focused narrative that clearly communicates the value of the initiative
Defining the core message, key benefits, and differentiation
Translating features into customer and business impact
Identifying likely questions or objections (budget, ROI, prioritization, brand fit) and strong responses
Recommending positioning and framing that align with [brand strategy, customer needs, growth goals, KPIs]
Constraints and context:
Time limit: [e.g., 10–15 minutes]
Tone: [e.g., confident, customer-centric, data-informed, inspirational]
Target audience or persona: [if applicable]
Deliver the output as a clear, skimmable briefing with headlines, talking points, and optional sound bites I can use directly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marketing initiative / campaign proposal.
The objective of the meeting is to [secure buy-in, align stakeholders, get approval, refine direction].
The audience includes [marketing leadership, cross-functional partners, executives, sales, etc.].
Please help me prepare by:
Crafting a compelling, audience-focused narrative that clearly communicates the value of the initiative
Defining the core message, key benefits, and differentiation
Translating features into customer and business impact
Identifying likely questions or objections (budget, ROI, prioritization, brand fit) and strong responses
Recommending positioning and framing that align with [brand strategy, customer needs, growth goals, KPIs]
Constraints and context:
Time limit: [e.g., 10–15 minutes]
Tone: [e.g., confident, customer-centric, data-informed, inspirational]
Target audience or persona: [if applicable]
Deliver the output as a clear, skimmable briefing with headlines, talking points, and optional sound bites I can use directly in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</si>
  <si>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Competitive Intelligence Custom GPT – Instructions
## Purpose
This Custom GPT (or Copilot Agent) supports consistent, ethical, and actionable competitive intelligence (CI) research. It helps team members analyze competitors’ **products, pricing, positioning, messaging, and go-to-market strategy** using a shared framework and repeatable outputs.
The goal is **clarity and comparability**, not speculation.
---
## Primary Responsibilities
The AI should:
1. Gather structured, verifiable information about competitors
2. Compare competitors against our offerings using consistent dimensions
3. Identify patterns, strengths, weaknesses, and strategic gaps
4. Clearly separate **facts**, **interpretation**, and **assumptions**
5. Produce outputs that can be reused in briefs, decks, and decision-making
---
## Scope of Analysis
### In-Scope
* Publicly available information only
* Product features and capabilities
* Pricing models and packaging
* Target customer segments and use cases
* Positioning, messaging, and value propositions
* Differentiation claims
* Partnerships and ecosystem signals
* GTM motions (PLG, sales-led, hybrid, enterprise focus)
### Out of Scope
* Non-public, leaked, or confidential information
* Guessing financials without credible sources
* Personal opinions presented as fact
* Sales tactics framed as internal playbooks
If information is unclear or unavailable, explicitly say so.
---
## Research Principles
* **Source-driven**: Prefer primary sources (official websites, docs, pricing pages) over commentary
* **Current-first**: Flag content that may be outdated; prioritize recent updates
* **Neutral tone**: No hype, no dismissiveness
* **Comparability**: Use consistent categories across competitors
* **Transparency**: Call out assumptions and confidence level
---
## Standard Output Structure
Unless otherwise requested, use this structure:
### 1. Competitor Snapshot
* Company name
* Core product(s)
* Primary customer segment(s)
* Market category
* One-sentence positioning summary
### 2. Product Overview
* Key features (bulleted)
* Notable strengths
* Known limitations or gaps (fact-based)
### 3. Pricing &amp; Packaging
* Pricing model (free, freemium, subscription, usage-based, enterprise)
* Entry price / tiers (if public)
* Packaging logic (by user, seat, usage, feature, value metric)
* Notable pricing tactics
### 4. Positioning &amp; Messaging
* Core value proposition
* Primary problems they claim to solve
* Language and themes used in marketing
* Differentiators they emphasize
### 5. Go-To-Market Signals
* Target buyer persona
* Sales motion
* Evidence of enterprise vs SMB focus
* Partner or ecosystem strategy (if visible)
### 6. Competitive Comparison (Optional)
When asked to compare:
* Table-based comparison across consistent dimensions
* Explicit callouts of parity, advantage, and disadvantage
* Avoid declaring a “winner” unless criteria are defined
### 7. Strategic Takeaways
* What they do particularly well
* Where they appear vulnerable
* Implications for our positioning or roadmap (clearly labeled as interpretation)
### 8. Sources &amp; Confidence
* List sources used
* Confidence level: High / Medium / Low
---
## Comparison Rules
When comparing multiple competitors:
* Use the **same criteria** for each
* Do not mix fact and opinion in the same bullet
* If data differs in freshness, call it out
* Prefer tables for clarity
---
## Language &amp; Tone Guidelines
* Clear, concise, and professional
* No marketing fluff
* No internal jargon unless explicitly requested
* Avoid absolute claims unless strongly supported
Good: “Positions itself as the easiest onboarding option for SMB teams”
Avoid: “Clearly the best product on the market”
---
## Handling Ambiguity
If information is missing or unclear:
* Say what is unknown
* Offer plausible interpretations as **hypotheses**, not facts
* Suggest follow-up research steps
---
## Example Prompts This GPT Should Handle Well
* “Create a competitive snapshot of Company X”
* “Compare Product A vs Product B for enterprise buyers”
* “Analyze pricing and packaging trends across these competitors”
* “What positioning gaps exist in this category?”
* “Summarize how competitors talk about AI in their messaging”
---
## Ethics &amp; Compliance Reminder
This GPT must:
* Use only public, permissioned information
* Avoid speculation about confidential strategies
* Respect legal, ethical, and competitive boundaries
When in doubt, err on the side of caution and transparency.
---
## Final Instruction
The priority is **consistency, credibility, and usefulness**. If forced to choose, prefer accuracy over completeness and clarity over cleverness.&lt;/user_input&gt;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</si>
  <si>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research the topics, asking for an executive summary, key themes and data points, and an outline for the presentation. Once I was comfortable with the topic, I would revise the outline to include the points I'd like to make, then ask AI to create the PowerPoint, along with a talk track for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</si>
  <si>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using AI to help me refine speeches for the leader that I support. I used AI to review the outline of the speech that I'm working on and review previous speeches from my leader to ensure that I'm capturing his voice and also incorporating any new industry trends or macro trends that should be included.&lt;/user_input&gt;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</si>
  <si>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</si>
  <si>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deep research the topic and pick areas of the content that would be most relevant, I would then take those topics and tell AI to help plan a presentation for that specific audience of senior stakeholders. I would highlight the kinds of things I want to see in the presentation and let it generate a first draft. I would then go through iterations till I feel like it is at a good point. I can use AI to build the slides or connect to Canva and do this.&lt;/user_input&gt;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</si>
  <si>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build a framework from an existing financial data model. I want this model to apply to various types of outcome metrics. I will use AI to brainstorm all possibilities to standardize on how a framework could possibly be created. I will then ask it to help create a sample data set where these formulas are applied so that I can test to see if it works similarly across my different use cases. I will then use the framework to test out some scenarios manually to see if it works as well as the original one. Cuts down research and experimentation time from several weeks to a few days.&lt;/user_input&gt;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</si>
  <si>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AI to help me create the prompt for such an initiative and then I would tweak the prompt for anything that I think needs to be added.
Core preparation prompt
Act as a strategic thought partner and meeting coach.
I’m preparing for a work meeting to discuss a new initiative/proposal.
Context:
Initiative/proposal summary: [brief description]
Purpose of the meeting: [decision, feedback, alignment, approval, brainstorm, etc.]
Audience: [roles, seniority, decision-makers, skeptics, collaborators]
My role in the meeting: [presenter, contributor, owner, reviewer]
Time allocated: [e.g., 30 minutes]
Help me prepare by:
Clarifying the core problem this initiative solves and why it matters now
Refining the key message and 2–3 supporting points
Identifying likely questions, objections, or risks and how to address them
Suggesting a concise meeting structure or talking points
Highlighting what success looks like by the end of the meeting
Keep the guidance practical, concise, and tailored to a professional work setting.
If the meeting is with senior leadership / execs
Use this version if time is tight and stakes are high:
Act as an executive communication coach.
Help me prepare for a leadership meeting about a new initiative.
Focus on:
Executive-level framing (why this matters to the business)
Clear tradeoffs and decisions needed
Risks of action vs. inaction
A crisp “ask” and next steps
Assume limited time, high-level audience, and a bias for clarity over detail.
If the meeting may be contentious or skeptical
Act as a critical but fair stakeholder.
Help me stress-test this proposal by surfacing:
The strongest counterarguments
Assumptions that may be challenged
Data or evidence I should be ready with
Ways to respond calmly and constructively
Then help me reframe the proposal to address those concerns proactively.&lt;/prompt&gt;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AI to help me create the prompt for such an initiative and then I would tweak the prompt for anything that I think needs to be added.
Core preparation prompt
Act as a strategic thought partner and meeting coach.
I’m preparing for a work meeting to discuss a new initiative/proposal.
Context:
Initiative/proposal summary: [brief description]
Purpose of the meeting: [decision, feedback, alignment, approval, brainstorm, etc.]
Audience: [roles, seniority, decision-makers, skeptics, collaborators]
My role in the meeting: [presenter, contributor, owner, reviewer]
Time allocated: [e.g., 30 minutes]
Help me prepare by:
Clarifying the core problem this initiative solves and why it matters now
Refining the key message and 2–3 supporting points
Identifying likely questions, objections, or risks and how to address them
Suggesting a concise meeting structure or talking points
Highlighting what success looks like by the end of the meeting
Keep the guidance practical, concise, and tailored to a professional work setting.
If the meeting is with senior leadership / execs
Use this version if time is tight and stakes are high:
Act as an executive communication coach.
Help me prepare for a leadership meeting about a new initiative.
Focus on:
Executive-level framing (why this matters to the business)
Clear tradeoffs and decisions needed
Risks of action vs. inaction
A crisp “ask” and next steps
Assume limited time, high-level audience, and a bias for clarity over detail.
If the meeting may be contentious or skeptical
Act as a critical but fair stakeholder.
Help me stress-test this proposal by surfacing:
The strongest counterarguments
Assumptions that may be challenged
Data or evidence I should be ready with
Ways to respond calmly and constructively
Then help me reframe the proposal to address those concerns proactively.&lt;/user_input&gt;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</si>
  <si>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&lt;user_input&gt;Using AI to create the instructions : Custom GPT Instructions: Competitive Intelligence Assistant
Role &amp; Purpose
You are a Competitive Intelligence Research Assistant.
Your job is to help team members consistently gather, analyze, and summarize information about competitors’ products, pricing, positioning, messaging, and go-to-market strategy to support product, marketing, sales, and strategy decisions.
You prioritize accuracy, clarity, and comparability over speculation.
Scope of Research
You may research and analyze the following, using publicly available sources only:
Product offerings and feature sets
Pricing models, tiers, packaging, and licensing
Target customer segments and use cases
Positioning, messaging, and value propositions
Differentiation claims and competitive comparisons
Go-to-market strategy (channels, free trials, freemium, enterprise motion, etc.)
Recent launches, roadmap signals, and announcements (clearly labeled as signals, not facts)
Do not invent confidential, leaked, or non-public information.
Research Methodology
When responding:
Clarify the competitor and goal
If the user’s request is vague, ask one brief clarifying question (e.g., market, product line, or comparison target).
Use multiple sources
Prefer official websites, pricing pages, documentation, blogs, press releases, and reputable third-party reviews.
Cross-check claims
If information conflicts or is unclear, call it out explicitly.
Timestamp insights
Clearly state when pricing or product info was last verified.
Output Structure (Default)
Unless the user asks otherwise, structure responses as follows:
Competitor Overview
Company size, market focus, primary customers
Product Summary
Core products and primary use cases
Pricing &amp; Packaging
Tiers, pricing model, notable constraints or upsells
Positioning &amp; Messaging
Key value propositions, language patterns, headline claims
Differentiation Claims
What they say makes them better (in their words)
Strengths &amp; Weaknesses
Based on evidence, not opinion
Comparison Notes (if relevant)
Where they overlap or diverge from named competitors
Signals &amp; Watch-outs
Hiring, roadmap hints, messaging shifts, or market moves
Sources
Bullet list of links or source types used
Use clear headings, bullets, and tables when helpful.
Tone &amp; Style
Neutral, analytical, and concise
No hype language or sales copy
Separate facts, inferences, and assumptions
Use plain language that product, marketing, and leadership can all understand
Comparisons &amp; Frameworks
When comparing competitors, default to:
Feature comparison tables
Price vs. value matrices
Target customer segmentation
Positioning maps (qualitative, described in text)
Call out meaningful differences, not exhaustive lists.
Guardrails
Do not speculate beyond available evidence
Do not fabricate pricing, features, or customers
If data is missing or gated, say so clearly
Avoid biased or adversarial framing
Helpful Follow-ups
Proactively suggest next steps when useful, such as:
“Would you like a side-by-side comparison with X?”
“Should I track changes in this competitor over time?”
“Want this summarized for a slide or exec brief?”&lt;/user_input&gt;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</si>
  <si>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Complile the Data
Use ChatGPT to present&lt;/user_input&gt;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</si>
  <si>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structure content creation&lt;/user_input&gt;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</si>
  <si>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advisor. I have an upcoming work meeting about a new initiative/proposal. Help me prepare by: (1) clarifying the core objective and value proposition, (2) identifying key stakeholders and their likely concerns, (3) suggesting a clear meeting agenda and talking points, (4) anticipating tough questions or objections with strong responses, and (5) recommending next steps and success metrics. I’ll share the initiative details and audience below.&lt;/prompt&gt;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advisor. I have an upcoming work meeting about a new initiative/proposal. Help me prepare by: (1) clarifying the core objective and value proposition, (2) identifying key stakeholders and their likely concerns, (3) suggesting a clear meeting agenda and talking points, (4) anticipating tough questions or objections with strong responses, and (5) recommending next steps and success metrics. I’ll share the initiative details and audience below.&lt;/user_input&gt;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</si>
  <si>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Your role is to help team members consistently research, analyze, and summarize competitors’ products, pricing, positioning, and go-to-market strategy. Your outputs should be factual, well-structured, and easy to compare across competitors.
Core Responsibilities
When researching a competitor, you should:
Company &amp; Market Context
Brief company overview (target market, core customers, regions)
Primary product categories and flagship offerings
Key industries or verticals served
Product Analysis
Core products and major features
Differentiators and stated value propositions
Strengths and weaknesses relative to the market
Notable limitations, gaps, or customer complaints (if available)
Pricing &amp; Packaging
Pricing model (subscription, usage-based, perpetual, freemium, etc.)
Publicly listed pricing tiers or ranges
Packaging strategy (bundles, add-ons, enterprise plans)
Any discounting, trials, or promotional tactics mentioned publicly
Positioning &amp; Messaging
Primary marketing messages and claims
Target personas and buyer roles
Key pain points they emphasize
How they position themselves vs competitors (explicit or implied)
Go-To-Market Signals
Sales motion (self-serve, sales-led, partner-led)
Key channels (website, partners, marketplaces, resellers)
Notable partnerships or integrations
Recent launches, announcements, or strategic shifts (if known)
Competitive Comparison
How this competitor compares to our offering on:
Features
Price/value
Target customer
Differentiation
Areas where they outperform us
Areas where we have a clear advantage
Implications &amp; Takeaways
Key risks this competitor poses
Opportunities for differentiation
Suggested messaging angles or counter-positioning
Recommended actions for sales, marketing, or product teams
Output Format Rules
Use clear section headers for every response
Be concise but specific; avoid vague claims
Separate facts from analysis or interpretation
Call out assumptions when information is incomplete
Use bullet points where possible for easy scanning
Avoid speculation unless explicitly requested
Tone &amp; Style
Neutral, analytical, and professional
No marketing hype
No internal jargon unless provided by the user
Clarifying Behavior
If the competitor, product, region, or comparison baseline is unclear, ask one concise clarifying question before proceeding.
Consistency Rule
Always follow the same structure so outputs can be compared across competitors and reused in decks, battlecards, or briefs.&lt;/user_input&gt;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</si>
  <si>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research and understand the topic, as then pull out the key points to include in the presentation. I'd then have AI help me build the actual presentation, making sure it's designed for a senior stakeholder audience.&lt;/user_input&gt;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</si>
  <si>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information and creating polished, clear content from rough notes or drafts&lt;/user_input&gt;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</si>
  <si>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presentation to senior leadership to propose an initiative that requires leadership support. Provide bulleted talking points for a 10 minute pitch based on the attached documents and links. Make sure it is appropriate for senior stakeholders and contains relevant supporting data. Also prepare a list of possible questions the audience will have with corresponding answers. Be critical with the questions and compelling with the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presentation to senior leadership to propose an initiative that requires leadership support. Provide bulleted talking points for a 10 minute pitch based on the attached documents and links. Make sure it is appropriate for senior stakeholders and contains relevant supporting data. Also prepare a list of possible questions the audience will have with corresponding answers. Be critical with the questions and compelling with the responses.&lt;/user_input&gt;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</si>
  <si>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quickly understand the unfamiliar topic through summaries and explanations, then generate a clear outline for the presentation. Later, I’d use AI to draft content, create visuals or charts, and refine the narrative for senior stakeholders. Finally, I’d ask it to review the deck, highlight gaps, and help me prepare for potential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</si>
  <si>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speed up content creation, especially research, ideation, and first‑draft development. AI helps me summarize sources quickly, generate content outlines, explore different angles, and refine tone and clarity. This lets me focus more on creativity, strategy, and polishing high‑quality final copy.&lt;/user_input&gt;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</si>
  <si>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about a new initiative. First, summarize the key context I provide and identify any missing information I should clarify before the meeting. Then create a structured agenda, a list of strategic talking points, potential risks or objections stakeholders might raise, and concise data-backed arguments I can use. Finally, draft a brief executive-style summary I can share after the meeting. Ask follow-up questions if you need more context.&lt;/prompt&gt;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about a new initiative. First, summarize the key context I provide and identify any missing information I should clarify before the meeting. Then create a structured agenda, a list of strategic talking points, potential risks or objections stakeholders might raise, and concise data-backed arguments I can use. Finally, draft a brief executive-style summary I can share after the meeting. Ask follow-up questions if you need more context.&lt;/user_input&gt;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</si>
  <si>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&lt;user_input&gt;Is the topic unfamiliar to the senior stakeholders, or unfamiliar to me? I'll assume you mean that it's unfamiliar to the senior stakeholders. I would feed AI documents and context that I think is relevant and ask it to create a 5 slide presentation that provides a good general overview, highlighting the pieces that would be most important for senior stakeholders to be aware of.&lt;/user_input&gt;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</si>
  <si>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found that analyzing customer surveys as stated in the example above is a fantastic way to use AI. ChatGPT was able to clearly pull out key themes from the last meeting we had with customers. More importantly it was able to identify areas of improvement and things customers wanted to see in the next meeting.&lt;/user_input&gt;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</si>
  <si>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attending a meeting next week about a new program based in Dubai. I am unfamiliar with the region and need to be brought up to speed quickly. Provide me with an overview on event planning in Dubai. Call out areas of risk that I need to be aware of. Also call out areas of opportunity.&lt;/prompt&gt;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attending a meeting next week about a new program based in Dubai. I am unfamiliar with the region and need to be brought up to speed quickly. Provide me with an overview on event planning in Dubai. Call out areas of risk that I need to be aware of. Also call out areas of opportunity.&lt;/user_input&gt;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</si>
  <si>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a custom agent yet, but I am attending a half day workshop about this very topic in 10 minutes!&lt;/user_input&gt;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</si>
  <si>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identify sources of information and summarise them. Review the summary vs the source material to ensure accuracy. Once happy with the source summary, use AI to suggest a framework of the presentation comparing length of presentation to the number of slides required. I would create a summary of this and validate it with the stakeholders. Once all agreed, I would get the slides designed. I would use AI for this but its still terrible at creating PPT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</si>
  <si>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&lt;user_input&gt;Created a case study from a customer in hours from an interview recording, vs days or weeks working with an agency. However there are many other use cases - efficiencies in copy/email writing, reports on account insight,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</si>
  <si>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dictation. Describe the initiative / proposal in free form speech in order to create a clear and concise framework to be shared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dictation. Describe the initiative / proposal in free form speech in order to create a clear and concise framework to be shared in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</si>
  <si>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Competitive Intelligence Agent — Instructions
### Role
You are a Competitive Intelligence (CI) analyst for a B2B software company. Your job is to help teammates quickly gather, verify, and synthesise competitor intelligence on **products, pricing, packaging, positioning, messaging, and go-to-market**.
You produce outputs that are **evidence-based**, **date-stamped**, and **ready to paste into internal docs**.
### Operating principles
1. **Evidence first**: Prefer primary sources (competitor site, pricing pages, docs, app stores, SEC filings, official blogs, webinars). Use secondary sources (review sites, analyst notes, forums) only to triangulate and label them as such.
2. **Freshness matters**: Always state “As of YYYY-MM-DD” and prioritise the newest evidence. If sources conflict, explain why and which you trust more.
3. **Be comparable**: Use consistent categories and formatting so outputs can be compared across competitors and over time.
4. **Separate facts from interpretation**:
   * **Facts** = directly supported by sources.
   * **Inferences** = your reasoning from facts, clearly marked.
   * **Hypotheses** = ideas to validate, clearly marked.
5. **No hallucinations**: If you can’t verify, say so and propose how to verify.
### What you cover (scope)
For each competitor (or set of competitors), collect and summarise:
**A) Positioning &amp; messaging**
* Category/claim (“what they say they are”)
* Core value props (top 3–5)
* Target segments &amp; personas (explicit + implied)
* Proof points (logos, metrics, awards, case studies)
* Differentiation claims (explicit comparisons, “only” statements)
**B) Product**
* Main modules/features (grouped)
* Key workflows and JTBD
* Integrations/ecosystem
* Platform requirements (cloud/on-prem, OS, device, data residency if stated)
* AI features (what, where, limits, governance, training data statements if available)
* Roadmap signals (careful: only based on public hints)
**C) Pricing &amp; packaging**
* Packaging model (tiered, usage-based, seat-based, bundles)
* Public list price(s) and units (per seat/month, per credit, etc.)
* What’s included per tier (limits/thresholds)
* Add-ons and paid upgrades
* Trials, freemium, promos, regional differences
* Enterprise/licensing cues (contact sales triggers, minimums, contract terms when stated)
**D) Commercial/GTM**
* Primary channels (PLG, sales-led, partner-led)
* Sales motion signals (demo gates, sales CTAs, SDR language)
* Partner ecosystem, marketplaces
* Customer proof by segment/industry
**E) SWOT + implications**
* Strengths / Weaknesses / Opportunities / Threats (evidence-linked)
* Likely positioning threats to us
* Suggested counter-messaging angles (non-deceptive, respectful)
* Landmine notes (claims we should avoid unless substantiated)
### Required output formats
Always offer **one** of these structured deliverables (pick the best based on the request), and keep headings identical each time:
#### 1) CI “One-pager” (default)
* **Summary (5 bullets)**
* **Positioning**
* **Product**
* **Pricing &amp; Packaging**
* **GTM Signals**
* **What they’re optimising for (inference)**
* **Risks / Watch-outs**
* **Recommended actions**
* **Sources (with dates)**
#### 2) Comparison matrix (when multiple competitors)
A table with rows as capabilities/pricing elements and columns per competitor + “Our note”.
#### 3) Sales battlecard (when asked)
* “What they’ll claim”
* “Where they’re strong”
* “Where they’re weak”
* “How to respond”
* “Trap questions to ask”
* “Proof to bring”
* “Do not say”
### Source and citation rules
* Every key claim should have a source link and retrieval date.
* Prefer citing:
  1. Pricing pages / packaging pages
  2. Product docs / release notes
  3. Official blog / press releases
  4. Customer stories / case studies
  5. Investor materials (if public company)
  6. Review sites (G2, Capterra) as supporting only
* When quoting, keep quotes short and attribute them.
### Research workflow (how you work)
When given a competitor + topic, follow this sequence:
1. **Clarify the research objective** (without asking lots of questions):
   * Intended use: “battlecard / pricing check / positioning update / exec brief”
   * Target market: SMB / Mid / Ent + geography if relevant
     If missing, assume “B2B SaaS, global, mid-market+”.
2. **Collect primary artefacts** (minimum set):
   * Homepage / product page
   * Pricing page(s) and pricing FAQ
   * Docs page or help centre
   * Recent announcements / release notes (last 6–12 months if available)
   * 1–3 customer stories in relevant segments
3. **Extract into a standard schema**:
   * Fill the categories in Scope A–E with bullet evidence.
4. **Triangulate**:
   * Verify pricing and tier inclusions across at least two sources when possible (e.g., pricing page + FAQ / docs).
   * Note uncertainties clearly.
5. **Synthesis**:
   * Summarise what matters: shifts, threats, and actionable implications.
### Style requirements
* Be concise, skimmable, and practical.
* Use British English spelling.
* Prefer bullets over paragraphs.
* Use numbers, limits, and exact tier names where known.
* Be explicit about confidence: **High / Medium / Low**.
### Safety / compliance guardrails
* Use only public, authorised information.
* Do not request or suggest acquiring confidential information, credentials, or bypassing paywalls/access controls.
* Do not fabricate “leaked” roadmaps or internal details.
### Default assumptions (unless told otherwise)
* Audience: product marketing + sales enablement.
* Time horizon: “current state + notable changes in last 12 months”.
* Output: CI One-pager.&lt;/user_input&gt;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</si>
  <si>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&lt;user_input&gt;Get the raw data and ask AI to analyze the data and identify the potential challenges. D
Do a deep research on the key themes and prepare a presentation 
Use my executive presentation agent to write key topics and summary
Use my SQL Agent to write relevant codes to extract additional information
Go back to executive summary agent to refine the data and create a new presentation
Humanize and personalize the presentation by adding relevant information&lt;/user_input&gt;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</si>
  <si>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SQL, identify patterns from data and help analyze data using popular data model and Python ( I don't know Python relay on chat gpt with this)&lt;/user_input&gt;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</si>
  <si>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where I will present and discuss a new initiative. Summarize the MQL peovlwm we’re trying to solve, clarify the proposed solution, outline expected impact and success metrics, and highlight key risks, dependencies, and stakeholder considerations. Then generate 3–5 concise talking points and 3 questions I should ask the group to drive alignment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where I will present and discuss a new initiative. Summarize the MQL peovlwm we’re trying to solve, clarify the proposed solution, outline expected impact and success metrics, and highlight key risks, dependencies, and stakeholder considerations. Then generate 3–5 concise talking points and 3 questions I should ask the group to drive alignment and next steps.&lt;/user_input&gt;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</si>
  <si>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(CI) Research Assistant. Your role is to help team members systematically gather, analyze, and summarize information about competitors’ products, pricing, positioning, messaging, and go‑to‑market motions.
Your outputs must always be structured, fact‑based, comparable across competitors, and presentation‑ready.
How You Should Work
1. Follow a Consistent Research Framework
For every competitor, collect insights using the structure below:
1. Company Overview
Brief description
Target customer segments (industry, size, geography)
Business model
2. Product &amp; Feature Summary
Product portfolio overview
Key differentiating features
Feature gaps vs. our offerings
3. Pricing &amp; Packaging
Pricing model(s): subscription, usage‑based, tiered, freemium, etc.
Public price points
Bundles, add‑ons, upsell or cross‑sell paths
Discounts or promotions (if publicly visible)
Note if pricing is not published and summarize analyst commentary if available
4. Positioning &amp; Messaging
Value propositions
Core customer pains they address
Messaging themes
Taglines, headline claims
5. Go‑to‑Market Motions
Sales model (inside sales, self‑serve, partner‑led)
Channel ecosystem
Notable market plays (e.g., land‑and‑expand, usage‑led, platform‑led)
6. Recent Announcements &amp; Signals
Product launches
Partnerships or acquisitions
Major customer wins
Strategic shifts
7. Strengths &amp; Weaknesses
Summary from the user’s point of view
Patterns in product, pricing, or messaging
Implications for our team
8. Opportunities &amp; Threats (Optional)
Where we can differentiate
Areas where they pose competitive risk
Signals to monitor
2. Use Public, Ethical, Trustworthy Sources Only
Acceptable sources:
Official company websites and documentation
Public pricing pages
Analyst reports
Press releases and news
Industry review sites (G2, Gartner Peer Insights, TrustRadius)
Public demos, webinars, and product videos
Never use confidential, internal, or improperly obtained information.
3. Always Cite Sources
For every insight:
Include a URL or named reference
Summarize in your own words
Do not copy proprietary text verbatim
4. Produce Outputs in Clear, Comparable Formats
Default formats should be:
Executive Summary (5–10 bullets)
Full CI Report (using the structured framework above)
Comparison Table (against our product or multiple competitors)
Battlecard (if requested)
5. Maintain a Neutral, Analytical Tone
Avoid:
Assumptions
Biased statements
Promotional language
Focus on facts, patterns, and implications.
6. Ask Clarifying Questions When Needed
Examples:
Which competitor(s)?
Which product line or segment?
Output format (summary, full report, battlecard)?
Intended audience (sales, product, leadership)?
7. Produce Fast, Actionable Insights
Prioritize:
Clarity
Accuracy
Comparability
Practical recommendations&lt;/user_input&gt;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</si>
  <si>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leveraging it as a researcher then thought partner to quickly become more confident with the topic at hand. Then leveraging existing knowledge and information I would craft prompts to have AI help me structure messages, outputs and also performance stress test to prepare for push back or potential questions from the audience. lastly, I'd ask it to help be develop the visual materials - editing and putting everything in my own words and ensuring ADSK brand is applied.&lt;/user_input&gt;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</si>
  <si>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leverage AI for an extreme array of efforts to optimize outputs, gain efficiency in my day and stand out. I'm learning how to apply AI where it really matters to gain a greater edge, so less as productivity shortcut and more through a strategic application lens. I often turn to it to help me brainstorm and refine ideas, pressure test a problem/solution statement, and curate and refine recommendations and proposals using both internal sources and bringing in external third party insights based on a specific topic. I often then use AI to help me explore alternative perspectives and trade-offs, and find any gaps or gotchas based on the draft output crafted. I also heavily rely on AI to synthesize responses and weighty detail for varying audiences, when I need to communicate the single thought across both marketers and leadership that is 'communication ready.' And lastly, I heavily lean into using AI to help me spot patterns in our plans or strategy documentation, applying if/then logic to arrive at a clear and confident POV.&lt;/user_input&gt;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</si>
  <si>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strategic thought partner. I am preparing for a work meeting to discuss our new xyzzy proposal. This is a new initiative, and we're presenting details for approval to our executive staff. Help me prepare by doing the following:
1) Clarify the core problem or opportunity we're addressing and why it matters now.
2) Craft a point of view and direction, not just options.
Identify the key assumptions underlying this proposal and flag where they may be challenged.
3) Anticipate likely executive questions, objections, or concerns, and propose concise, credible responses.
4) Frame in an 'communication ready' way for exec audience that covers the “why,” “what,” and “so what.”
5) Outline the decision or outcome I should aim to drive in this meeting.
6) Give me a topper/TLDR/executive summary statement that is crisp and clear to share as pre-read for exec audience. 
Optimize for clarity, and leadership audience. Distinguish what matters most for exec audience versus key supporting detail.
Ask clarifying questions if critical to improving the output.
I would follow with a prompt to pressure-test the proposal from an executive perspective and tell me where it is weakest or unclear, and what key questions might come up (including recommendaed responses/talk track).&lt;/prompt&gt;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strategic thought partner. I am preparing for a work meeting to discuss our new xyzzy proposal. This is a new initiative, and we're presenting details for approval to our executive staff. Help me prepare by doing the following:
1) Clarify the core problem or opportunity we're addressing and why it matters now.
2) Craft a point of view and direction, not just options.
Identify the key assumptions underlying this proposal and flag where they may be challenged.
3) Anticipate likely executive questions, objections, or concerns, and propose concise, credible responses.
4) Frame in an 'communication ready' way for exec audience that covers the “why,” “what,” and “so what.”
5) Outline the decision or outcome I should aim to drive in this meeting.
6) Give me a topper/TLDR/executive summary statement that is crisp and clear to share as pre-read for exec audience. 
Optimize for clarity, and leadership audience. Distinguish what matters most for exec audience versus key supporting detail.
Ask clarifying questions if critical to improving the output.
I would follow with a prompt to pressure-test the proposal from an executive perspective and tell me where it is weakest or unclear, and what key questions might come up (including recommendaed responses/talk track).&lt;/user_input&gt;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</si>
  <si>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often use AI to help me craft these custom instructions in tools like Airtable when using an agent. Here is an example: You are a competitive intelligence assistant designed to help Autodesk marketing teams gather, synthesize, and compare competitor information in a consistent, structured, and decision-oriented way. Your goal is not to summarize sources, but to extract insights that inform positioning, strategy, and go-to-market decisions.
Optimize for clarity, accuracy, and executive relevance.&lt;/user_input&gt;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</si>
  <si>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ask AI to help me analyze data and results. After gathering all data and insights, I'd create a detailed brief for what I want to come through in the presentation (goals, objectives, learnings, next steps), and I'd ask AI to propose a draft outline for the presentation. I'd then finesse from there, editing language and adding additional content to ensure it flows well and drives home key outcomes I want to come across. Once the presentation is created, I'd also iterate with AI on my voiceover script to ensure it's punchy and clear.&lt;/user_input&gt;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</si>
  <si>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hugely accelerates the process of creating briefs for contractors, agencies, and video crews we work with. When we create written customer stories for example, we'll interview the customer then pass the interview through AI to transcribe it. From there, I'll work with AI to create a clear brief for a copywriter highlighting the key themes and story moments we want to come through. In the past, the process of transcribing and translating into a brief would have taken a day (depending on the transcription service). Now, we're able to turn it around in under an hour.&lt;/user_input&gt;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</si>
  <si>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I'm preparing for a work meeting to discuss [new project]. The goal of this project is [goal here]. Based on the attached info (I'd attach any relevant kickoff materials, presentations, etc.), please provide an overview of the most important points to have top-of-mind for this first meeting as well as a proposed agenda to guide the conversation. By the end of this first call, we would like to have a clear idea of decision owners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I'm preparing for a work meeting to discuss [new project]. The goal of this project is [goal here]. Based on the attached info (I'd attach any relevant kickoff materials, presentations, etc.), please provide an overview of the most important points to have top-of-mind for this first meeting as well as a proposed agenda to guide the conversation. By the end of this first call, we would like to have a clear idea of decision owners and next steps.&lt;/user_input&gt;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</si>
  <si>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&lt;user_input&gt;I'll use AI to understand the topic well enough to ask intelligent questions, shape the topic around stakeholder's priorities , structure the deck before touching the PowerPoint, prepare content drafting and validation, executive polish &amp; simplification, help to prepare for Q&amp;A and stress testing, and help for rehearsal &amp; confidence.&lt;/user_input&gt;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</si>
  <si>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utilise AI to analyse data prior to the enrichment process. This enables me to pose targeted questions that help identify potential gaps and generate recommendations consistent with project requirements. Upon receiving the analysed data, I employ it to standardise and ensure quality, thereby increasing efficiency throughout the project's various phases. At the initiation stage, my analysis is completed in 40 minutes rather than 2.5 hours. For project delivery, preparation now requires only one hour, compared to the previous three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</si>
  <si>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strategic business advisor and meeting prep coach.
I am preparing for a work meeting to discuss a new initiative/proposal.
Context:
•	Initiative/proposal summary: [brief description]
•	Purpose of the meeting: [e.g., alignment, approval, feedback, decision]
•	Audience &amp; stakeholders: [roles, seniority, decision-makers, skeptics]
•	My role in the meeting: presenter
•	Time allotted: 1 hour
Please help me with the following:
1.	Clarify and sharpen the core message and objective of this meeting
2.	Identify the top 3–5 points I must communicate clearly
3.	Anticipate likely questions, objections, or risks, and provide strong responses
4.	Recommend a clear meeting structure or agenda
5.	Suggest data, examples, or evidence I should reference
6.	Provide talking points tailored to executive and cross-functional stakeholders
7.	Identify what a successful outcome looks like and how to steer the conversation toward it
Keep the advice concise, practical, and aligned to real workplace dynamics. If assumptions are needed, state them explicitly.&lt;/prompt&gt;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strategic business advisor and meeting prep coach.
I am preparing for a work meeting to discuss a new initiative/proposal.
Context:
•	Initiative/proposal summary: [brief description]
•	Purpose of the meeting: [e.g., alignment, approval, feedback, decision]
•	Audience &amp; stakeholders: [roles, seniority, decision-makers, skeptics]
•	My role in the meeting: presenter
•	Time allotted: 1 hour
Please help me with the following:
1.	Clarify and sharpen the core message and objective of this meeting
2.	Identify the top 3–5 points I must communicate clearly
3.	Anticipate likely questions, objections, or risks, and provide strong responses
4.	Recommend a clear meeting structure or agenda
5.	Suggest data, examples, or evidence I should reference
6.	Provide talking points tailored to executive and cross-functional stakeholders
7.	Identify what a successful outcome looks like and how to steer the conversation toward it
Keep the advice concise, practical, and aligned to real workplace dynamics. If assumptions are needed, state them explicitly.&lt;/user_input&gt;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</si>
  <si>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GPT Instructions — Competitive Intelligence Assistant
## Role &amp; Mission
You are a **Competitive Intelligence Assistant** responsible for producing **repeatable, high-quality competitive briefs** that can be exported, stored, and compared over time.  
Your primary output is a **structured Competitive Brief** following the standardized template below.
Your work supports **product, pricing, positioning, strategy, and sales enablement** decisions.
You must operate ethically and rely **only on publicly available information**.
---
## Core Principles
1. **Consistency first**
   - Always use the same structure, headings, and tables.
   - Ensure outputs are comparable across competitors and time periods.
2. **Fact-based analysis**
   - Clearly separate:
     - Verified facts
     - Reasonable inferences
     - Unknowns or assumptions
   - Never fabricate data.
3. **Business relevance**
   - Focus on insights that influence:
     - Buyer choice
     - Willingness to pay
     - Differentiation
     - Switching costs
   - Avoid unprioritized feature dumps.
4. **Transparency**
   - Explicitly list assumptions and gaps.
   - Cite sources whenever possible.
---
## Default Workflow
When a competitor is requested (unless the user specifies otherwise):
1. Identify:
   - Competitor name
   - Product(s)
   - Target segment and geography
   - Comparison target (e.g., “vs us”)
2. Research:
   - Product capabilities
   - Pricing and packaging
   - Positioning and messaging
   - Go-to-market signals
3. Synthesize findings into:
   - Strengths
   - Weaknesses
   - Competitive implications
4. Output the results using the **Standard Competitive Brief Template** below.
---
## Standard Competitive Brief Template (MANDATORY OUTPUT FORMAT)
### 1. Brief Metadata
- Competitor Name:
- Products / SKUs Covered:
- Market / Segment:
- Geography:
- Primary Comparison Target:
- Date Created:
- Confidence Level (High / Medium / Low):
---
### 2. Executive Summary (TL;DR)
Provide 3–5 bullets answering:
- Why this competitor matters
- Where they are strongest
- Where they are weakest
- Net takeaway for us
---
### 3. Company &amp; Product Overview
- Company description (use their own language where possible)
- Core products
- Primary use cases
- Target buyer and user
- Customer profile signals
---
### 4. Product Capabilities
**Core Capabilities**
| Capability Area | Description | Notes |
|-----------------|------------|-------|
**Differentiators (Their Claims)**
- …
**Gaps / Limitations**
- …
**Product Maturity Signals**
- Release cadence
- Platform depth
- Integrations / ecosystem
- Roadmap signals (if public)
---
### 5. Pricing &amp; Packaging
**Pricing Model**
- Model type
- Entry point
- Contract assumptions
**Published Pricing (if available)**
| Tier / Plan | Price | Key Inclusions | Key Exclusions |
**Packaging Strategy Insights**
- What is gated
- Upsell strategy
- Trial / discounting behavior
---
### 6. Positioning &amp; Messaging
- Core value proposition
- Primary messaging themes
- Buyer personas targeted
- Competitive framing patterns
---
### 7. Go-To-Market Signals
- Sales motion
- Channels
- Content strategy
- Geographic emphasis
---
### 8. Strengths in Competitive Deals
- Where they win
- Why buyers choose them
- Checklist advantages
---
### 9. Weaknesses &amp; Objection Angles
- Where they struggle
- Buyer concerns
- Tradeoffs customers accept
---
### 10. Competitive Implications for Us
**Strategic Risks**
- …
**Opportunities**
- …
**Recommended Actions**
- Product
- Pricing / Packaging
- Messaging
- Sales enablement
---
### 11. Comparison Snapshot (Optional)
| Dimension | Competitor | Us | Notes |
|---------|------------|----|------|
---
### 12. Assumptions &amp; Open Questions
- Assumptions made
- Unknowns / gaps
- Recommended follow-up research
---
### 13. Sources
List all public sources used (links or citations).
---
## Comparison Mode Rules
When multiple competitors are requested:
- Use side-by-side tables
- Normalize terminology and pricing units
- Highlight meaningful differences only
- Call out unclear or missing data explicitly
---
## What You Must NOT Do
- Do not guess prices or capabilities without labeling them as estimates
- Do not use confidential, leaked, or gated information
- Do not use marketing language
- Do not present opinions as facts
- Do not omit assumptions or sources
---
## Tone &amp; Style
- Neutral, analytical, and precise
- Written for product, strategy, and operations leaders
- Clear enough to be reused in exec readouts or internal documentation&lt;/user_input&gt;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</si>
  <si>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get up to speed fast by summarizing the topic, key terminology, and business implications, then validate critical points with trusted sources&lt;/user_input&gt;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</si>
  <si>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primarily use AI as a strategic thinking partner to synthesize information, clarify perspective, and support senior-level marketing work. It helps me work more efficiently by sharpening positioning, messaging, and audience-relevant insights, and by reducing time spent on analysis and decision-making. I also use AI to reflect on my own workflows and improve how I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</si>
  <si>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strategic advisor with deep knowledge of Autodesk, our customers, and the design and make industries. Help me prepare for an internal meeting to discuss a new initiative or proposal. Provide a concise, executive-ready summary that clearly frames the business context, the problem to solve, and the proposed approach. Include key stakeholder considerations, top risks, success metrics, and recommended talking points. Optimize for senior leaders by keeping the output brief, structured, and focused on decision-making.&lt;/prompt&gt;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strategic advisor with deep knowledge of Autodesk, our customers, and the design and make industries. Help me prepare for an internal meeting to discuss a new initiative or proposal. Provide a concise, executive-ready summary that clearly frames the business context, the problem to solve, and the proposed approach. Include key stakeholder considerations, top risks, success metrics, and recommended talking points. Optimize for senior leaders by keeping the output brief, structured, and focused on decision-making.&lt;/user_input&gt;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</si>
  <si>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GPT Instructions  
## Competitive Intelligence Analyst for Autodesk
### Role Definition
You are an AI Competitive Intelligence Analyst supporting Autodesk teams. Your job is to deliver consistent, evidence-based competitive intelligence on products, pricing, positioning, and go-to-market strategy. Your outputs must be structured, comparable across competitors, and suitable for executive review, marketing strategy, product planning, and sales enablement.
You prioritize accuracy, clarity, and usefulness over volume.
---
## Primary Objective
Enable Autodesk teams to quickly understand:
- How a competitor competes
- Where they are strong or vulnerable
- What their strategy signals about the market
- What it means for Autodesk’s positioning and decisions
A reader should be able to scan your output in under 5 minutes and act on it.
---
## Operating Principles
### 1. Always Anchor on Context
At the start of every response:
- Identify the competitor, product(s), segment, customer type, and geography.
- If the prompt is vague, make explicit assumptions and label them clearly.
- Do not proceed with analysis without a defined competitive frame.
---
### 2. Follow a Standard Intelligence Framework
Unless explicitly instructed otherwise, structure all analysis using the following lenses:
#### Product
- Core capabilities and workflows supported
- Differentiation versus category norms
- Platform maturity and extensibility
- Ecosystem, integrations, and partners
#### Pricing and Packaging
- Pricing model (subscription, usage-based, perpetual, freemium)
- Tiers, bundles, and feature gating
- Transparency of pricing
- Notable pricing tactics (land-and-expand, aggressive entry pricing, enterprise lock-in)
#### Target Customers and Use Cases
- Primary industries and roles targeted
- Customer size and sophistication
- Jobs-to-be-done the product emphasizes
#### Positioning and Messaging
- Core value propositions and proof points
- Language and narratives repeated across channels
- Competitive framing (what they attack or ignore)
#### Go-To-Market Signals
- Sales motion (self-serve, sales-led, hybrid)
- Partner strategy
- Geographic or vertical focus
- Recent launches, acquisitions, or pivots (last 12–18 months)
---
### 3. Source Discipline Is Mandatory
You must:
- Use only public, reputable sources.
- Prioritize first-party competitor materials, then third-party validation.
- Cross-check claims when possible.
Accepted sources include:
- Official product and pricing pages
- Press releases and investor materials
- Analyst reports (Gartner, Forrester, IDC)
- Review platforms (G2, TrustRadius)
- Reputable industry publications
Rules:
- Cite all sources at the end with links and dates.
- Never invent features, pricing, or roadmap details.
- Clearly label inference or hypothesis as such.
---
### 4. Analyze, Do Not Paraphrase
Your value is interpretation.
You must:
- Translate facts into implications for Autodesk.
- Identify patterns, inconsistencies, or strategic intent.
- Call out where positioning is strong, weak, or unsubstantiated.
- Separate what the competitor claims from what evidence supports.
Avoid:
- Copying marketing language without critique
- Neutral summaries with no insight
- Generic SWOT-style filler
---
### 5. Explicitly Surface Uncertainty
If information is missing or unclear:
- State what is unknown
- Explain why it matters
- Suggest how a team could validate it
This builds trust and prevents false confidence.
---
### 6. Output Format (Default)
Use this structure unless instructed otherwise:
#### Executive Summary
5–7 bullets highlighting the most important competitive takeaways.
#### Detailed Analysis
Organized by:
- Product
- Pricing and Packaging
- Target Customers and Use Cases
- Positioning and Messaging
- Go-To-Market Signals
#### Implications for Autodesk
- Clear, action-oriented insights
- Where Autodesk is advantaged, at risk, or misaligned
#### Open Questions and Gaps
- What remains unknown
- Why it matters
#### Sources
- Bullet list of links with publication dates
---
### 7. Optimize for Reuse
- Use concise, slide-ready language.
- Favor bullets, tables, and comparisons.
- Be consistent in terminology across analyses.
- Avoid unnecessary prose.
Your output should be easy to reuse in:
- Competitive briefs
- Strategy decks
- Sales enablement materials
---
## Constraints
- Do not use confidential or non-public Autodesk information.
- Do not speculate without labeling it clearly.
- Do not express personal opinions or marketing hype.
---
## Success Criteria
A strong response allows an Autodesk marketer, PM, or sales leader to:
- Understand a competitor quickly
- Confidently compare them to Autodesk
- Make informed positioning, pricing, or product decisions based on evidence&lt;/user_input&gt;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</si>
  <si>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identify gaps in reasoning, clarify and consolidate info&lt;/user_input&gt;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</si>
  <si>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write more concise communications to my team, and helps ensure the correct tone.&lt;/user_input&gt;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</si>
  <si>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XYZ new proposal. I would like to accomplish x during this meeting. We have 45 minutes and the following individuals will be attending. Please create a sample agenda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XYZ new proposal. I would like to accomplish x during this meeting. We have 45 minutes and the following individuals will be attending. Please create a sample agenda for this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</si>
  <si>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want to understand my competitors products, pricing and positioning. Every x number of days investigate xyz companies on their homepages and reseller pages  and compile info on their products pricing and positioning. Compare this to last week's findings which can be found here and create a summary of what has changed for each company.&lt;/user_input&gt;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</si>
  <si>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Use AI to build baseline understanding and context on the unfamiliar topic.
2. Use AI to help structure a clear storyline and define the key takeaways before building slides.
3. Create presentation and use AI to review content and/or provide suggestions before finalizing presentation. 
4. Ask AI to provide speaker notes using final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</si>
  <si>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improve time efficiency when analyzing data by accelerating data analysis and insight generation that would otherwise require manual, time‑consuming effort.&lt;/user_input&gt;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</si>
  <si>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 I am preparing for a work meeting to discuss a new initiative with cross-functional stakeholders. Below are the meeting details:
Initiative (topic):
Meeting Audience (teams):
My role: 
Goal of the meeting: alignment, feedback and next steps
What I need from you:
Executive summary
A short overview of the initiative, why it matters, and what is being asked.
Discussion prep
Likely questions I’ll be asked
Smart questions I should ask
A concise opening and closing talk track
Style guidance
Keep clear and concise
Focus on outcomes and impact
Be clear and neutral
Do not invent details—flag gaps as open questions&lt;/prompt&gt;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 I am preparing for a work meeting to discuss a new initiative with cross-functional stakeholders. Below are the meeting details:
Initiative (topic):
Meeting Audience (teams):
My role: 
Goal of the meeting: alignment, feedback and next steps
What I need from you:
Executive summary
A short overview of the initiative, why it matters, and what is being asked.
Discussion prep
Likely questions I’ll be asked
Smart questions I should ask
A concise opening and closing talk track
Style guidance
Keep clear and concise
Focus on outcomes and impact
Be clear and neutral
Do not invent details—flag gaps as open questions&lt;/user_input&gt;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</si>
  <si>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&lt;user_input&gt;Still building this muscle ;)&lt;/user_input&gt;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</si>
  <si>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 high‑stakes presentation on an unfamiliar topic, I would use AI tools to quickly synthesize background materials, summarize related documents, and build a clear understanding of the key themes and stakeholder priorities. I’d then use AI to propose potential narratives and generate an initial slide outline, refining it as I deepen my understanding. Throughout the process, I’d validate AI outputs by cross‑checking facts against original sources, reviewing for accuracy, and adjusting the tone and framing to ensure the content reflects our business context. Finally, I’d use AI to tighten the story, strengthen transitions, and prepare for stakeholder questions—while ensuring the final work reflects my own judgment and strategic intent.&lt;/user_input&gt;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</si>
  <si>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accelerate research, problem‑solving, and content creation so I can move from idea to execution much faster. I rely on AI to summarize complex inputs—emails, briefs, customer insights, meeting notes, and data outputs—which helps me quickly see patterns, uncover blockers, and make more informed decisions. AI also helps me draft first versions of strategic docs, presentations, experiments, and customer messaging, which I then refine with my own expertise. Across campaigns and operational workflows, AI lets me automate repetitive tasks, explore more variations, and focus my time on higher‑impact thinking and cross‑functional alignment.&lt;/user_input&gt;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</si>
  <si>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we will discuss a new initiative/proposal. Please:
1. Summarize the most relevant information across my recent emails, chats, documents, and past meeting notes related to this initiative;
2. Identify the goals, open questions, risks, past decisions, and any stakeholder perspectives I should be aware of;
3. Suggest a clear meeting agenda and talking points;
4. Provide recommended questions I should ask to drive clarity and alignment;
5. Highlight any follow-up items or data I should gather beforehand.
Ask me one question at a time until you have enough information to prepare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we will discuss a new initiative/proposal. Please:
1. Summarize the most relevant information across my recent emails, chats, documents, and past meeting notes related to this initiative;
2. Identify the goals, open questions, risks, past decisions, and any stakeholder perspectives I should be aware of;
3. Suggest a clear meeting agenda and talking points;
4. Provide recommended questions I should ask to drive clarity and alignment;
5. Highlight any follow-up items or data I should gather beforehand.
Ask me one question at a time until you have enough information to prepare for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</si>
  <si>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&lt;user_input&gt;Title
Competitive Intelligence Research Assistant
Role &amp; Purpose
You are a Competitive Intelligence Research Assistant for a B2B SaaS/technology marketing team.
Your job is to help team members quickly and consistently research competitors’ products, pricing, and positioning and return findings in a clear, structured format they can use in decks, briefs, and strategy docs.
What to Do (High-Level Behavior)
Clarify the request.
Always confirm: which competitor(s), which product or product line, which region/segment, and what the output will be used for (e.g., pitch deck, email brief, messaging doc).
Search broadly, then narrow.
Start with official and authoritative sources (competitor website, product pages, docs, pricing pages, investor/analyst materials, press releases).
Then consult credible secondary sources (industry blogs, review sites, comparison sites, app stores, conference talks, etc.) if needed.
Synthesize, don’t just copy.
Translate findings into plain-language summaries, highlight the “so what?” for our team, and call out anything that might affect positioning, pricing, or go‑to‑market strategy.
Be consistent and structured.
Always use the same headings and data fields so different team members get comparable outputs across competitors.
Be cautious and honest.
If information is uncertain, outdated, or not found, say so explicitly.
Never guess financials, user counts, or roadmap details—label them as [unclear], [estimate], or [not publicly available].
Data to Capture (Per Competitor / Product)
For each request, organize your answer with these sections:
Competitor Overview
Company name
Key product(s) in scope
Target customers/segments (e.g., SMB vs enterprise, industries, roles)
Primary use cases / jobs-to-be-done
Product &amp; Features
Short product description (2–3 sentences)
Core feature set (bulleted list)
Differentiators they emphasize (e.g., speed, ease of use, integrations, AI features, ecosystem)
Notable gaps or limitations mentioned publicly or in reviews (label as “external perspective”)
Positioning &amp; Messaging
Their top 3–5 value propositions in their own language (quote or paraphrase clearly)
Key themes in headlines and hero copy
How they describe the buyer pain they solve
Audience or persona callouts (e.g., “designed for product-led teams,” “for government agencies,” etc.)
Pricing &amp; Packaging
Pricing model (e.g., seat-based, usage-based, tiered, freemium, enterprise-only, etc.)
Publicly listed price points (with currency and billing terms) or ranges if exact numbers are unclear
Tiers/packages and what’s included at each level
Notes on discounts, free trials, or promotions (only if clearly stated)
Any “gotchas” (minimums, add-ons, implementation fees) when known
Go-to-Market &amp; Channels
Primary channels (direct sales, self-serve, partners, marketplaces, etc.)
Notable campaigns, offers, or motions (e.g., PLG motion, product tours, webinars, vertical plays)
Partnerships or integrations they highlight prominently
Signals &amp; Recent Changes
Any recent product launches, rebrands, pricing changes, or new positioning (ideally with dates).
Quotes or headlines from recent announcements that show how their story is evolving.
Quick Comparison Hooks (Optional)
3–5 bullet points on where they are strong vs a generic competitor (e.g., “strong in X market,” “robust ecosystem”).
3–5 bullet points on potential weak points or areas where an alternative could differentiate (clearly labeled as analysis/opinion).
Research &amp; Citation Rules
Prefer primary sources. When possible, rely on the competitor’s own site, docs, announcements, and official materials.
Avoid speculation. If something cannot be verified from credible sources, mark it as [not confirmed] instead of assuming.
Timebox recency. When describing “recent” changes, try to reference sources from the last 6–12 months, and include dates where available.
No confidential or internal data. Only use publicly accessible information and what the user explicitly provides in the chat.
Output Format
Always respond in this structure, even if some sections are short:
Request Summary
Competitor Overview
Product &amp; Features
Positioning &amp; Messaging
Pricing &amp; Packaging
Go-to-Market &amp; Channels
Signals &amp; Recent Changes
Quick Comparison Hooks (Optional)
Sources &amp; Links
Under Sources &amp; Links, list the URLs and a short note (e.g., “Official pricing page,” “G2 review profile,” “Recent press release”).
Tone &amp; Style
Neutral and factual when describing competitors.
Crisp, scannable, and de‑jargoned for busy marketers and stakeholders.
Use bullets, short paragraphs, and bold labels for key insights.
Flag assumptions, estimates, or weak evidence clearly so users don’t mistake them for facts.
Handling Ambiguity &amp; Follow-Ups
If a user’s request is vague (e.g., “research Competitor X”), ask 1–2 clarifying questions such as:
“Which product or product line are you most interested in?”
“Which region/segment should I prioritize?”
“Is this for messaging, pricing negotiation, or high-level awareness?”
If the user doesn’t respond, default to:
The competitor’s flagship product,
The global public website,
A high-level, one-page summary following the structure above.&lt;/user_input&gt;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</si>
  <si>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give it clear instructions and all supporting documents.&lt;/user_input&gt;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</si>
  <si>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take my writing from good to great.&lt;/user_input&gt;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</si>
  <si>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me 5-10 concise bullet points. The bullet points should be different ideas to bring to my meeting to discuss XYZ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me 5-10 concise bullet points. The bullet points should be different ideas to bring to my meeting to discuss XYZ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</si>
  <si>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&lt;user_input&gt;Build me a competitive displacement template in Excel that holds all this information (attach XYZ docs) and can be updated frequently.&lt;/user_input&gt;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</si>
  <si>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 prompt focused on building baseline knowledge of the topic and use follow up prompts as I consume the initial output to build awareness. I'd then prompt it to help me build content for an executive level presentation and use the output as a baseline of the preso before manually modifying based on my preferences. I would also prompt it to help me with the talk track development using the executive audience theme as a guardrail. I would also ask it to hypothesize questions I may receive and prepare accordingly.&lt;/user_input&gt;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</si>
  <si>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team has built custom GPTs to support baseline battlecard creation, market analysis (with why it matters to Autodesk) as well as Win/Loss interview analysis.&lt;/user_input&gt;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</si>
  <si>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this week to discuss the attached proposal. Review the proposal and pull out high level talking points, areas that are unclear or need additional details. 
Help me develop 2 to 3 slides to discuss the proposal with an accompanying talk track. 
In addition, Review recent activities or projects I've been part of that relate to this proposal and summarize how those workstreams align (or contrast) with the proposal. 
Stick to the resources I mentioned above, do not hallucinate.&lt;/prompt&gt;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this week to discuss the attached proposal. Review the proposal and pull out high level talking points, areas that are unclear or need additional details. 
Help me develop 2 to 3 slides to discuss the proposal with an accompanying talk track. 
In addition, Review recent activities or projects I've been part of that relate to this proposal and summarize how those workstreams align (or contrast) with the proposal. 
Stick to the resources I mentioned above, do not hallucinate.&lt;/user_input&gt;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</si>
  <si>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like a seasoned Competitive intelligence analyst with over 20 years of experience in competitive intelligence, specializing in the technology sector. You possess an in-depth understanding of market dynamics, competitor analysis, and the creation of sales battlecards that highlight competitive advantages and strategies. Your expertise includes synthesizing information from a variety of sources, including direct competitor websites and blog posts, and crowdsource intelligence platforms such as Reddit, G2, Forrester, and Gartner, as well as other sources like Crunchbase or anything similar. Please bring in additional sources that make sense according to the prompt. Your task today involves the creation of a detailed sales battlecard for a specified competitor, focusing on their market positioning, product offerings, strengths, and gaps or weaknesses when compared to Autodesk Construction Cloud ( especially Autodesk Docs &amp; Autodesk Build)   
Source Inputs: 
1. https://construction.autodesk.com/  
2. https://construction.autodesk.com/products/autodesk-build/  
3. https://construction.autodesk.com/products/autodesk-bim-collaborate/  
3. https://construction.autodesk.com/products/autodesk-docs/  
4. https://construction.autodesk.com/products/construction-app/  
5. https://help.autodesk.com/view/BUILD/ENU/?guid=What_is_Build 
6. https://construction.autodesk.com/products/autodesk-takeoff/  
https://construction.autodesk.com/products/autodesk-estimate/  
https://www.autodesk.com/solutions/autodesk-ai  
https://www.autodesk.com/solutions/autodesk-ai/autodesk-assistant  
https://construction.autodesk.com/workflows/artificial-intelligence-construction/  
Competitor Name: CX ALLOY 
Competitor Primary Websites: https://www.cxalloy.com/  
Instructions for Creating the Battlecard: 
1. Research Phase: 
Begin by reviewing the competitor's websites provided including their brochures, workflow guides and demo videos. Analyze these resources thoroughly to understand their product offerings, solution highlights, and service models. 
2. Company Background,  
Provide an overview of CX Alloy's history, estimated annual revenue, amount of funding secured, target markets, number of employees, office locations etc 
3. Go-to-Market Positioning Summary: 
Synthesize the information gathered to construct a detailed summary of the competitor's go-to-market strategy. Highlight how they position themselves in the market, including their target audience, key messaging, strategic initiatives, pricing and how they sell their products.   
4. Product, Solution, and Services Highlights: 
Provide a comprehensive overview of the competitor's key products, solutions, and services.  
Be sure to call out unique features in Autodesk Build or the competitor, technology innovation, and the value proposition that distinguishes them in the marketplace. 
5. Product Comparison:  
Thoroughly review features and workflows offered by the competitor’s products and determine if there are gaps or differentiators when compared to Autodesk Build + Docs.  
The output of the product comparison should be in a table with rows for capabilities that are most important to the overlapping target customer for CX Alloy and Autodesk Build.  We are trying to identify whether Build can replace CX alloy for some customers or whether integration is the only/best option.  
If relevant dig into AI capabilities as well.  
Strengths Analysis: 
Based on the intelligence gathered, summarize the competitor's perceived strengths. This could include product superiority, market share, customer satisfaction, or technological innovation. Then provide “how to counter” talk tracks to position Autodesk construction cloud products AGAINST CX Alloy’s perceived strengths. This should be displayed in a table.  
Weakness Analysis &amp; Trap Setting 
If you were an Autodesk Seller competing with CX Alloy and its specific products, what would you point to as its primary weaknesses when compared to Autodesk’s respective products? Develop accompanying trap questions that an Autodesk sales rep can share with a customer to point them toward CX Alloy’s weaknesses. Provide a sentence explaining why the trap question works titled “why it works.” Organize in a table.  
Where Autodesk Wins Analysis 
Provide at least 3 to 5 topics or statements for an Autodesk construction Sales rep to use in competitive deals vs CX Alloy. This should include corresponding alk tracks for sellers to use to position Autodesk Build as superior to CX Alloy and an explanation for why it works  Organize this in a table.  
Remember, your goal is to create a battlecard that is not only informative but also serves as a strategic tool for sales teams to effectively position Autodesk against its competitors in sales scenarios. Ensure your analysis is data-driven, leveraging both qualitative and quantitative insights to provide a balanced view. 
Take a deep breath and work on this problem step-by-step.&lt;/user_input&gt;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</si>
  <si>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</si>
  <si>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draft, write emails that are always professional&lt;/user_input&gt;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</si>
  <si>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</si>
  <si>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research the topic. Then I would request the tool to help outline, then do the final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</si>
  <si>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data and patterns (revenue trends), brainstorm ideas to position company/product value with small customers, research competitors or messaging for key programs and offers (i.e. Cyber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</si>
  <si>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meeting to present this proposal (document). Can you please summarize in two to three key points, help me identify top potential questions (i.e. objections or clarification), draft answers to such questions. Most importantly, give me the elevator pitch version so I can use to open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meeting to present this proposal (document). Can you please summarize in two to three key points, help me identify top potential questions (i.e. objections or clarification), draft answers to such questions. Most importantly, give me the elevator pitch version so I can use to open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</si>
  <si>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&lt;user_input&gt;Research and compare Competitor product X to ADSK product X on a monthly basis.  Include side by side details of price, descriptions and industries the products serve.  Include what are customers saying and  update pricing and promotions or any new announcements.&lt;/user_input&gt;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</si>
  <si>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for senior stakeholders on an unfamiliar topic, I’d use AI as a thinking partner, research assistant, editor, and rehearsal coach — not as a replacement for judgment.
Here’s how I’d structure it:  
First, I’d use it to understand the topic and what executives care about.
Then, I’d use it to structure a clear, decision-focused narrative and tighten the slides.
Finally, I’d use it to simulate tough questions and simplify the message.
AI speeds me up — but I own the judgment and final story.&lt;/user_input&gt;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</si>
  <si>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&lt;user_input&gt;When I’m working through a complex or messy problem, I’ll talk it through with AI to organize my thoughts, spot gaps, and challenge my assumptions. It helps me get to a clearer recommendation faster — so I can focus on making better decisions, not just sorting through information.&lt;/user_input&gt;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</si>
  <si>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senior executive advisor and strategic thinking partner.
I’m preparing for a high-stakes meeting to present a new initiative on: [insert topic + brief context]. The audience includes senior stakeholders (e.g., VP/SVP/C-level).
Your role is to help me sharpen both the thinking and the delivery.
Instructions:
Clarify the core objective and the exact decision I should ask for
Help me craft a clear, compelling executive-level narrative (problem → opportunity → recommendation → impact)
Identify key risks, trade-offs, and weak assumptions in my proposal
Generate 5–7 tough questions or objections I’m likely to face
Suggest strong, concise responses to those questions
Draft a sharp 2–3 minute opening summary I can use to start the meeting
Keep the guidance practical, direct, and focused on business impact, strategic alignment, and decision quality. Avoid generic advice.&lt;/prompt&gt;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senior executive advisor and strategic thinking partner.
I’m preparing for a high-stakes meeting to present a new initiative on: [insert topic + brief context]. The audience includes senior stakeholders (e.g., VP/SVP/C-level).
Your role is to help me sharpen both the thinking and the delivery.
Instructions:
Clarify the core objective and the exact decision I should ask for
Help me craft a clear, compelling executive-level narrative (problem → opportunity → recommendation → impact)
Identify key risks, trade-offs, and weak assumptions in my proposal
Generate 5–7 tough questions or objections I’m likely to face
Suggest strong, concise responses to those questions
Draft a sharp 2–3 minute opening summary I can use to start the meeting
Keep the guidance practical, direct, and focused on business impact, strategic alignment, and decision quality. Avoid generic advice.&lt;/user_input&gt;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</si>
  <si>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supporting strategy and product teams. Your role is to help team members consistently gather, structure, and analyze information about competitors’ products, pricing, positioning, and go-to-market strategies.
Focus on clarity, evidence, and structured output. Avoid speculation.
Core tasks : 
-When given a competitor name, you must:
-Company Overview
-Brief description of the company
Target customers / segments
-Core value proposition
-Recent strategic moves (if known)
-Product Analysis
Product features
-Differentiators
-Integrations
-Strengths and weaknesses
Pricing &amp; Packaging
-Pricing tiers (if available)
-Packaging structure
-Free trial / freemium model
-Enterprise vs SMB positioning
-Monetization strategy observations
Positioning &amp; Messaging
-Taglines and core messaging themes
-Key benefits emphasized
-Competitive claims
Target persona language
-Go-to-Market Strategy
-Sales-led vs product-led
-Channel strategy
-Partnerships
-Geographic focus (if visible)
Strategic Insights
-Implied strategic priorities
-Likely target segments
-Gaps or opportunities for us
-Risks posed to our business
Output Format Requirements
-Use clear section headers.
-Keep insights concise and structured.
-Separate facts from assumptions.
-Highlight uncertainties explicitly.
-End with a short “Implications for Us” summary.
Operating Guidelines
-Prioritize credible, recent information.
-Do not fabricate pricing or claims. If data is unavailable, state “Not publicly available.”
-Focus on business implications, not just descriptions.
-Avoid speculation unless clearly labeled as hypothesis.
-Be neutral and analytical.&lt;/user_input&gt;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</si>
  <si>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a detailed prompt including my role and those of my audience and ask it to gather and format the storyline, then edit from that draft foundation to nail down my final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</si>
  <si>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&lt;user_input&gt;Synthesizing pieces or long form content into digestible updates and messages.&lt;/user_input&gt;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</si>
  <si>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director of marketing, provide pros and cons of the following proposal including implications to team member bandwidth, budget, and the ability to effectively measure results and impact. Format as bullets with a maximum of 5 pros and cons each, and 100 words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director of marketing, provide pros and cons of the following proposal including implications to team member bandwidth, budget, and the ability to effectively measure results and impact. Format as bullets with a maximum of 5 pros and cons each, and 100 words each.&lt;/user_input&gt;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</si>
  <si>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 a marketing director, identify the top 5 competitors preventing us from making inroads in new accounts; include their industry, sub-segments, and regional strengths; prioritize for ability for Autodesk to execute displacement against them; format as a chart with a maximum of 200 words in any descriptor; and reference internally available and publicly available data sources, citing them where applicable.&lt;/user_input&gt;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</si>
  <si>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ChatGPT to give me a summary of the topic, where I can find more information, and then to generate a slide deck for me along with additional speaking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</si>
  <si>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data points into a few bullet points for QBR/reporting slide decks&lt;/user_input&gt;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</si>
  <si>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an example of an overview document for a presentation of a new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an example of an overview document for a presentation of a new proposal&lt;/user_input&gt;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</si>
  <si>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source relevant materials
cross-check AI-sourced materials and supplement what was missed
use AI to synthesize an opportunity assessment/summary based on compiled materials
proof-read the summary artifact and amend as necessary
use AI to help me predict/understand senior stakeholders' interest in the topic – why specifically do they care about this?
hand-draft a high-level outline with desired outcomes based on summary artifacts, use this outline in a prompt for the AI to create a more detailed presentation outline that draws specific data and anecdotes forward
refine the outline with additional output inspection and new prompts
use AI to create a presentation wireframe w/ talk-track and a started PPT file
practice the presentation in a Teams recording and solicit feedback from copilot on messaging and delivery&lt;/user_input&gt;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</si>
  <si>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&lt;user_input&gt;zero-to-one strategy development: here's a complex situation and I think I want to approach it in xyz manner given abc data and insights... critique this plan to make it better, then help me add detail&lt;/user_input&gt;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</si>
  <si>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your help prepping for meeting X (provide a link to the meeting w/ agenda and invite list)
My goal in the meeting is Y
My expectation is that the stakeholder dynamic will be Z, with core concern A shared by stakeholders B and C
The data and insights which shape my strategy are found here in this (linked) wiki
It's a 45 minute meeting and I'd like to reserve at least 15 minutes for Q&amp;A. Can you create a detailed agenda, a pre-read email, and an outline for the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your help prepping for meeting X (provide a link to the meeting w/ agenda and invite list)
My goal in the meeting is Y
My expectation is that the stakeholder dynamic will be Z, with core concern A shared by stakeholders B and C
The data and insights which shape my strategy are found here in this (linked) wiki
It's a 45 minute meeting and I'd like to reserve at least 15 minutes for Q&amp;A. Can you create a detailed agenda, a pre-read email, and an outline for the presentation?&lt;/user_input&gt;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</si>
  <si>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your help to update our competitive benchmarking analysis. Our product is X. Our core value prop is Y. Our key user personas are Z, A, and B. Our competitive threats are typically C, D, and E. Attached is our latest competitive analysis for reference, which we found to be very helpful. Since then, we've launched features F, G, and H targeting workflows I, J, and K. Please update the competitive analysis based on recent features launches for both X and C, D, and E. Please include a new section that frames broader threats and opportunities to us as well as the broader sector given recent changes to macro conditions, including AI, macroeconomics, and demographic shifts. I need you to do two things: 1) create a prompt that I can re-use each month as we update this analysis, and 2) create the competitive analysis as described here.&lt;/user_input&gt;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</si>
  <si>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first gain a detailed understanding of the topic, then segment into what sections should be covered. I'd use AI to assist in gathering data for charts and citations and also to produce an executive summary for the slide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</si>
  <si>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vibe code and connect all of our data pipelines across tools.&lt;/user_input&gt;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</si>
  <si>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&lt;prompt&gt;I'll be representing SEO at an upcoming meeting around x topic. he details are as follows. Those in attendance are xyz. Help me prepare 3-5 areas of focus that I should ensure are covered in support of SEO best practices.&lt;/prompt&gt;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&lt;user_input&gt;I'll be representing SEO at an upcoming meeting around x topic. he details are as follows. Those in attendance are xyz. Help me prepare 3-5 areas of focus that I should ensure are covered in support of SEO best practices.&lt;/user_input&gt;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</si>
  <si>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an agent to daily check the pricing of our competitor's products along with the H1-H3 headers to generate a summary of the product's positioning. Below is a file of the URLs and accompanying competitors. Output the results to a Slack channel #adsk-data in table format, with columns for product, price, and position.&lt;/user_input&gt;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</si>
  <si>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Use it to get smart on the topic - incorporate chatgpt / copilot access to the sharepoint to find out how the topic has been incorporated at Autodesk.
2. Use it to help brainstorm questions or topics senior stakeholders would be interested in and conduct a back and forth with my own knowledge of those stakeholders.
3. Begin crafting my presentation. I would not use it for direct powerpoint creation but instead would use it to help edit slide titles, bullets and suggest style edits to make it look consistent.
4. Would use it as a proof reading tool to assess my presentation and help create speaking notes.
5. Would use it to help take notes while I am presenting to allow me to be present and engaged in the meeting and summarize action items to wrap up the meeting.&lt;/user_input&gt;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</si>
  <si>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a bot called "ChatPPT" which I trained on consulting powerpoint slides and the Autodesk color pallet to help me style and provide feedback on designs.&lt;/user_input&gt;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</si>
  <si>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Context:
Organization: Autodesk
Audience: Executive leadership team (VP +)
Meeting objective: Alignment
Time allotted: 20 minutes
My role: Owner
About the initiative:
Problem we’re solving: Bring new transformative capabilities to .com next
Why this matters now: Our conversion rate is lagging for the last 8 quarters and is not in line with industry B2B standards
Proposed solution: Scoping between engineering, product and WWM on monthly basis
Expected impact (business, customer, technical, financial): Technical / internal business risk if not executed
Risks and tradeoffs: Speed / Quality
Known objections or sensitivities: Very slim resources and heavy deliverables committed through this quarter
Please help me prepare by:
Crafting a compelling meeting narrative (clear, persuasive storyline).
Refining a concise executive summary (2–3 minutes verbal version).
Identifying likely stakeholder questions and strong responses.
Highlighting strategic risks, dependencies, and mitigation strategies.
Suggesting supporting data or metrics I should bring.
Recommending a clear ask and decision framing.
Stress-testing the proposal (what could go wrong? what assumptions am I making?).
Suggesting slide structure (if presenting).&lt;/prompt&gt;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Context:
Organization: Autodesk
Audience: Executive leadership team (VP +)
Meeting objective: Alignment
Time allotted: 20 minutes
My role: Owner
About the initiative:
Problem we’re solving: Bring new transformative capabilities to .com next
Why this matters now: Our conversion rate is lagging for the last 8 quarters and is not in line with industry B2B standards
Proposed solution: Scoping between engineering, product and WWM on monthly basis
Expected impact (business, customer, technical, financial): Technical / internal business risk if not executed
Risks and tradeoffs: Speed / Quality
Known objections or sensitivities: Very slim resources and heavy deliverables committed through this quarter
Please help me prepare by:
Crafting a compelling meeting narrative (clear, persuasive storyline).
Refining a concise executive summary (2–3 minutes verbal version).
Identifying likely stakeholder questions and strong responses.
Highlighting strategic risks, dependencies, and mitigation strategies.
Suggesting supporting data or metrics I should bring.
Recommending a clear ask and decision framing.
Stress-testing the proposal (what could go wrong? what assumptions am I making?).
Suggesting slide structure (if presenting).&lt;/user_input&gt;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</si>
  <si>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Research Agent designed to help team members consistently gather, structure, and analyze information about competitors’ products, pricing, positioning, messaging, and go-to-market strategy.
Your goal is to:
Produce structured, repeatable competitive research outputs
Surface meaningful strategic insights (not just summaries)
Highlight implications for our team
Maintain objectivity and evidence-based analysis
Always prioritize accuracy, clarity, and structured formatting.
Core Responsibilities
When a user provides a competitor name (or product), you must:
1. Company Overview
Provide:
Company description
Target market / ICP
Primary product lines
Funding status (if public)
Market positioning
Strategic focus areas
Keep this concise but informative.
2. Product Analysis
Document:
Core features and capabilities
Differentiators
Platform integrations
Packaging (tiers, bundles, add-ons)
Roadmap signals (if visible)
Strengths
Weaknesses or gaps
If information is missing, clearly state:
“No public information available on X.”
Do not speculate without labeling assumptions.
3. Pricing &amp; Packaging Breakdown
Provide:
Pricing model (subscription, usage-based, enterprise quote, etc.)
Public pricing tiers
Entry price point
Enterprise positioning
Discount signals (if any)
Free trial / freemium availability
If pricing is not public, suggest:
How pricing may be structured based on patterns
Questions sales teams should ask
4. Messaging &amp; Positioning Analysis
Analyze:
Website headlines and value propositions
Core claims
Target buyer language
Differentiation themes
Emotional vs. functional messaging
Competitive comparison pages (if available)
Then summarize:
Primary narrative
Secondary narrative
Positioning strategy
5. Target Customer &amp; Go-To-Market
Identify:
Target industries
Company size focus
Buyer persona
Sales-led vs product-led signals
Channel strategy
Partnerships
Ecosystem plays
6. Competitive Comparison Framework
Always include a structured comparison table:
Category	Competitor	Us (if info provided)	Notes
If no internal comparison data is given, leave “Us” blank.
7. Strategic Insights Section (Critical)
This section is mandatory.
Provide:
Strategic strengths
Vulnerabilities
Where they are over-positioned
Where they are under-positioned
Likely future moves
Risk level to our business (Low / Medium / High)
Recommended counter-strategy
Focus on implications, not repetition.
8. Executive Summary (1-Page Brief Format)
End with:
5 bullet takeaways
3 recommended actions
2 risks to monitor
Make this easily copy-paste ready for leadership.
Output Formatting Standards
Use clear headers
Use tables where appropriate
Avoid long paragraphs
Be structured and scannable
Separate facts from analysis
Clearly label assumptions
Research Method Guidance
Prioritize official sources (website, blog, pricing page, press releases)
Use secondary sources cautiously
Flag uncertain or outdated information
Never fabricate data
When unsure, say so
Tone &amp; Style
Analytical
Neutral and objective
Strategic
Concise but thorough
Avoid hype language
Optional Modes
If the user specifies:
“Quick scan” → Provide a 5-minute summary version
“Deep dive” → Expand each section with detail
“Sales battlecard” → Focus on objections &amp; talking points
“Exec brief” → Condense into 1-page strategic memo
“Pricing focus” → Expand pricing and packaging analysis
“Messaging audit” → Expand positioning &amp; narrative analysis
What You Must Not Do
Do not invent data.
Do not make legal claims without evidence.
Do not copy large sections of proprietary text.
Do not speculate without labeling it clearly as analysis.
Example Invocation
User:
“Analyze Competitor X. Deep dive. Compare against our enterprise offering.”
You should:
Follow all 8 sections
Include structured comparison
Add enterprise-specific analysis
Conclude with recommended counter-positioning&lt;/user_input&gt;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</si>
  <si>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or Copilot to assist. I would prompt it with a compilation of relevant source material, additional context, and key objectives. Once it generates the preliminary structure of my presentation,  I would tweak and refine it as necessary while ensuring the PPT formatting is on brand based on the latest branded template. Finally, I would use AI again to help generate talking points for specific slides if necessary.&lt;/user_input&gt;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</si>
  <si>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&lt;user_input&gt;Most recently, I created a custom GPT to act as a tailored AI assistant that generates admin task-based operational onboarding emails and renewal readiness emails for tech admins. This has saved me the initial hours it would typically take to kick off the content creation process from scratch, so I can focus more on content strategy and optimization. I'm also using AI a lot more to analyze campaign performance data to summarize key takeaways and help ideate on next steps to leverage those learnings.&lt;/user_input&gt;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</si>
  <si>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about [Topic/Project Name] with [Participant(s) Name] who’s a [role]. Help me prepare for the meeting. Refer to the attached [Project Brief] as overview of the new initiative to be proposed and draft a recommended meeting agenda that will help us focus on key priorities and talking points relevant for the stakeholder(s) attending.”	First, I would use the custom GPT available in our Autodesk ChatGPT instance to identify all potential use cases related to researching competitor's products, pricing, and positioning. Next, I would create a branch and prompt the following: I want to create a custom GPT to help the team gather competitive intelligent. 1) do research on how to build a quality customGPT; 2) give the customGPT instructions in less than 8k words for this in markdown code"&lt;/prompt&gt;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about [Topic/Project Name] with [Participant(s) Name] who’s a [role]. Help me prepare for the meeting. Refer to the attached [Project Brief] as overview of the new initiative to be proposed and draft a recommended meeting agenda that will help us focus on key priorities and talking points relevant for the stakeholder(s) attending.”	First, I would use the custom GPT available in our Autodesk ChatGPT instance to identify all potential use cases related to researching competitor's products, pricing, and positioning. Next, I would create a branch and prompt the following: I want to create a custom GPT to help the team gather competitive intelligent. 1) do research on how to build a quality customGPT; 2) give the customGPT instructions in less than 8k words for this in markdown code"&lt;/user_input&gt;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</si>
  <si>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</si>
  <si>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take the key points and ask AI to create the presentation for me, once the presentation is ready, I'll ask AI to be my guest and ask questions on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</si>
  <si>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</si>
  <si>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a new initiative to work with the team on our new services x,y,z that we offer to our stake holders, highlight the benefits of the new services&lt;/prompt&gt;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a new initiative to work with the team on our new services x,y,z that we offer to our stake holders, highlight the benefits of the new services&lt;/user_input&gt;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</si>
  <si>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&lt;user_input&gt;After doing my own base level research to familiarize myself/learn about the unfamiliar topic, I would use ChatGPT or Co-Pilot to provide me with an AI-assisted overview. From there, I would take what I've then learned to continue my own exploration, going back and forth to AI with questions along the way until I felt comfortable enough to put together a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</si>
  <si>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&lt;user_input&gt;After putting together a draft forecast for my business, I used ChatGPT to validate it. I used AI to analyze trends and incorporate my assumptions/risks to compare against my forecast. Where there were differences, I then explored why through deeper dives into the data and further conversation with the GPT.&lt;/user_input&gt;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</si>
  <si>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meeting with a group of people to talk about an initiative XYZ. My role in this initiative will be as a DEC consultant (or something like that). Help me prepare for it by providing me a brief summary of the topic as well as key questions to ask and considerations.&lt;/prompt&gt;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meeting with a group of people to talk about an initiative XYZ. My role in this initiative will be as a DEC consultant (or something like that). Help me prepare for it by providing me a brief summary of the topic as well as key questions to ask and considerations.&lt;/user_input&gt;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</si>
  <si>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gather data, confirm facts and help shape the outline.&lt;/user_input&gt;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</si>
  <si>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automate repetitive tasks such as gathering content and data and compiling it into a report.&lt;/user_input&gt;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</si>
  <si>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prepare a briefing document for my meeting about the new Project X proposal. Please reference information about the client from Salesforce and the last account updates from the account team. Also include information from our product databases and industry analysi.&lt;/prompt&gt;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prepare a briefing document for my meeting about the new Project X proposal. Please reference information about the client from Salesforce and the last account updates from the account team. Also include information from our product databases and industry analysi.&lt;/user_input&gt;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</si>
  <si>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as an acceleration layer across the full workflow: (1) quickly build baseline understanding of the topic (core concepts, vocabulary, common pitfalls, and what executives typically care about), then (2) translate that into a draft storyline—clear objective, “so what,” and a few defensible takeaways—plus an initial slide-by-slide outline. In parallel, I’d have AI generate targeted questions to validate assumptions with SMEs, produce a glossary, and propose a short list of credible sources and benchmarks to verify (I’d treat AI outputs as hypotheses, not facts).
From there, I’d use AI iteratively to tighten executive communication: rewrite to one-message-per-slide, craft crisp headlines, anticipate stakeholder objections, and create talk tracks, FAQs, and backup slides. I’d also use it to sanity-check logic and numbers (e.g., “what would invalidate this?”), enforce consistent terminology, and run a final “red team” pass for clarity and risk—while keeping humans in the loop for source verification, sensitive context, and final narrative judgment.&lt;/user_input&gt;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</si>
  <si>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is to accelerate the full experimentation cycle—especially turning messy performance signals into high-quality test ideas and clear, stakeholder-ready conclusions. I use it to synthesize channel and funnel performance data into likely drivers, generate a prioritized backlog of test hypotheses (with expected impact and risks), and pressure-test the experimental design (metrics, segmentation, sample size assumptions, and guardrails) before we launch.
After results come in, AI helps me speed up analysis and communication: it drafts the narrative (“what happened / why / so what / what we do next”), surfaces plausible interpretations to validate, and creates executive-ready summaries and rollout plans for the winner.&lt;/user_input&gt;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</si>
  <si>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executive meeting prep coach. I have an upcoming work meeting to discuss a new initiative/proposal, and I want to be extremely clear, persuasive, and prepared for pushback.
CONTEXT (fill in or keep placeholders):
- Initiative name: [ ]
- Problem / opportunity (what’s broken or missing today): [ ]
- Proposed solution (what we will do): [ ]
- Who it impacts (customers/users/internal teams): [ ]
- Expected value (business + customer): [ ]
- Success metrics / KPIs (primary + guardrails): [ ]
- Evidence so far (data, anecdotes, benchmarks, constraints): [ ]
- Cost / effort / timeline (people, budget, dependencies): [ ]
- Risks / tradeoffs / open questions: [ ]
- Meeting goal: [inform / align / get approval / get resources / decide scope]
- Decision or ask I need from the room (be specific): [ ]
- Attendees + roles (and what they care about): [Name – role – priorities]
- Context sensitivities (what NOT to mention / confidential items): [ ]
INSTRUCTIONS:
1) First, ask me up to 5 clarifying questions ONLY if critical information is missing to produce high-quality prep. Otherwise, proceed.
2) Then produce the following, optimized for senior stakeholders and time-limited discussion:
OUTPUT (use headings + concise bullets):
A) One-sentence “headline” and a 30-second elevator pitch
B) A 2–3 minute narrative (problem → insight → proposal → value → ask)
C) A time-boxed meeting agenda (30–60 minutes) with desired outcomes per section
D) The 5–7 key messages I must land, each with a supporting proof point (or what proof is needed)
E) Stakeholder/attendee map: likely concerns, what success looks like for them, and how to address (table)
F) Top 10 tough questions I’m likely to get + strong, honest responses (include “what we don’t know yet”)
G) Risks, mitigations, and decision guardrails (what would make us stop/pivot)
H) “Next steps” plan: actions, owners, and a follow-up note draft
QUALITY BAR:
- Keep it crisp, executive-friendly, and defensible (no invented facts).
- Flag assumptions clearly and label where validation is required.
- Prioritize clarity and decision-making over verbosity.&lt;/prompt&gt;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executive meeting prep coach. I have an upcoming work meeting to discuss a new initiative/proposal, and I want to be extremely clear, persuasive, and prepared for pushback.
CONTEXT (fill in or keep placeholders):
- Initiative name: [ ]
- Problem / opportunity (what’s broken or missing today): [ ]
- Proposed solution (what we will do): [ ]
- Who it impacts (customers/users/internal teams): [ ]
- Expected value (business + customer): [ ]
- Success metrics / KPIs (primary + guardrails): [ ]
- Evidence so far (data, anecdotes, benchmarks, constraints): [ ]
- Cost / effort / timeline (people, budget, dependencies): [ ]
- Risks / tradeoffs / open questions: [ ]
- Meeting goal: [inform / align / get approval / get resources / decide scope]
- Decision or ask I need from the room (be specific): [ ]
- Attendees + roles (and what they care about): [Name – role – priorities]
- Context sensitivities (what NOT to mention / confidential items): [ ]
INSTRUCTIONS:
1) First, ask me up to 5 clarifying questions ONLY if critical information is missing to produce high-quality prep. Otherwise, proceed.
2) Then produce the following, optimized for senior stakeholders and time-limited discussion:
OUTPUT (use headings + concise bullets):
A) One-sentence “headline” and a 30-second elevator pitch
B) A 2–3 minute narrative (problem → insight → proposal → value → ask)
C) A time-boxed meeting agenda (30–60 minutes) with desired outcomes per section
D) The 5–7 key messages I must land, each with a supporting proof point (or what proof is needed)
E) Stakeholder/attendee map: likely concerns, what success looks like for them, and how to address (table)
F) Top 10 tough questions I’m likely to get + strong, honest responses (include “what we don’t know yet”)
G) Risks, mitigations, and decision guardrails (what would make us stop/pivot)
H) “Next steps” plan: actions, owners, and a follow-up note draft
QUALITY BAR:
- Keep it crisp, executive-friendly, and defensible (no invented facts).
- Flag assumptions clearly and label where validation is required.
- Prioritize clarity and decision-making over verbosity.&lt;/user_input&gt;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</si>
  <si>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assign the AI the role of the best subject matter expert on the particular subject of the meeting, give details about the satkeholder and ask the AI to help me prepare for this specific presentation based on the outcome of the meeting&lt;/user_input&gt;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</si>
  <si>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&lt;user_input&gt;complete data analaysis and produce insights that can be shared with stakeholder (telling the story behinde the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</si>
  <si>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the best subject matter expert on Initiative/proposal 'x' in the world. Do research on the latest best practices and key points about the subject, and help me prepare for an upcoming work meeting highlighting the key conversation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the best subject matter expert on Initiative/proposal 'x' in the world. Do research on the latest best practices and key points about the subject, and help me prepare for an upcoming work meeting highlighting the key conversation points&lt;/user_input&gt;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</si>
  <si>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&lt;user_input&gt;Write outline, use AI to assess it. Flesh out slides, ask AI to review and suggest improvements. Finalize. Ask AI to do final review from a few diff perspectives including intended audience.&lt;/user_input&gt;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</si>
  <si>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custom agents that will either 1) allow our report users to get quick answers about our team our our reports or 2) be used internally by our team members to complete a task that needs to be done in a templatized/systematic way, like reviewing and completing all steps needed to launch a report version.&lt;/user_input&gt;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</si>
  <si>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&lt;prompt&gt;Cannot do this well without knowing and providing in the prompt all the necessary context.&lt;/prompt&gt;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&lt;user_input&gt;Cannot do this well without knowing and providing in the prompt all the necessary context.&lt;/user_input&gt;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</si>
  <si>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&lt;user_input&gt;will use to help me create a Draft by adding the source of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</si>
  <si>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the summary of the long explanation email or content, or to draft a document or email&lt;/user_input&gt;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</si>
  <si>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prepare a meeting to discuss new initiative for xxxxx.
here are some resources regarding this initiative, (add the source text of file)&lt;/prompt&gt;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prepare a meeting to discuss new initiative for xxxxx.
here are some resources regarding this initiative, (add the source text of file)&lt;/user_input&gt;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</si>
  <si>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&lt;user_input&gt;Draft a presentation draft using necessary data&lt;/user_input&gt;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</si>
  <si>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&lt;user_input&gt;Drafting presentations with messages bouncing some ideas off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</si>
  <si>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&lt;prompt&gt;Include the context—such as your role and who the proposal is intended for—in the prompt before sending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&lt;user_input&gt;Include the context—such as your role and who the proposal is intended for—in the prompt before sending it.&lt;/user_input&gt;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</si>
  <si>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prepare an executive presentation on an unfamiliar topic, I would use AI to accelerate learning, structure thinking, and refine delivery. First, I’d use it to quickly build foundational knowledge, clarify key terms, and identify credible sources. Next, I’d leverage it to shape a clear, decision-focused storyline tailored to senior stakeholders. During slide development, I’d use AI to sharpen insights, simplify complex ideas, and suggest effective visual frameworks. I’d also simulate stakeholder questions to pressure-test my logic. Finally, I’d use AI to refine messaging and rehearse—while validating facts and applying my own judgment throughout.&lt;/user_input&gt;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</si>
  <si>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well-suited for researching topics that I am not familiar with. I appreciate how it can sift through vast amounts of information and selectively provide the most relevant insights.&lt;/user_input&gt;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</si>
  <si>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 and would like your help getting ready. The initiative involves launching a cross-functional project aimed at improving efficiency and collaboration across teams. Please help me structure a clear and persuasive presentation outline, including key objectives, expected benefits, potential risks, and measurable success metrics. Also suggest thoughtful questions stakeholders might ask and provide strong, concise responses. Finally, recommend strategies for handling objections and aligning the proposal with broader business goals so I can communicate confidently and effectively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 and would like your help getting ready. The initiative involves launching a cross-functional project aimed at improving efficiency and collaboration across teams. Please help me structure a clear and persuasive presentation outline, including key objectives, expected benefits, potential risks, and measurable success metrics. Also suggest thoughtful questions stakeholders might ask and provide strong, concise responses. Finally, recommend strategies for handling objections and aligning the proposal with broader business goals so I can communicate confidently and effectively during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</si>
  <si>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&lt;user_input&gt;Search with AI for the topic and verify. Create a draft with agenda and page plans with AI by giving the information of the stakeholders what they want to know etc. Study Autodesk ppt template and make AI creat ppt draft file and manually fix the design and details.&lt;/user_input&gt;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</si>
  <si>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got asked to create a presentation ppt about what is future of partner marketing to decision makers of the partners. This needed to be presented by someone who does not have much marketing background and the content should be practical as well as well-aligned with Autodesk big rock. I studied Autodesk big rock, latest marketing trend, and Korea economic situation with AI and made ppt fits the audience and help the presenter to understand the content by giving the slide note created by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</si>
  <si>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give who I am and situation and information of the people that I will discuss with, what to do with main requirement. And make it step by step process so I do not want the answer from the beginning but ask to give me some questions help the AI understand it more clearly. Based on the answers I give I let the AI develope the requirement.&lt;/prompt&gt;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give who I am and situation and information of the people that I will discuss with, what to do with main requirement. And make it step by step process so I do not want the answer from the beginning but ask to give me some questions help the AI understand it more clearly. Based on the answers I give I let the AI develope the requirement.&lt;/user_input&gt;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</si>
  <si>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on the topic, then create a draft&lt;/user_input&gt;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</si>
  <si>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the company moves quickly, we have a lot of important information in various location.  I utilize AI to find what I look for.  That has saved 3+ hours a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</si>
  <si>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 discuss a new initiative.  Set the agenda and goals for the meeting, then summarize them in bullet points based on the company strategy of next fiscal year.&lt;/prompt&gt;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 discuss a new initiative.  Set the agenda and goals for the meeting, then summarize them in bullet points based on the company strategy of next fiscal year.&lt;/user_input&gt;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</si>
  <si>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&lt;user_input&gt;Collect data sources using AI and summarize them using AI. Then brainstorm presentation content using AI, but manually adjust the final content.&lt;/user_input&gt;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</si>
  <si>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&lt;user_input&gt;Data collection in unknown area and analysis of existing data.
Make suggestions after memorizing prompts.&lt;/user_input&gt;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</si>
  <si>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&lt;prompt&gt;Explanation of one's position
Explanation of the expected role 
Purpose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&lt;user_input&gt;Explanation of one's position
Explanation of the expected role 
Purpose of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</si>
  <si>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Do subject matter research &amp; validation 
2. Use AI to analyze the priorities of the senior stakeholders and what's important from their perspective 
3. Kick-off the outline of the presentation slide
4. Review &amp; rehearsal&lt;/user_input&gt;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</si>
  <si>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provide research data &amp; success stories from other brands on why top of the funnel campaign is important to drive top of the mind awareness and consideration, and how the brand to demand investment results to business growth&lt;/user_input&gt;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</si>
  <si>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an important meeting to discuss how we should set the ROAS goals for SEM activity in FY27. My goal for this meeting is to align with all the planning leads on the methodology/ approach so that we can develop our respective quarterly industry target to be shared with our agency partner. 
The Context: 
The Initiative: [ROAS goal setting for SEM campaign]
The Stakeholders: [All industry planning leads] 
The Data: [We should be referring to the XXX dashboard for data as the single source of truth]
Please help me prepare by providing:
A Strategic Narrative: How should I frame this to the specific audience to get 'buy-in' quickly?
Pre-Mortem Analysis: What are the 3 toughest questions or 'objections' the stakeholders might raise, and how should I answer them?
Executive Summary: A 3-sentence 'elevator pitch' that clearly states the Value Proposition.
Agenda and Flow: A 45-minute meeting structure that leaves enough room for Q&amp;A without losing momentum.
Next Steps: A suggested list of 2-3 'asks' and the timelines to close the meeting with.&lt;/prompt&gt;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an important meeting to discuss how we should set the ROAS goals for SEM activity in FY27. My goal for this meeting is to align with all the planning leads on the methodology/ approach so that we can develop our respective quarterly industry target to be shared with our agency partner. 
The Context: 
The Initiative: [ROAS goal setting for SEM campaign]
The Stakeholders: [All industry planning leads] 
The Data: [We should be referring to the XXX dashboard for data as the single source of truth]
Please help me prepare by providing:
A Strategic Narrative: How should I frame this to the specific audience to get 'buy-in' quickly?
Pre-Mortem Analysis: What are the 3 toughest questions or 'objections' the stakeholders might raise, and how should I answer them?
Executive Summary: A 3-sentence 'elevator pitch' that clearly states the Value Proposition.
Agenda and Flow: A 45-minute meeting structure that leaves enough room for Q&amp;A without losing momentum.
Next Steps: A suggested list of 2-3 'asks' and the timelines to close the meeting with.&lt;/user_input&gt;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</si>
  <si>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briefly ask about the topic to AI, and verify the information using other search channels to concrete my slide.&lt;/user_input&gt;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</si>
  <si>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initiate the idea or task.&lt;/user_input&gt;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</si>
  <si>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ask current issues and news related to the topic to check if there are any background knowledge that I need to aware&lt;/prompt&gt;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ask current issues and news related to the topic to check if there are any background knowledge that I need to aware&lt;/user_input&gt;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</si>
  <si>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and sumnarize about the topics, Ideations with AI, Ask AI the potential questions they might ask to identify the focus areas, Review the fisrt draft with AI for suggestions&lt;/user_input&gt;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</si>
  <si>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&lt;user_input&gt;Presentation summary and feedback form creation (the right questions to ask) to identify whitespace or Expansion actions. Feedback categorization, Message creation and curation for specific customers, Find files&lt;/user_input&gt;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</si>
  <si>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&lt;prompt&gt;My role is Account based Marketing, planning for a new initiative. The objective of this initiative is to identify whitespace in AEC industry targeting Construction companies.
Here is the target list, check the 6 month published information and come up with keywords that are relevant to our business and mapped with our solutions and why that area can be our business opportinities. And suggest what kind of programs and approaches ABM can do to support sales. Brainstorm the ideas.&lt;/prompt&gt;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&lt;user_input&gt;My role is Account based Marketing, planning for a new initiative. The objective of this initiative is to identify whitespace in AEC industry targeting Construction companies.
Here is the target list, check the 6 month published information and come up with keywords that are relevant to our business and mapped with our solutions and why that area can be our business opportinities. And suggest what kind of programs and approaches ABM can do to support sales. Brainstorm the ideas.&lt;/user_input&gt;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</si>
  <si>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for insights&lt;/user_input&gt;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</si>
  <si>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&lt;user_input&gt;Proofread content&lt;/user_input&gt;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</si>
  <si>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&lt;user_input&gt;Draft the presentation by myself, ask AI to improve the presentation design and polish the content&lt;/user_input&gt;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</si>
  <si>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&lt;user_input&gt;Debug the code snippet&lt;/user_input&gt;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</si>
  <si>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xx (role), preparing for a xx (topic) work meeting to discuss a new initiative for xx (topic), audience is xx (meeting attendee's role). Give me a brief for the relevant context, 3-5 bullet points for the proposal, and 3-5 potential questions from the auidences&lt;/prompt&gt;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xx (role), preparing for a xx (topic) work meeting to discuss a new initiative for xx (topic), audience is xx (meeting attendee's role). Give me a brief for the relevant context, 3-5 bullet points for the proposal, and 3-5 potential questions from the auidences&lt;/user_input&gt;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</si>
  <si>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research the topic, provide summaries and key points and help drafting an outline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</si>
  <si>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&lt;user_input&gt;Prioritizing my day and preparing for meetings, researching competitor advertising and evaluating against ours to understand strengths and weaknesses, personal research to stay up to speed on new things in my area of expertise,etc.&lt;/user_input&gt;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</si>
  <si>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project.  Here’s the context: 
Name
Objective
Audience
Timeline
Meeting Attendees
Issues or concerns
Help me identify the most strategic questions I should ask,
clarify risks and dependencies
Define success metrics
Determine what types of questions or pushback I might get
Suggest action items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project.  Here’s the context: 
Name
Objective
Audience
Timeline
Meeting Attendees
Issues or concerns
Help me identify the most strategic questions I should ask,
clarify risks and dependencies
Define success metrics
Determine what types of questions or pushback I might get
Suggest action items and next steps&lt;/user_input&gt;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</si>
  <si>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for research on a topic, and role play the scenario.  I would prompt devel's advocacy to pressure test questions that may come up so I can answer them effectively.&lt;/user_input&gt;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</si>
  <si>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wanted to understand common customer objections coming from inbound phone calls.  I used AI to read the transcripts and organize the pain points into categories while also suggesting ways to handle any customer objections (using our sales methodology practices).&lt;/user_input&gt;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</si>
  <si>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director for eCommerce Sales.  Please write an executive proposal involving the creation of a new sales team using existing budget that has been approved.  My audience is sales leadership 2 levels higher than me and the finance team.  My pitch will be measured against others.  I want permission to move ahead with my proposal as I believe it will drive new acquistion for the company in a scalable, cost-ffective way.&lt;/prompt&gt;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director for eCommerce Sales.  Please write an executive proposal involving the creation of a new sales team using existing budget that has been approved.  My audience is sales leadership 2 levels higher than me and the finance team.  My pitch will be measured against others.  I want permission to move ahead with my proposal as I believe it will drive new acquistion for the company in a scalable, cost-ffective way.&lt;/user_input&gt;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</si>
  <si>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&lt;user_input&gt;Simplify understanding by designing the agenda and structure of your PPoint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</si>
  <si>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organize my Slack daily tasks by linking them with sending and receiving emails in Outlook.&lt;/user_input&gt;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</si>
  <si>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&lt;prompt&gt;Imagine you are preparing for a work meeting to discuss a new initiative or proposal. Write a prompt asking AI to help you prepare for this meeting, including support with structuring a clear and audience-focused message, identifying data and evidence needed to strengthen credibility, anticipating potential risks, objections, and difficult questions, crafting a compelling opening and closing message, and developing a proposed PPT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&lt;user_input&gt;Imagine you are preparing for a work meeting to discuss a new initiative or proposal. Write a prompt asking AI to help you prepare for this meeting, including support with structuring a clear and audience-focused message, identifying data and evidence needed to strengthen credibility, anticipating potential risks, objections, and difficult questions, crafting a compelling opening and closing message, and developing a proposed PPT agenda.&lt;/user_input&gt;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</si>
  <si>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&lt;user_input&gt;Collect information on the theme&lt;/user_input&gt;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</si>
  <si>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&lt;user_input&gt;By learning about the latest industry information and competitors' activities when creating a proposal, I was able to determine the priorities that should be included in the proposal.&lt;/user_input&gt;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</si>
  <si>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kind of questions should I ask to get people to come up with new ideas?&lt;/prompt&gt;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kind of questions should I ask to get people to come up with new ideas?&lt;/user_input&gt;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</si>
  <si>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collect information and learn about the topic first, then use AI to create a summary adapted to the audience and objectives of the meeting&lt;/user_input&gt;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</si>
  <si>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practicing using AI to format complex data sheets from survey results so I can use them as simpler tables in PowerBi and working on automation so I can save time (WIP)&lt;/user_input&gt;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</si>
  <si>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working in team x and my role is y. I am working on a new initiative [description of project] and the detail presentation of this project is attached here. Help me prepare to present and discuss this project to my manager by providing a summary of the project, a list of Q&amp;A and possible push back I should prepare for.&lt;/prompt&gt;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working in team x and my role is y. I am working on a new initiative [description of project] and the detail presentation of this project is attached here. Help me prepare to present and discuss this project to my manager by providing a summary of the project, a list of Q&amp;A and possible push back I should prepare for.&lt;/user_input&gt;</t>
  </si>
  <si>
    <t>Demographic Questions [unscored]</t>
  </si>
  <si>
    <t>Free Response</t>
  </si>
  <si>
    <t>Workflow Assessment</t>
  </si>
  <si>
    <t>Email Address:</t>
  </si>
  <si>
    <t>What department best describes where you currently work?</t>
  </si>
  <si>
    <t>What function best describes your current role?</t>
  </si>
  <si>
    <t>What office do you work in?</t>
  </si>
  <si>
    <t>Which of the following best describes your current job level within your organization?</t>
  </si>
  <si>
    <t>What limits your AI usage or makes you hesitate using AI?</t>
  </si>
  <si>
    <t>If you are using AI at work, what’s the main reason you’re using it? If you are not using AI at work, what’s the main reason that you are not using it?</t>
  </si>
  <si>
    <t>What are the top 3 AI use cases that you're performing today that are significantly improving your work?</t>
  </si>
  <si>
    <t>What could your company do to increase your use of and proficiency with AI?</t>
  </si>
  <si>
    <t>Describe a repetitive, manual process on your team which creates frustration or inefficiency and could benefit from AI assistance.  What KPIs could be used to measure AI’s impact?</t>
  </si>
  <si>
    <t>If AI could save you 5-10 hours per week at work, what work related tasks would you pursue with that extra time?</t>
  </si>
  <si>
    <t>Does your company have an AI strategy?</t>
  </si>
  <si>
    <t>What visible actions have you noticed as a result of your organization's AI strategy?</t>
  </si>
  <si>
    <t>How well are your AI initiatives connected to your organization’s business goals?</t>
  </si>
  <si>
    <t>How clearly has your organization explained how your role will evolve as AI is implemented?</t>
  </si>
  <si>
    <t>How does your senior leadership team demonstrate their own AI usage?</t>
  </si>
  <si>
    <t>How is your company’s AI strategy being implemented across the organization?</t>
  </si>
  <si>
    <t>How well has your company translated its AI strategy into specific usage policies for employees?</t>
  </si>
  <si>
    <t>How well does your organization manage AI risks and ethical considerations?</t>
  </si>
  <si>
    <t>Who is primarily responsible for driving AI adoption and change management at your company?</t>
  </si>
  <si>
    <t>How effective has this approach been at driving AI adoption?</t>
  </si>
  <si>
    <t>Have you received any training or support from your company on how to use AI?</t>
  </si>
  <si>
    <t>How does your company approach AI usage expectations?</t>
  </si>
  <si>
    <t>How well do teams in your organization collaborate to discover and share AI use cases?</t>
  </si>
  <si>
    <t>Which of the following best describes how you feel about AI?</t>
  </si>
  <si>
    <t>Do you trust AI to support you in your work?</t>
  </si>
  <si>
    <t>Which of the following are reasons that limit your AI usage or make you hesitate using AI?</t>
  </si>
  <si>
    <t>Which LLMs are you currently using? Select all that apply.</t>
  </si>
  <si>
    <t>Do you know what AI tools are available at your company and how to access them?</t>
  </si>
  <si>
    <t>How satisfied are you with the AI tools available to you at work?</t>
  </si>
  <si>
    <t>How well do you understand the potential benefits of AI for your specific role?</t>
  </si>
  <si>
    <t>Where do you struggle most today when using AI in your day to day work?</t>
  </si>
  <si>
    <t>What AI tools are you currently using outside of our approved or provided stack, if any?</t>
  </si>
  <si>
    <t>Section AI courses help me use AI more effectively in my role</t>
  </si>
  <si>
    <t>Growth &amp; Partner Marketing</t>
  </si>
  <si>
    <t>Director or senior Director</t>
  </si>
  <si>
    <t>Daily</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</si>
  <si>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</si>
  <si>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I've built custom AI tools (i.e. CustomGPTs, Copilot Agents) for repetitive tasks</t>
  </si>
  <si>
    <t>Create a systematic process where AI handles data analysis and summary generation consistently</t>
  </si>
  <si>
    <t>Providing real-time updates on breaking news events happening right now</t>
  </si>
  <si>
    <t>Hallucinations (generating false or misleading information), Biases in answers, Data privacy concerns when information is shared with an LLM, Vulnerability to manipulation by bad actors</t>
  </si>
  <si>
    <t>Verify that the AI tool has SSL/HTTPS encryption before using it, Only share information that you would be comfortable sharing internally with a colleague, Anonymize information by removing identifying details, Use secure company instances or enterprise plans when available</t>
  </si>
  <si>
    <t>Always: I routinely cross-check AI outputs with reliable sources</t>
  </si>
  <si>
    <t>Ask the same AI tool to double-check its work for accuracy, Verify any calculations or data analysis independently, Cross-reference key claims with reliable external sources, Check if the response uses confident language and specific details, Use a different AI tool to review and verify the content, Look for professional formatting and proper grammar</t>
  </si>
  <si>
    <t>Frequently: I systematically refine prompts until I'm satisfied</t>
  </si>
  <si>
    <t>N/A other than Chat GPT personal sub for my personal use.</t>
  </si>
  <si>
    <t>Strongly agree</t>
  </si>
  <si>
    <t>AI Practitioner</t>
  </si>
  <si>
    <t>Global Communications</t>
  </si>
  <si>
    <t>Manager or Senior Manager</t>
  </si>
  <si>
    <t>Weekly</t>
  </si>
  <si>
    <t>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t>
  </si>
  <si>
    <t>I maintain a library of prompts that I reuse frequently</t>
  </si>
  <si>
    <t>Analyzing presentation slides to evaluate both the visual design and written content for consistency</t>
  </si>
  <si>
    <t>Use a different AI tool to review and verify the content, Verify any calculations or data analysis independently, Cross-reference key claims with reliable external sources</t>
  </si>
  <si>
    <t>Sometimes: I iterate 2-3 times to reach a good result</t>
  </si>
  <si>
    <t>Some data analysis</t>
  </si>
  <si>
    <t>Mostly ChatGPT, Gemini, Claude and CoPilot</t>
  </si>
  <si>
    <t>Agree</t>
  </si>
  <si>
    <t>AI Experimenter</t>
  </si>
  <si>
    <t>Education</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</si>
  <si>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Using AI for vibe coding to prototype solutions, apps, or products</t>
  </si>
  <si>
    <t>I've created workflows that connect AI with other systems (Slack, Salesforce, email) using integrations or code</t>
  </si>
  <si>
    <t>Only share information that you would be comfortable sharing internally with a colleague, Anonymize information by removing identifying details, Use secure company instances or enterprise plans when available, Verify that the AI tool has SSL/HTTPS encryption before using it</t>
  </si>
  <si>
    <t>Use a different AI tool to review and verify the content, Ask the same AI tool to double-check its work for accuracy, Verify any calculations or data analysis independently, Cross-reference key claims with reliable external sources</t>
  </si>
  <si>
    <t>Having the time to finish certification while driving visibility in usage</t>
  </si>
  <si>
    <t>At work, none.   At home, I use Replit, Canva, hume.ai, heygen</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</si>
  <si>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t>
  </si>
  <si>
    <t>Hallucinations (generating false or misleading information), Data privacy concerns when information is shared with an LLM, Biases in answers</t>
  </si>
  <si>
    <t>Verify that the AI tool has SSL/HTTPS encryption before using it, Use secure company instances or enterprise plans when available, Anonymize information by removing identifying details</t>
  </si>
  <si>
    <t>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</si>
  <si>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I am extremely frustrated by the fact that custom GPTs (Chat) don't pull from our connected apps. I can access the latest in Sharepoint, Slack, Teams, etc. via a "vanilla chat" on ChatGPT but it feels like all the tantalizing productivity gains are just out of reach.</t>
  </si>
  <si>
    <t>I have used Claude to help me vibe code an idea that I then take to Copilot to create with the enterprise details, but that's it. Otherwise, I'm in Copilot, Canva, and ChatGPT all day, every day!</t>
  </si>
  <si>
    <t>Digital &amp; eCommerce</t>
  </si>
  <si>
    <t>Using AI for vibe coding to prototype solutions, apps, or products,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t>
  </si>
  <si>
    <t>Cross-reference key claims with reliable external sources, Verify any calculations or data analysis independently, Ask the same AI tool to double-check its work for accuracy, Use a different AI tool to review and verify the content</t>
  </si>
  <si>
    <t>I struggle most with knowing when AI output is “good enough” to use versus when I should stop and do the work myself, especially for high stakes executive messaging. I also have to be careful about what context I share for privacy and confidentiality, which sometimes limits how specific I can be and adds extra iteration.</t>
  </si>
  <si>
    <t>I currently use a few AI tools outside the approved stack, including Make.com and Zapier for automation workflows, Midjourney and Weavy.ai for visual generation, and ElevenLabs and Synthesia for voice and video creation.</t>
  </si>
  <si>
    <t>AI Expert</t>
  </si>
  <si>
    <t>Marketing Strategy &amp; Planning</t>
  </si>
  <si>
    <t>Individual Contributor</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</si>
  <si>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</si>
  <si>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Hallucinations (generating false or misleading information), Biases in answers, Data privacy concerns when information is shared with an LLM</t>
  </si>
  <si>
    <t>Anonymize information by removing identifying details, Use secure company instances or enterprise plans when available</t>
  </si>
  <si>
    <t>Look for professional formatting and proper grammar, Cross-reference key claims with reliable external sources, Ask the same AI tool to double-check its work for accuracy, Verify any calculations or data analysis independently, Use a different AI tool to review and verify the content, Check if the response uses confident language and specific details</t>
  </si>
  <si>
    <t>refining my prompts to get AI to do exactly what I need</t>
  </si>
  <si>
    <t>none</t>
  </si>
  <si>
    <t>Neutral</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</si>
  <si>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 Using AI for vibe coding to prototype solutions, apps, or products</t>
  </si>
  <si>
    <t>personally I use Gemini for anything outside work.</t>
  </si>
  <si>
    <t>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 Building custom prompts, templates, or workflows that I reuse regularly, Getting quick answers to specific questions or looking up information</t>
  </si>
  <si>
    <t>Data privacy concerns when information is shared with an LLM, Biases in answers</t>
  </si>
  <si>
    <t>Use a different AI tool to review and verify the content</t>
  </si>
  <si>
    <t>Not enough time to learn more, but I want to go to an advance level</t>
  </si>
  <si>
    <t>DeepL for translation (personal. I do not use it for work purposes). Gemini (personal)</t>
  </si>
  <si>
    <t>Getting quick answers to specific questions or looking up information, Editing or improving text I've already written (emails, documents, presentations), Brainstorming ideas, testing concepts, or getting feedback on my thinking</t>
  </si>
  <si>
    <t>I create fresh prompts each time I use AI</t>
  </si>
  <si>
    <t>Hallucinations (generating false or misleading information), Data privacy concerns when information is shared with an LLM</t>
  </si>
  <si>
    <t>Use secure company instances or enterprise plans when available</t>
  </si>
  <si>
    <t>Sometimes: I do a quick check against known data or references</t>
  </si>
  <si>
    <t>Cross-reference key claims with reliable external sources, Verify any calculations or data analysis independently</t>
  </si>
  <si>
    <t>Rarely: I only tweak the prompt if something feels obviously off</t>
  </si>
  <si>
    <t>...</t>
  </si>
  <si>
    <t>Acquisition &amp; Performance Marketing</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</si>
  <si>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t>
  </si>
  <si>
    <t>Creating a complete slide deck with visual design for an important client presentation</t>
  </si>
  <si>
    <t>Hallucinations (generating false or misleading information)</t>
  </si>
  <si>
    <t>Anonymize information by removing identifying details, Use secure company instances or enterprise plans when available, Verify that the AI tool has SSL/HTTPS encryption before using it</t>
  </si>
  <si>
    <t>Check if the response uses confident language and specific details, Look for professional formatting and proper grammar, Cross-reference key claims with reliable external sources, Verify any calculations or data analysis independently</t>
  </si>
  <si>
    <t>None</t>
  </si>
  <si>
    <t>Industry Portfolio &amp; Emerging Marketing</t>
  </si>
  <si>
    <t>Several times a week</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</si>
  <si>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t>
  </si>
  <si>
    <t>Use AI to help analyze each data source, then compile results manually</t>
  </si>
  <si>
    <t>Use secure company instances or enterprise plans when available, Anonymize information by removing identifying details</t>
  </si>
  <si>
    <t>Rarely: I only verify if something doesn't sound right</t>
  </si>
  <si>
    <t>Disconnected workflows and systems make it difficult to do everything within 1 tool. The work gets in the way of spending time to get into an AI tool to synthesize it.</t>
  </si>
  <si>
    <t>Google AI</t>
  </si>
  <si>
    <t>Editing or improving text I've already written (emails, documents, presentations), Getting quick answers to specific questions or looking up information, Brainstorming ideas, testing concepts, or getting feedback on my thinking, Creating first drafts of content from scratch (reports, proposals, marketing copy), Analyzing data or documents to extract insights or summaries</t>
  </si>
  <si>
    <t>Ask the same AI tool to double-check its work for accuracy, Cross-reference key claims with reliable external sources, Verify any calculations or data analysis independently</t>
  </si>
  <si>
    <t>I do a lot of writing, and the AI copy sounds like AI. So I mostly use it for editing and as a thought partner instead of a writer.</t>
  </si>
  <si>
    <t>None.</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</si>
  <si>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t>
  </si>
  <si>
    <t>Ask AI to write the summary after you've analyzed all the data</t>
  </si>
  <si>
    <t>Anonymize information by removing identifying details</t>
  </si>
  <si>
    <t>Cross-reference key claims with reliable external sources</t>
  </si>
  <si>
    <t>I want to make more time for my to learn best practices. I feel like I use it a lot but I have found a lot of value when someone who knows more about AI shows me how they use it.</t>
  </si>
  <si>
    <t>ChatGPT is my main tool</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</si>
  <si>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t>
  </si>
  <si>
    <t>Only share information that you would be comfortable sharing internally with a colleague, Use secure company instances or enterprise plans when available, Anonymize information by removing identifying details, Verify that the AI tool has SSL/HTTPS encryption before using it</t>
  </si>
  <si>
    <t>Check if the response uses confident language and specific details, Cross-reference key claims with reliable external sources, Verify any calculations or data analysis independently, Ask the same AI tool to double-check its work for accuracy</t>
  </si>
  <si>
    <t>Finding the time to educate myself more and train on how to leverage Ai even more effectively.</t>
  </si>
  <si>
    <t>Writing or debugging code, scripts, or formulas, Editing or improving text I've already written (emails, documents, presentations), 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t>
  </si>
  <si>
    <t>Cross-reference key claims with reliable external sources, Verify any calculations or data analysis independently, Use a different AI tool to review and verify the content, Ask the same AI tool to double-check its work for accuracy</t>
  </si>
  <si>
    <t>Carving out time for learning and building agents. Understanding how to integrate new AI tools into my workflow</t>
  </si>
  <si>
    <t>I have explored Notion AI and Lovable for personal projects</t>
  </si>
  <si>
    <t>Hallucinations (generating false or misleading information), Data privacy concerns when information is shared with an LLM, Vulnerability to manipulation by bad actors</t>
  </si>
  <si>
    <t>Cross-reference key claims with reliable external sources, Ask the same AI tool to double-check its work for accuracy</t>
  </si>
  <si>
    <t>Current ChatGPT doesn't have access to information on Autodesk wiki and some of infromation resources.</t>
  </si>
  <si>
    <t>ChatGPT, MS Copilot</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</si>
  <si>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Writing or debugging code, scripts, or formulas, Building custom prompts, templates, or workflows that I reuse regularly, Using AI for vibe coding to prototype solutions, apps, or products</t>
  </si>
  <si>
    <t>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t>
  </si>
  <si>
    <t>Write access. ChatGPT doesn't have access to my file system, can't send an email, can't move a file.</t>
  </si>
  <si>
    <t>For personal projects outside of work, claude code app. Gemini.</t>
  </si>
  <si>
    <t>Gamma for presentation building</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</si>
  <si>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</si>
  <si>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Finding time to explore aspect of the tool I'm less familiar with</t>
  </si>
  <si>
    <t>None for work, but privately I use Gemini Pro</t>
  </si>
  <si>
    <t>I wouldn’t use AI for this task</t>
  </si>
  <si>
    <t>Understanding the different types of AI and where they can be used. Particularly regarding analysis of data. Difficult to attend some of the training/webinars as I'm in the UK and the are mostly out of hours. Not always easy to find the recordings or then to find time to watch them.</t>
  </si>
  <si>
    <t>N/A</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</si>
  <si>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t>
  </si>
  <si>
    <t>Use a different AI tool to review and verify the content, Check if the response uses confident language and specific details, Cross-reference key claims with reliable external sources, Verify any calculations or data analysis independently, Ask the same AI tool to double-check its work for accuracy</t>
  </si>
  <si>
    <t>For more advanced use, like custom agent.  I haven't had a chance to attend any trainings yet.</t>
  </si>
  <si>
    <t>Gemini 3, Nano Banana Pro, NotebookLM</t>
  </si>
  <si>
    <t>Verify any calculations or data analysis independently, Cross-reference key claims with reliable external sources, Look for professional formatting and proper grammar</t>
  </si>
  <si>
    <t>Currently I'm not connecting it to other tools so that it can help me reach the next level of increased productivity. I need real, hands-on training for tasks that make sense for my role to actually do and set up during that training, vs just theoretical usage presentations.</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</si>
  <si>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t>
  </si>
  <si>
    <t>Verify that the AI tool has SSL/HTTPS encryption before using it, Use secure company instances or enterprise plans when available</t>
  </si>
  <si>
    <t>Use a different AI tool to review and verify the content, Cross-reference key claims with reliable external sources, Verify any calculations or data analysis independently</t>
  </si>
  <si>
    <t>I don't struggle at this point using AI in my work</t>
  </si>
  <si>
    <t>I'm not using any outside our approved stack</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</si>
  <si>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</si>
  <si>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Hallucinations (generating false or misleading information), Biases in answers, Vulnerability to manipulation by bad actors, Data privacy concerns when information is shared with an LLM</t>
  </si>
  <si>
    <t>Use secure company instances or enterprise plans when available, Anonymize information by removing identifying details, Only share information that you would be comfortable sharing internally with a colleague, Verify that the AI tool has SSL/HTTPS encryption before using it</t>
  </si>
  <si>
    <t>Verify any calculations or data analysis independently, Cross-reference key claims with reliable external sources, Use a different AI tool to review and verify the content, Check if the response uses confident language and specific details</t>
  </si>
  <si>
    <t>The main struggle is time. there is a lot to do, and the fact that there are no AI built solution that addresses use cases from our work that are built and delivered to us in WWM. We have to build all the AI GPT's, and, this leads to a potential of many marketers and employees building the same GPT or similar over and over. Instead of a clear central repository for all GPT's based on Use cases, that we can all search via perhaps a GPT to search all GPT at Autodesk.</t>
  </si>
  <si>
    <t>no other tools for work-related use cases.</t>
  </si>
  <si>
    <t>Brand &amp; Creative</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</si>
  <si>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Getting quick answers to specific questions or looking up information</t>
  </si>
  <si>
    <t>Vulnerability to manipulation by bad actors, Data privacy concerns when information is shared with an LLM, Biases in answers, Hallucinations (generating false or misleading information)</t>
  </si>
  <si>
    <t>Use a different AI tool to review and verify the content, Cross-reference key claims with reliable external sources, Verify any calculations or data analysis independently, Ask the same AI tool to double-check its work for accuracy</t>
  </si>
  <si>
    <t>What questions to ask. Like the first step in identifying what is needed and the related instructions for helping get what I need done.</t>
  </si>
  <si>
    <t>For all non-work related tasks, my preferred thought partner is Claude.ai -- I'm a subscriber. Perplexity and Gemini I use to cross compare output from Claude.ai. For Perplexity and Gemini, I have free versions.</t>
  </si>
  <si>
    <t>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t>
  </si>
  <si>
    <t>Hallucinations (generating false or misleading information), Biases in answers</t>
  </si>
  <si>
    <t>Avoid using AI tools for anything work-related, Only share information that you would be comfortable sharing internally with a colleague, Use secure company instances or enterprise plans when available</t>
  </si>
  <si>
    <t>I think I struggle most with getting all the information I need back without a lot of back and forth with the model. I find that I often have to tweak my prompt, or go back and keep asking it questions, to make sure I feel confident in what I have.</t>
  </si>
  <si>
    <t>Hallucinations (generating false or misleading information), Biases in answers, Vulnerability to manipulation by bad actors</t>
  </si>
  <si>
    <t>Verify that the AI tool has SSL/HTTPS encryption before using it, Anonymize information by removing identifying details, Use secure company instances or enterprise plans when available</t>
  </si>
  <si>
    <t>Look for professional formatting and proper grammar, Cross-reference key claims with reliable external sources, Ask the same AI tool to double-check its work for accuracy, Use a different AI tool to review and verify the content</t>
  </si>
  <si>
    <t>Create good prompts and agents</t>
  </si>
  <si>
    <t>Gemini</t>
  </si>
  <si>
    <t>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t>
  </si>
  <si>
    <t>Use secure company instances or enterprise plans when available, Anonymize information by removing identifying details, Verify that the AI tool has SSL/HTTPS encryption before using it</t>
  </si>
  <si>
    <t>Use a different AI tool to review and verify the content, Look for professional formatting and proper grammar, Verify any calculations or data analysis independently, Cross-reference key claims with reliable external sources</t>
  </si>
  <si>
    <t>The bandwidth to dedicate to training and creating agents.</t>
  </si>
  <si>
    <t>None for work, as I only use the approved LLMs Copilot and GPT. On personal stuff, Gemini</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</si>
  <si>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t>
  </si>
  <si>
    <t>Anonymize information by removing identifying details, Use secure company instances or enterprise plans when available, Avoid using AI tools for anything work-related</t>
  </si>
  <si>
    <t>#1 MY OSP CONTINGENT WORKER IS NOT ALLOWED ON THE INTERNAL CHAT GPT AND THIS SLOWS HER WORK DOWN, THIS BY FAR IS THE MOST FRUSTRATING  struggle. I've submitted several tickets with no follow up. WHO CAN I TALK TO???  #2 It takes me a long time to create a cute ppt slide. Sometimes it's the visual design (not content) that takes longer than I would like.  Is there a tool that uses brand guidelines and the PPT deck?   #3 I also don't use it for coding or formulas. Generally my work does not require either of those use cases.</t>
  </si>
  <si>
    <t>Claude, Dali</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</si>
  <si>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 Building custom prompts, templates, or workflows that I reuse regularly</t>
  </si>
  <si>
    <t>Data privacy concerns when information is shared with an LLM, Hallucinations (generating false or misleading information), Biases in answers, Vulnerability to manipulation by bad actors</t>
  </si>
  <si>
    <t>Cross-reference key claims with reliable external sources, Verify any calculations or data analysis independently, Ask the same AI tool to double-check its work for accuracy</t>
  </si>
  <si>
    <t>Connecting the workflows across enterprise applications</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</si>
  <si>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Using AI for vibe coding to prototype solutions, apps, or products</t>
  </si>
  <si>
    <t>Data privacy concerns when information is shared with an LLM, Hallucinations (generating false or misleading information), Biases in answers</t>
  </si>
  <si>
    <t>Chatgpt crashing or getting sidetracked</t>
  </si>
  <si>
    <t>Copilot outside of work context for personal use</t>
  </si>
  <si>
    <t>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t>
  </si>
  <si>
    <t>Cross-reference key claims with reliable external sources, Verify any calculations or data analysis independently, Check if the response uses confident language and specific details, Ask the same AI tool to double-check its work for accuracy</t>
  </si>
  <si>
    <t>To understand what existing internal data our Internal ChatGPT does or does not have access to</t>
  </si>
  <si>
    <t>None not approved</t>
  </si>
  <si>
    <t>Editing or improving text I've already written (emails, documents, presentations), Creating first drafts of content from scratch (reports, proposals, marketing copy), Brainstorming ideas, testing concepts, or getting feedback on my thinking, Getting quick answers to specific questions or looking up information, Building custom prompts, templates, or workflows that I reuse regularly</t>
  </si>
  <si>
    <t>Ask the same AI tool to double-check its work for accuracy, Use a different AI tool to review and verify the content, Look for professional formatting and proper grammar</t>
  </si>
  <si>
    <t>Understanding how to make everything connect. From tools to my daily tasks, I struggle to identify where we can connect.</t>
  </si>
  <si>
    <t>Getting quick answers to specific questions or looking up information, Editing or improving text I've already written (emails, documents, presentations), Writing or debugging code, scripts, or formulas, Analyzing data or documents to extract insights or summaries</t>
  </si>
  <si>
    <t>Only share information that you would be comfortable sharing internally with a colleague, Use secure company instances or enterprise plans when available, Verify that the AI tool has SSL/HTTPS encryption before using it, Anonymize information by removing identifying details</t>
  </si>
  <si>
    <t>Use a different AI tool to review and verify the content, Cross-reference key claims with reliable external sources, Check if the response uses confident language and specific details, Look for professional formatting and proper grammar, Verify any calculations or data analysis independently</t>
  </si>
  <si>
    <t>analyzing spreadsheets</t>
  </si>
  <si>
    <t>Claude, perplexity</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</si>
  <si>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t>
  </si>
  <si>
    <t>Cross-reference key claims with reliable external sources, Verify any calculations or data analysis independently, Ask the same AI tool to double-check its work for accuracy, Look for professional formatting and proper grammar</t>
  </si>
  <si>
    <t>AI is definitely helping teams become more efficient, however, the amount of new tools and resources can be overwhelming at times. I have intentionally focus my energy in a tool or two to not get overwhelmed. Learning curve overall is quite steep</t>
  </si>
  <si>
    <t>Getting quick answers to specific questions or looking up information, Editing or improving text I've already written (emails, documents, presentations), Analyzing data or documents to extract insights or summaries, Building custom prompts, templates, or workflows that I reuse regularly, Creating first drafts of content from scratch (reports, proposals, marketing copy)</t>
  </si>
  <si>
    <t>Using it for ideation.</t>
  </si>
  <si>
    <t>Editing or improving text I've already written (emails, documents, presentations), Brainstorming ideas, testing concepts, or getting feedback on my thinking, Building custom prompts, templates, or workflows that I reuse regularly, Analyzing data or documents to extract insights or summaries</t>
  </si>
  <si>
    <t>Check if the response uses confident language and specific details, Cross-reference key claims with reliable external sources, Verify any calculations or data analysis independently</t>
  </si>
  <si>
    <t>Having the time to experiment more with AI</t>
  </si>
  <si>
    <t>I am not using any other tools for work. In my own time I use Perplexity, Gemini and Nano Banana</t>
  </si>
  <si>
    <t>Hallucinations and make verifying the content</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</si>
  <si>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</si>
  <si>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Anonymize information by removing identifying details, Only share information that you would be comfortable sharing internally with a colleague, Use secure company instances or enterprise plans when available</t>
  </si>
  <si>
    <t>Ask the same AI tool to double-check its work for accuracy, Verify any calculations or data analysis independently, Cross-reference key claims with reliable external sources</t>
  </si>
  <si>
    <t>I don't really struggle any longer.</t>
  </si>
  <si>
    <t>ChatGPT, Copilot, Airtable's built-in AI (Omni)</t>
  </si>
  <si>
    <t>Creating first drafts of content from scratch (reports, proposals, marketing copy), Editing or improving text I've already written (emails, documents, presentations), Brainstorming ideas, testing concepts, or getting feedback on my thinking</t>
  </si>
  <si>
    <t>Cross-reference key claims with reliable external sources, Use a different AI tool to review and verify the content</t>
  </si>
  <si>
    <t>So much of the work that I do is not repeatable so feels like building new prompts each and every day.</t>
  </si>
  <si>
    <t>Gemini for nano banana</t>
  </si>
  <si>
    <t>Getting quick answers to specific questions or looking up information, Editing or improving text I've already written (emails, documents, presentations), Analyzing data or documents to extract insights or summaries, Writing or debugging code, scripts, or formulas, Creating first drafts of content from scratch (reports, proposals, marketing copy), Brainstorming ideas, testing concepts, or getting feedback on my thinking</t>
  </si>
  <si>
    <t>Look for professional formatting and proper grammar, Cross-reference key claims with reliable external sources</t>
  </si>
  <si>
    <t>Getting AI to give me the results I want from a spreadsheet the first time.</t>
  </si>
  <si>
    <t>A few times a month</t>
  </si>
  <si>
    <t>Editing or improving text I've already written (emails, documents, presentations), Getting quick answers to specific questions or looking up information</t>
  </si>
  <si>
    <t>Biases in answers, Data privacy concerns when information is shared with an LLM, Hallucinations (generating false or misleading information)</t>
  </si>
  <si>
    <t>Only share information that you would be comfortable sharing internally with a colleague, Anonymize information by removing identifying details, Verify that the AI tool has SSL/HTTPS encryption before using it</t>
  </si>
  <si>
    <t>remembering to utilise it</t>
  </si>
  <si>
    <t>Use a different AI tool to review and verify the content, Look for professional formatting and proper grammar, Cross-reference key claims with reliable external sources, Ask the same AI tool to double-check its work for accuracy</t>
  </si>
  <si>
    <t>A lot of our tools still don't have AIs that talk to each other, so it's a lot of copy and pasting. It's fine, but I feel like it can be much more efficient.</t>
  </si>
  <si>
    <t>I only used our approved stack</t>
  </si>
  <si>
    <t>Check if the response uses confident language and specific details, Verify any calculations or data analysis independently, Use a different AI tool to review and verify the content</t>
  </si>
  <si>
    <t>taking to the next level beyond just prompts</t>
  </si>
  <si>
    <t>Getting quick answers to specific questions or looking up information, Writing or debugging code, scripts, or formulas,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</si>
  <si>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I have to work a lot with our internal data in Snowflake, and often what takes the most time is navigating the sea of data we have and knowing how to use the tables properly. The AI tools that we have can't really help with data exploration (to my knowledge at least) because they don't have the contextual knowledge of our data. Even tools like Cursor or Cortex-- I don't think they solve the data exploration use case. If there are two tables that contain an AOV field for instance, I can't use these tools to help me identify which is the right field to use and how to manipulate it for my specific use case. 
I also struggle a lot with providing enough contextual data to our tools. Chatgpt has a 20 doc file limit and can't point to share point sites, plus there are a lot of restricted apps. Copilot has seamless office365 integration but nothing outside of that. I've faced the experience many times of having a good idea about something to automate only to find that these technical limitations make it impossible.</t>
  </si>
  <si>
    <t>I'm only using the approved stack right now, but I would like to try Claude cowork because the capabilities seem pretty incredible. I'd also like to try Gemini and Notebook LLM</t>
  </si>
  <si>
    <t>Cross-reference key claims with reliable external sources, Ask the same AI tool to double-check its work for accuracy, Use a different AI tool to review and verify the content</t>
  </si>
  <si>
    <t>lack of connection to our internal data sources</t>
  </si>
  <si>
    <t>Use a different AI tool to review and verify the content, Cross-reference key claims with reliable external sources, Ask the same AI tool to double-check its work for accuracy, Verify any calculations or data analysis independently</t>
  </si>
  <si>
    <t>Finding the time to explore AI applications beyond the immediate needs of my work</t>
  </si>
  <si>
    <t>ChatGPT, Claude, CoPilot</t>
  </si>
  <si>
    <t>Where I struggle most is trust and control. It can hallucinate and state things confidently that aren’t true: especially stats, benchmarks, or product details, so I still have to verify anything factual.
It has also picked up outdated product names sometimes that are no longer valid. It also sometimes makes up URLs when I ask it to add links, which is a big risk if I’m moving fast. 
Even with clear instructions, it doesn’t always follow them the first time, and I end up repeating constraints or asking it to stick to a specific format. 
When I’m refining copy, it can “improve” sentences but quietly change the meaning, so I have to compare line by line. 
And stylistically, it can slip into cliches, overuse em dashes, or default to those obvious rhetorical patterns that make the writing feel less like me, so there’s still a real editing pass needed to keep it accurate, clean, and human.</t>
  </si>
  <si>
    <t>None, I currently use ChatGPT and Copilot only. If approved, I'd love to explore Claude AI as well.</t>
  </si>
  <si>
    <t>Editing or improving text I've already written (emails, documents, presentations), Creating first drafts of content from scratch (reports, proposals, marketing copy), Analyzing data or documents to extract insights or summaries, Getting quick answers to specific questions or looking up information</t>
  </si>
  <si>
    <t>Predicting next week's stock market performance for investment decisions</t>
  </si>
  <si>
    <t>Hallucinations (generating false or misleading information), Vulnerability to manipulation by bad actors, Data privacy concerns when information is shared with an LLM, Biases in answers</t>
  </si>
  <si>
    <t>Use secure company instances or enterprise plans when available, Only share information that you would be comfortable sharing internally with a colleague</t>
  </si>
  <si>
    <t>Cross-reference key claims with reliable external sources, Check if the response uses confident language and specific details, Ask the same AI tool to double-check its work for accuracy</t>
  </si>
  <si>
    <t>Visuals</t>
  </si>
  <si>
    <t>Tools which can be used to work on or adjust images.</t>
  </si>
  <si>
    <t>Cross-reference key claims with reliable external sources, Ask the same AI tool to double-check its work for accuracy, Verify any calculations or data analysis independently, Look for professional formatting and proper grammar</t>
  </si>
  <si>
    <t>Prompting and utilizing all of the potential use cases for AI in streamlining my work day and priorities</t>
  </si>
  <si>
    <t>ChatGPT Plus, Gemini</t>
  </si>
  <si>
    <t>Writing or debugging code, scripts, or formulas, Getting quick answers to specific questions or looking up information, Editing or improving text I've already written (emails, documents, presentations), Brainstorming ideas, testing concepts, or getting feedback on my thinking, Using AI for vibe coding to prototype solutions, apps, or products</t>
  </si>
  <si>
    <t>A few struggles are 1) When AI likes to comply and be too supportive, when I want a more objective opinion. 2) Not having access to the right tools to use at work as the market or environment keeps speeding up with innovations - for example the ability to use Claude Code to create apps or custom workflows</t>
  </si>
  <si>
    <t>On my personal computer, I use Claude Code with VS Code and have found it exceptional in what it can allow a non coder to do.</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</si>
  <si>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t>
  </si>
  <si>
    <t>Getting consistently useful outputs
AI can be brilliant one moment and oddly generic the next. Without very clear prompts or structure, it’s hard to get answers that are reliable enough to reuse in decks, docs, or decision-making.
Too much polishing, not enough thinking
AI is great at rewriting and summarizing, but weaker at deep context: nuance, internal politics, customer history, or why something will or won’t land with a specific audience. I often have to correct for “sounds good but isn’t quite right.”</t>
  </si>
  <si>
    <t>Getting quick answers to specific questions or looking up information, Editing or improving text I've already written (emails, documents, presentations)</t>
  </si>
  <si>
    <t>Use secure company instances or enterprise plans when available, Only share information that you would be comfortable sharing internally with a colleague, Anonymize information by removing identifying details</t>
  </si>
  <si>
    <t>Verify any calculations or data analysis independently, Ask the same AI tool to double-check its work for accuracy, Cross-reference key claims with reliable external sources</t>
  </si>
  <si>
    <t>Quickly writing and refining prompts to get the most value from tools. 
I'm intimidated by creating agents.</t>
  </si>
  <si>
    <t>Only share information that you would be comfortable sharing internally with a colleague, Anonymize information by removing identifying details, Use secure company instances or enterprise plans when available</t>
  </si>
  <si>
    <t>Check if the response uses confident language and specific details, Ask the same AI tool to double-check its work for accuracy, Verify any calculations or data analysis independently, Cross-reference key claims with reliable external sources, Look for professional formatting and proper grammar, Use a different AI tool to review and verify the content</t>
  </si>
  <si>
    <t>At the moment, I feel it's a part of my process. I would not call it a struggle to use AI and instead, look for opportunities to learn more on building custom GPTs to make my workload lighter and flow smoother. Otherwise, the basic AI issues that I face and always ensure to double-check are - hallucinations, improper content, wrong numbers/statistics/facts generated and repetitive responses. But I've learned basics of prompt engineering to deal with these issues on a daily basis.</t>
  </si>
  <si>
    <t>None. But I'd love to try using Claude by Anthropic as I've heard that it generates really accurate content and does what is asked.</t>
  </si>
  <si>
    <t>Verify any calculations or data analysis independently, Cross-reference key claims with reliable external sources, Ask the same AI tool to double-check its work for accuracy</t>
  </si>
  <si>
    <t>creating prompts that get ChatGPT to create slides that are ready to go. I feel good about the text and spreadsheet answers I get back from AI, but I am still spending a lot of time putting those answers into slide decks that can be presented to leadership.</t>
  </si>
  <si>
    <t>Nothing, I am very happy to have ChatGPT finally. The Autodesk GPT was not cutting it. I also don't think that Copilot is as powerful as ChatGPT. Copilot's answers are very generic and often completely wrong.</t>
  </si>
  <si>
    <t>Governance and standardisation, vs create your own.</t>
  </si>
  <si>
    <t>nonw</t>
  </si>
  <si>
    <t>Disagree</t>
  </si>
  <si>
    <t>Writing or debugging code, scripts, or formulas, Editing or improving text I've already written (emails, documents, presentations), 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</si>
  <si>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Verify any calculations or data analysis independently, Cross-reference key claims with reliable external sources, Check if the response uses confident language and specific details</t>
  </si>
  <si>
    <t>Multiple AI tools from different platform like co-pilot, ROVO, CORTEX etc, getting a tool to integrate and help answer questions in a reliable manner will be helpful</t>
  </si>
  <si>
    <t>Using only approved AI tools</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</si>
  <si>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 Analyzing data or documents to extract insights or summaries</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</si>
  <si>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</si>
  <si>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Using more than 1 main tool</t>
  </si>
  <si>
    <t>n/a</t>
  </si>
  <si>
    <t>Cross-reference key claims with reliable external sources, Ask the same AI tool to double-check its work for accuracy, Look for professional formatting and proper grammar, Use a different AI tool to review and verify the content, Check if the response uses confident language and specific details, Verify any calculations or data analysis independently</t>
  </si>
  <si>
    <t>Cleaning or restructuring data again and again before AI can help. Unclear prompt because the problem itself isn't well defined yet.</t>
  </si>
  <si>
    <t>I've been using for personal activities other AI tooks such as Perplexity and Claude</t>
  </si>
  <si>
    <t>There is a lack of clear guidance on how AI can be used in customer-facing creative.</t>
  </si>
  <si>
    <t>Editing or improving text I've already written (emails, documents, presentations), Brainstorming ideas, testing concepts, or getting feedback on my thinking</t>
  </si>
  <si>
    <t>Cross-reference key claims with reliable external sources, Look for professional formatting and proper grammar, Ask the same AI tool to double-check its work for accuracy, Verify any calculations or data analysis independently</t>
  </si>
  <si>
    <t>Cross-reference key claims with reliable external sources, Verify any calculations or data analysis independently, Check if the response uses confident language and specific details</t>
  </si>
  <si>
    <t>Agents, prompts</t>
  </si>
  <si>
    <t>Check if the response uses confident language and specific details, Cross-reference key claims with reliable external sources, Verify any calculations or data analysis independently, Ask the same AI tool to double-check its work for accuracy, Look for professional formatting and proper grammar, Use a different AI tool to review and verify the content</t>
  </si>
  <si>
    <t>The biggest challenge I face in my day‑to‑day work is that our core platforms—Slack, Airtable, and Snowflake, etc.—aren’t consistently connected to the same LLMs, which forces unnecessary context‑switching and duplication of effort. For example, Slack AI isn’t planned for enablement internally, while Airtable’s built‑in AI is fully released across Autodesk and Snowflake is heavily promoting its own AI agents and copilot features for data workflows. Because ChatGPT tends to be prioritized first for new automations or custom GPTs, I often end up building or testing workflows there—even though Microsoft Copilot would integrate more naturally with the systems we rely on most. 
This creates a fragmented experience where I’m toggling between tools, recreating agents across platforms, and losing efficiency simply because the underlying LLM connections aren’t unified. Ideally, we’d prioritize enabling the same LLM(s) across our highest‑priority work systems so we can build once, automate once, and avoid maintaining two parallel sets of prompts, agents, and workflows.</t>
  </si>
  <si>
    <t>Editing or improving text I've already written (emails, documents, presentations), Getting quick answers to specific questions or looking up information, Creating first drafts of content from scratch (reports, proposals, marketing copy), Brainstorming ideas, testing concepts, or getting feedback on my thinking</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</si>
  <si>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t>
  </si>
  <si>
    <t>I have only really explored using it for writing. I am not using it to its full potential for other tasks like research and analytics and building.</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</si>
  <si>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t>
  </si>
  <si>
    <t>Ask the same AI tool to double-check its work for accuracy, Verify any calculations or data analysis independently, Cross-reference key claims with reliable external sources, Look for professional formatting and proper grammar, Use a different AI tool to review and verify the content, Check if the response uses confident language and specific details</t>
  </si>
  <si>
    <t>Having the time to create custom agents and implement new use cases.</t>
  </si>
  <si>
    <t>Verify that the AI tool has SSL/HTTPS encryption before using it, Only share information that you would be comfortable sharing internally with a colleague, Use secure company instances or enterprise plans when available</t>
  </si>
  <si>
    <t>No struggles as of date</t>
  </si>
  <si>
    <t>Currently just using ADSK ChatGPT and house design AI tools</t>
  </si>
  <si>
    <t>Use secure company instances or enterprise plans when available, Only share information that you would be comfortable sharing internally with a colleague, Anonymize information by removing identifying details, Verify that the AI tool has SSL/HTTPS encryption before using it</t>
  </si>
  <si>
    <t>data analytics is very basic.</t>
  </si>
  <si>
    <t>Cross-reference key claims with reliable external sources, Use a different AI tool to review and verify the content, Check if the response uses confident language and specific details</t>
  </si>
  <si>
    <t>Building multi-agent (agent-agent communication)/ complete automations - not just a chatbot.</t>
  </si>
  <si>
    <t>I am exploring different tools for my personal use to learn more about multi agent framework and complete automations to learn more about it. Not using anything for work outside of approved stack due to nature of my work with sensitive data.</t>
  </si>
  <si>
    <t>Biases in answers</t>
  </si>
  <si>
    <t>Check if the response uses confident language and specific details, Cross-reference key claims with reliable external sources, Ask the same AI tool to double-check its work for accuracy</t>
  </si>
  <si>
    <t>It still seems a free for all and mostly self-service versus a curated set of menu options and support resources for things I might want to accomplish but still not know how to do exactly myself.</t>
  </si>
  <si>
    <t>Editing or improving text I've already written (emails, documents, presentations), Creating first drafts of content from scratch (reports, proposals, marketing copy), Building custom prompts, templates, or workflows that I reuse regularly, Getting quick answers to specific questions or looking up information</t>
  </si>
  <si>
    <t>Data privacy concerns when information is shared with an LLM, Biases in answers, Hallucinations (generating false or misleading information)</t>
  </si>
  <si>
    <t>Verify that the AI tool has SSL/HTTPS encryption before using it</t>
  </si>
  <si>
    <t>Remembering to use it</t>
  </si>
  <si>
    <t>no others</t>
  </si>
  <si>
    <t>understanding how and where to engage AI tools to do more technical work like connect with data warehouses and operational systems. i want to learn faster and experiment more, but access to truly powerful agents is limited</t>
  </si>
  <si>
    <t>Using AI for vibe coding to prototype solutions, apps, or products,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t>
  </si>
  <si>
    <t>I like using different LLMs for different needs, but we're limited to ChatGPT on the business account -- whereas Claude has been better with SQL code.</t>
  </si>
  <si>
    <t>Claude, Gemini</t>
  </si>
  <si>
    <t>Accuracy and hallucinations across prompts</t>
  </si>
  <si>
    <t>Anonymize information by removing identifying details, Use secure company instances or enterprise plans when available, Only share information that you would be comfortable sharing internally with a colleague, Verify that the AI tool has SSL/HTTPS encryption before using it</t>
  </si>
  <si>
    <t>I would like to have the ability to use company-approved AI tools to assist with complex tasks like content localization without relying on an external agency which can be time consuming and costly.</t>
  </si>
  <si>
    <t>Currently, I am mainly using our ChatGPT instance and integrated Copilot tools for work. Occasionally, I use AI tools integrated in Airtable, Miro, and Canva to improve efficiently within some of my day to day tasks.</t>
  </si>
  <si>
    <t>Editing or improving text I've already written (emails, documents, presentations), Analyzing data or documents to extract insights or summaries, Brainstorming ideas, testing concepts, or getting feedback on my thinking</t>
  </si>
  <si>
    <t>Verify any calculations or data analysis independently</t>
  </si>
  <si>
    <t>I dont know</t>
  </si>
  <si>
    <t>integrations</t>
  </si>
  <si>
    <t>Gemini, perplexity for personal use.</t>
  </si>
  <si>
    <t>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Editing or improving text I've already written (emails, documents, presentations)</t>
  </si>
  <si>
    <t>Cross-reference key claims with reliable external sources, Verify any calculations or data analysis independently, Use a different AI tool to review and verify the content</t>
  </si>
  <si>
    <t>I am new and still figuring out where source data/information lives - this is helpful for me to finetune my questions and needs from AI.</t>
  </si>
  <si>
    <t>VP or above</t>
  </si>
  <si>
    <t>Editing or improving text I've already written (emails, documents, presentations), Analyzing data or documents to extract insights or summaries, Brainstorming ideas, testing concepts, or getting feedback on my thinking, Using AI for vibe coding to prototype solutions, apps, or products</t>
  </si>
  <si>
    <t>Only share information that you would be comfortable sharing internally with a colleague, Use secure company instances or enterprise plans when available</t>
  </si>
  <si>
    <t>Use a different AI tool to review and verify the content, Look for professional formatting and proper grammar, Cross-reference key claims with reliable external sources, Verify any calculations or data analysis independently</t>
  </si>
  <si>
    <t>I’m out of time!</t>
  </si>
  <si>
    <t>Accuracy and hallucinations</t>
  </si>
  <si>
    <t>You are “Competitive Intelligence Copilot.” Your job is to help team members gather competitor product, pricing, and positioning intel in a consistent, repeatable way—using ONLY publicly available information and always showing your sources.
OPERATING PRINCIPLES
- Be factual, current, and source-backed. Never guess or “fill in” missing details.
- Separate: (1) verified facts, (2) reasonable inferences, (3) open questions.
- Include “Last verified” dates on all time-sensitive info (pricing, packaging, plans, announcements).
- Use neutral, non-inflammatory language. Avoid editorializing.
SCOPE (WHAT YOU DO)
- Research competitor: product overview, positioning/messaging, target customers/ICP, key use cases, differentiators, packaging/pricing, proof points (case studies, metrics claims), distribution (PLG vs sales-led), partnerships, recent launches, and notable customer feedback themes.
- Produce consistent deliverables: standardized summary, pricing breakdown, messaging analysis, feature comparison notes, and implications/recommendations.
OUT OF SCOPE / COMPLIANCE (WHAT YOU MUST NOT DO)
- Do NOT use or request confidential/internal-only information. If a user provides it, tell them to remove it and proceed with public info.
- Do NOT instruct on bypassing paywalls, logins, or ToS restrictions. Do NOT scrape gated content.
- Do NOT generate fake prices, fake quotes, or fake customer logos.
- Do NOT provide legal advice. If asked, recommend consulting Legal/Procurement.
- Do NOT collect or store personal data about individuals beyond what’s publicly available and relevant (e.g., executive names already on the company site).
INPUTS TO ASK FOR (ASK ONLY IF MISSING / AMBIGUOUS)
Ask up to 5 quick questions if needed:
1) Which competitor(s) and which specific product(s)?
2) Region/currency (e.g., US, EU, Canada) and customer segment (SMB/MM/Enterprise)?
3) Primary use case/category (e.g., workflow automation, analytics, CRM add-on)?
4) Depth needed: quick scan (15 min), standard brief, or deep dive?
5) Any focus areas: pricing/packaging, positioning, feature parity, GTM motion, or recent changes?
RESEARCH WORKFLOW (ALWAYS FOLLOW)
1) Define the research scope and assumptions (what you will/ won’t cover).
2) Build a source set:
   - First-party: competitor website product pages, pricing pages, docs, release notes, blogs, security/trust pages, terms, help center.
   - Third-party validation: reputable reviews/marketplaces (e.g., G2/Gartner Peer Insights/Capterra), app stores, analyst notes (public excerpts), credible tech press, customer case studies.
3) Extract key facts with citations per section (pricing, tiers, limitations, contract terms, positioning claims, feature gating).
4) Triangulate: confirm critical claims using at least 2 independent sources when possible (especially for pricing and “market-leading” claims).
5) Synthesize into the standard output format below.
6) Quality check:
   - Are all time-sensitive claims dated?
   - Are any claims unsupported or ambiguous? Flag them.
   - Is currency/billing period clear? Are plan names exact?
   - Are you mixing regions/legacy pricing? If uncertain, say so.
STANDARD OUTPUT FORMAT (USE THESE HEADINGS EVERY TIME)
A) Executive snapshot (5–7 bullets)
- Who they are + what they sell (1 sentence)
- Positioning statement (1–2 lines, in their words if possible)
- Target customers/ICP + primary use cases
- Pricing headline (starting price, licensing model, free tier/trial)
- Key differentiators (3)
- Notable gaps/risks (2–3)
- Last verified: [YYYY-MM-DD]
B) Positioning &amp; messaging
- Category they claim / how they frame the problem
- Messaging pillars (3–5) + supporting proof points
- Primary personas &amp; buying triggers
- Competitive comparisons they make (if any)
- “Words they own” (recurring phrases) and tone
C) Pricing &amp; packaging (be precise)
- Pricing table: plan name, price, billing period, currency, seat/usage basis, included limits, key gated features
- Add-ons/overages, enterprise-only items, implementation/services fees (if public)
- Trial/free offering details
- Contract terms notes (monthly vs annual, minimums) if public
- Pricing caveats/uncertainties (clearly labeled)
- Last verified: [YYYY-MM-DD]
D) Product capabilities (high-level)
- Core capabilities (bullets)
- Integrations/ecosystem highlights
- Platform/technical notes that matter (API, SSO, governance, security) if public
- What’s new (last 6–12 months): major launches/announcements
E) Customer feedback patterns (public sources only)
- Top themes (pros/cons) with frequency signals where available (e.g., “commonly mentioned”)
- Ideal fit vs poor fit scenarios
F) Implications for us (action-oriented)
- Where they’re strong vs weak (SWOT-style bullets)
- Likely win/loss dynamics
- Recommended counter-positioning angles
- Pricing/packaging hypotheses to test (clearly marked as hypotheses)
- Suggested experiments (A/B ideas), prioritized by expected impact &amp; effort
G) Open questions &amp; next research steps
- What we still need to validate (5–10 questions)
- Best next sources to check (docs pages, webinars, trial exploration, etc.)
H) Sources (required)
- Provide a clean list of links grouped by section (Pricing, Product, Messaging, Reviews, News)
- Include access date for each source: [YYYY-MM-DD]
WRITING REQUIREMENTS
- Keep it skimmable: short paragraphs + bullets, avoid long prose.
- Use exact plan names, quoted messaging when relevant, and consistent terminology.
- Add a confidence label to major claims: High / Medium / Low (based on source strength).
- If the user asks for a comparison vs our product, ask for our product name + the 3–5 capabilities that matter most, then produce a feature-by-feature narrative (avoid pretending you have internal roadmap knowledge).
DEFAULTS (IF USER DOESN’T SPECIFY)
- Region: assume US pricing unless stated otherwise, but flag this assumption.
- Segment focus: mid-market/enterprise unless user says SMB/PLG.
- Depth: “standard brief” (enough for a stakeholder update + experiment ideas).
WHEN INFORMATION IS MISSING
- Do not guess. Provide: “Not found in public sources” + suggest where to look next.
- Offer a short set of clarifying questions OR propose next steps.
OUTPUT STYLE
- Professional, concise, decision-oriented.
- Always include “Last verified” dates and citations.</t>
  </si>
  <si>
    <t>I struggle most with end-to-end integration and consistency: connecting Custom GPTs/agents to internal databases and governed data sources in a secure, reliable way, and then translating the outputs into a repeatable, stakeholder-ready analysis deck.
Today, AI can help with insights and draft narratives, but it’s still difficult to consistently generate a polished deck that faithfully follows Autodesk themes—correct fonts (style/size), chart standards, and well-placed visuals—without manual cleanup and reformatting.</t>
  </si>
  <si>
    <t>None—only the approved stack. If I ever use external tools, it’s enterprise versions and only with anonymized/non-confidential data.</t>
  </si>
  <si>
    <t>I'm a product manager at Autodesk. I frequently research competitors' products, pricing, and positioning to inform our product strategy. I want to create a custom GPT for this use case. Do research about best practices to create this custom GPT under your current model/version, and give me the instructions in markdown code</t>
  </si>
  <si>
    <t>lack of integration with platfomrs I use daily</t>
  </si>
  <si>
    <t>I want to create a custom GPT whose intent is to research and provide summarized data around competitor's product, pricing, and positioning. This tool will be used by my team (the _____ team). We only want to collect data that is from reputable sources that are highly trusted by teams like ours - at similarly-sized businesses. Please help to craft all of the necessary inputs needed to create this custom GPT. Sequentially ask any clarifying questions until you have a complete understanding of my goals.</t>
  </si>
  <si>
    <t>Trying to build out custom flows using custom CoPilot Agents was time-consuming and produced results that disappointed. Working with Custom GPTs has been much more efficient and effective.</t>
  </si>
  <si>
    <t>Personally, I am using Google Gemini so that I can stay up to date and aware of other major tools in the market. I also use Claude on occasion.</t>
  </si>
  <si>
    <t>Look for professional formatting and proper grammar, Check if the response uses confident language and specific details</t>
  </si>
  <si>
    <t>provide competitive intelligence of xxx product of xxx company, pricing and positioning. adding some information of this products as attached.</t>
  </si>
  <si>
    <t>Getting quick answers to specific questions or looking up information, Editing or improving text I've already written (emails, documents, presentations), Creating first drafts of content from scratch (reports, proposals, marketing copy)</t>
  </si>
  <si>
    <t>Cross-reference key claims with reliable external sources, Look for professional formatting and proper grammar, Check if the response uses confident language and specific details</t>
  </si>
  <si>
    <t>I don't know how to create custome AI Instructions</t>
  </si>
  <si>
    <t>Editing or improving text I've already written (emails, documents, presentations)</t>
  </si>
  <si>
    <t>Data privacy concerns when information is shared with an LLM, Hallucinations (generating false or misleading information)</t>
  </si>
  <si>
    <t>Use a different AI tool to review and verify the content, Ask the same AI tool to double-check its work for accuracy</t>
  </si>
  <si>
    <t>You are a Competitive Intelligence Assistant for the team. Your role is to systematically gather, summarize, and structure information about competitors’ products, pricing, positioning, messaging, partnerships, and recent updates. Always use credible, up-to-date public sources and cite them clearly. Organize findings into standard sections: Company Overview, Target Segments, Product Features, Pricing Model, Differentiators, Strengths/Weaknesses, Recent News, and Strategic Implications. Highlight changes over time and flag assumptions or gaps. Maintain an objective, fact-based tone—no speculation. Provide comparison tables when relevant. End each report with 3–5 actionable insights for our team and suggested follow-up research areas. Ensure consistency in format across all outputs.</t>
  </si>
  <si>
    <t>It is difficult to clearly convey what I want the AI to do through prompts.</t>
  </si>
  <si>
    <t>No</t>
  </si>
  <si>
    <t>Brainstorming ideas, testing concepts, or getting feedback on my thinking,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t>
  </si>
  <si>
    <t>Cross-reference key claims with reliable external sources, Ask the same AI tool to double-check its work for accuracy, Check if the response uses confident language and specific details, Use a different AI tool to review and verify the content</t>
  </si>
  <si>
    <t>Give the competitor list and what information of the competitors with the reason why I want to collect the data. Ask for proposal from AI what extra information would be helpful to collect for this purpose. 
Test with some samples to see where the AI collect data from and validate if the source is creaditable. After varifying, make it apply that for all competitors and give frequency and share the agent with team members.</t>
  </si>
  <si>
    <t>Data analysis and create designs and translated content.</t>
  </si>
  <si>
    <t>Nothing but want to try Claud and Gemini</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</si>
  <si>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Creating first drafts of content from scratch (reports, proposals, marketing copy)</t>
  </si>
  <si>
    <t>Hallucinations (generating false or misleading information), Data privacy concerns when information is shared with an LLM, Vulnerability to manipulation by bad actors, Biases in answers</t>
  </si>
  <si>
    <t>Cross-reference key claims with reliable external sources, Use a different AI tool to review and verify the content, Verify any calculations or data analysis independently, Ask the same AI tool to double-check its work for accuracy</t>
  </si>
  <si>
    <t>I use some picture/image generative AI tools as my hobby.</t>
  </si>
  <si>
    <t>Getting quick answers to specific questions or looking up information, Creating first drafts of content from scratch (reports, proposals, marketing copy), Brainstorming ideas, testing concepts, or getting feedback on my thinking</t>
  </si>
  <si>
    <t>Use a different AI tool to review and verify the content, Cross-reference key claims with reliable external sources</t>
  </si>
  <si>
    <t>You are the marketing manager for Company A.
Please answer the following questions based on the features, price, and market position of Company A's product, Product B.</t>
  </si>
  <si>
    <t>Improving the accuracy of AI agents using prompts takes time
There are limitations to the sources AI agents can reference</t>
  </si>
  <si>
    <t>Nothing</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</si>
  <si>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t>
  </si>
  <si>
    <t>Use a different AI tool to review and verify the content, Cross-reference key claims with reliable external sources, Verify any calculations or data analysis independently, Check if the response uses confident language and specific details</t>
  </si>
  <si>
    <t>1. Role &amp; Core Objective
You are a Competitive Intelligence Specialist. Your goal is to help the marketing and product teams gather, analyze, and synthesize data regarding competitors’ products, pricing, and positioning. You provide objective, data-backed insights to inform our B2B SaaS strategy.
2. Research Framework
For every request, follow this structured research protocol:
Product Capabilities: Identify core features, recent product launches, and technical USPs (Unique Selling Propositions). Look specifically for integrations with enterprise stacks (e.g., Salesforce, Snowflake, AWS).
Pricing Strategy: Extract pricing tiers, "starting from" costs, and hidden fees. Note if they use consumption-based, seat-based, or enterprise-negotiated models.
Market Positioning: Analyze how they describe themselves on their homepage vs. social media. Identify their "Primary Value Pillar" (e.g., Are they the "cheap alternative," the "innovative leader," or the "easy-to-use" choice?).
Customer Sentiment: Search for recent reviews on G2, Capterra, or TrustRadius to identify common pain points and "reasons for switching."
3. Operational Rules
Verification: Always prioritize primary sources (competitor's own website, SEC filings, official press releases).
Comparison Mode: When asked to compare, use a table format to highlight gaps between our product and the competitor.
Tone: Maintain a professional, analytical, and objective tone. Avoid marketing fluff; focus on technical specs and financial realities.
Citations: You must provide the URL for every data point found online so the team can verify the source.
4. Specific Formatting Instructions
- When summarizing a competitor, always conclude with a "So What?" section:
- Threat Level: (Low/Medium/High)
- Winning Angle: One specific way our team can position against this competitor in a sales deck.
- Counter-Argument: How to respond if a prospect says, "But [Competitor] is cheaper.</t>
  </si>
  <si>
    <t>Developing a perfect prompt - still need a lot of practice and reiterations</t>
  </si>
  <si>
    <t>Gemini, Perplexity</t>
  </si>
  <si>
    <t>Getting quick answers to specific questions or looking up information, Brainstorming ideas, testing concepts, or getting feedback on my thinking</t>
  </si>
  <si>
    <t>I don't use AI for work</t>
  </si>
  <si>
    <t>I would match product by product that we need to compare with competitors, I might train custom GPT aware this product match, and will figure out detail competition points constantly</t>
  </si>
  <si>
    <t>To avoid sharing too much information with AI</t>
  </si>
  <si>
    <t>ChatGPT and Gemini</t>
  </si>
  <si>
    <t>Biases in answers, Data privacy concerns when information is shared with an LLM, Vulnerability to manipulation by bad actors, Hallucinations (generating false or misleading information)</t>
  </si>
  <si>
    <t>Regularly update (the first monday of every month) the each competitive products(give the names) news, promotions, price, and events. and how it will treathen our posion in the market.</t>
  </si>
  <si>
    <t>gemini</t>
  </si>
  <si>
    <t>Verify that the AI tool has SSL/HTTPS encryption before using it, Only share information that you would be comfortable sharing internally with a colleague</t>
  </si>
  <si>
    <t>Check if the response uses confident language and specific details</t>
  </si>
  <si>
    <t>Not to sure how to utilize AI</t>
  </si>
  <si>
    <t>Getting quick answers to specific questions or looking up information, Editing or improving text I've already written (emails, documents, presentations), Writing or debugging code, scripts, or formulas</t>
  </si>
  <si>
    <t>Hallucinations (generating false or misleading information), Data privacy concerns when information is shared with an LLM, Biases in answers, Vulnerability to manipulation by bad actors</t>
  </si>
  <si>
    <t>You are in xx company's marketing team, need to research competitor's products, pricing and positioning every month, and generate a report. The defined competitors are xx, xx. Add the emerging competitors to the report.</t>
  </si>
  <si>
    <t>accuracy. my day to day work (Data analysis) requires accuracy, and the data questions usually come with a lot of restrictions and conditions. AI is good with ambiguous questions but can't directly give me the data insights.</t>
  </si>
  <si>
    <t>Editing or improving text I've already written (emails, documents, presentations), Analyzing data or documents to extract insights or summaries, Getting quick answers to specific questions or looking up information</t>
  </si>
  <si>
    <t>I don’t know how to write custom ai instructions</t>
  </si>
  <si>
    <t>Finding time to get more sophisticated in my usage, like creating agents and evaluating other ai tools</t>
  </si>
  <si>
    <t>Claude, Perplexity</t>
  </si>
  <si>
    <t>Use secure company instances or enterprise plans when available, Verify that the AI tool has SSL/HTTPS encryption before using it, Anonymize information by removing identifying details</t>
  </si>
  <si>
    <t>please grab from this file &lt;insert file&gt; and summarize our competitive landscape.  Within the summary, note the competing products, pricing and positioning statements for each competitor.  Offer ways we might handle competitive situations to win business based on the positioning statements.</t>
  </si>
  <si>
    <t>Brainstorming ideas, testing concepts, or getting feedback on my thinking, Analyzing data or documents to extract insights or summaries, Editing or improving text I've already written (emails, documents, presentations), Getting quick answers to specific questions or looking up information</t>
  </si>
  <si>
    <t>Use a different AI tool to review and verify the content, Look for professional formatting and proper grammar, Check if the response uses confident language and specific details, Cross-reference key claims with reliable external sources</t>
  </si>
  <si>
    <t>I sometimes struggle when the AI response slightly misses the intent of my prompt. Even small nuances can change the direction of the output, and refining the prompt to get exactly what I need can take additional iterations.
I also find it challenging to obtain highly relevant sample case studies that closely match my specific use case. While AI provides general examples, I often need more tailored, practical scenarios that directly align with my objectives.</t>
  </si>
  <si>
    <t>Ask the same AI tool to double-check its work for accuracy, Check if the response uses confident language and specific details, Use a different AI tool to review and verify the content, Verify any calculations or data analysis independently</t>
  </si>
  <si>
    <t>Never: I usually just ask once and accept the first response</t>
  </si>
  <si>
    <t>Credibility</t>
  </si>
  <si>
    <t>Editing or improving text I've already written (emails, documents, presentations), Analyzing data or documents to extract insights or summaries, Building custom prompts, templates, or workflows that I reuse regularly, Getting quick answers to specific questions or looking up information</t>
  </si>
  <si>
    <t>Only share information that you would be comfortable sharing internally with a colleague, Anonymize information by removing identifying details, Use secure company instances or enterprise plans when available, Avoid using AI tools for anything work-related</t>
  </si>
  <si>
    <t>I don't know</t>
  </si>
  <si>
    <t>Taking time to practice new learnings (agents, automation...)</t>
  </si>
  <si>
    <t>Question 5: You have one week to create an important presentation for senior stakeholders on an unfamiliar topic. How would you use AI in this process? If you wouldn't use AI, please state that</t>
  </si>
  <si>
    <t>Question 6: What is the most useful or valuable way you are using AI in your work?</t>
  </si>
  <si>
    <t>Question 13: Imagine you are preparing for a work meeting to discuss a new initiative or proposal. Write a prompt asking AI to help you prepare for this meeting.</t>
  </si>
  <si>
    <t>Question 14: Your team frequently researches competitors' products, pricing, and positioning. You want to create a Custom GPT (or Copilot Agent/Google Gem) for this task. Write instructions for this custom AI tool that would help team members gather competitive intelligence consistently.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</si>
  <si>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&lt;user_input&gt;{{QUESTION 5 RESPONSE}}&lt;/user_input&gt;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</si>
  <si>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&lt;user_input&gt;{{QUESTION 6 RESPONSE}}&lt;/user_input&gt;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</si>
  <si>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&lt;prompt&gt;{{QUESTION 13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&lt;user_input&gt;{{QUESTION 13 RESPONSE}}&lt;/user_input&gt;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</si>
  <si>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&lt;user_input&gt;{{QUESTION 14 RESPONSE}}&lt;/user_input&gt;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</si>
</sst>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color theme="1"/>
      <name val="Arial"/>
      <scheme val="minor"/>
    </font>
    <font>
      <b/>
      <color rgb="FFFFFFFF"/>
      <name val="Arial"/>
      <scheme val="minor"/>
    </font>
    <font>
      <b/>
      <color theme="0"/>
      <name val="Arial"/>
      <scheme val="minor"/>
    </font>
    <font>
      <color theme="1"/>
      <name val="Arial"/>
      <scheme val="minor"/>
    </font>
    <font>
      <color theme="1"/>
      <name val="Arial"/>
    </font>
    <font>
      <sz val="11.0"/>
      <color rgb="FF000000"/>
      <name val="Arial"/>
    </font>
    <font>
      <color rgb="FFFFFFFF"/>
      <name val="Roboto"/>
    </font>
    <font>
      <sz val="12.0"/>
      <color rgb="FF000000"/>
      <name val="&quot;Aptos Narrow&quot;"/>
    </font>
    <font>
      <b/>
      <color theme="1"/>
      <name val="Arial"/>
    </font>
  </fonts>
  <fills count="13">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0000FF"/>
        <bgColor rgb="FF0000FF"/>
      </patternFill>
    </fill>
    <fill>
      <patternFill patternType="solid">
        <fgColor rgb="FFFF9900"/>
        <bgColor rgb="FFFF9900"/>
      </patternFill>
    </fill>
    <fill>
      <patternFill patternType="solid">
        <fgColor rgb="FF9900FF"/>
        <bgColor rgb="FF9900FF"/>
      </patternFill>
    </fill>
    <fill>
      <patternFill patternType="solid">
        <fgColor rgb="FF00FFFF"/>
        <bgColor rgb="FF00FFFF"/>
      </patternFill>
    </fill>
    <fill>
      <patternFill patternType="solid">
        <fgColor rgb="FF4A86E8"/>
        <bgColor rgb="FF4A86E8"/>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9">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2" numFmtId="0" xfId="0" applyAlignment="1" applyFill="1" applyFont="1">
      <alignment horizontal="center" readingOrder="0"/>
    </xf>
    <xf borderId="0" fillId="6" fontId="1" numFmtId="0" xfId="0" applyAlignment="1" applyFill="1" applyFont="1">
      <alignment horizontal="center" readingOrder="0"/>
    </xf>
    <xf borderId="0" fillId="7" fontId="2" numFmtId="0" xfId="0" applyAlignment="1" applyFill="1" applyFont="1">
      <alignment horizontal="center" readingOrder="0"/>
    </xf>
    <xf borderId="0" fillId="8" fontId="1" numFmtId="0" xfId="0" applyAlignment="1" applyFill="1" applyFont="1">
      <alignment horizontal="center" readingOrder="0"/>
    </xf>
    <xf borderId="0" fillId="9" fontId="1" numFmtId="0" xfId="0" applyAlignment="1" applyFill="1" applyFont="1">
      <alignment horizontal="center" readingOrder="0" shrinkToFit="0" wrapText="1"/>
    </xf>
    <xf borderId="0" fillId="5" fontId="3" numFmtId="0" xfId="0" applyAlignment="1" applyFont="1">
      <alignment horizontal="center" readingOrder="0" shrinkToFit="0" wrapText="1"/>
    </xf>
    <xf borderId="0" fillId="2" fontId="4" numFmtId="0" xfId="0" applyFont="1"/>
    <xf borderId="0" fillId="3" fontId="4" numFmtId="0" xfId="0" applyFont="1"/>
    <xf borderId="0" fillId="0" fontId="1" numFmtId="0" xfId="0" applyAlignment="1" applyFont="1">
      <alignment readingOrder="0"/>
    </xf>
    <xf borderId="0" fillId="0" fontId="1" numFmtId="164" xfId="0" applyAlignment="1" applyFont="1" applyNumberFormat="1">
      <alignment readingOrder="0"/>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vertical="bottom"/>
    </xf>
    <xf borderId="0" fillId="3" fontId="5" numFmtId="0" xfId="0" applyAlignment="1" applyFont="1">
      <alignment horizontal="right" vertical="bottom"/>
    </xf>
    <xf borderId="0" fillId="3" fontId="5" numFmtId="0" xfId="0" applyAlignment="1" applyFont="1">
      <alignment horizontal="right" vertical="bottom"/>
    </xf>
    <xf borderId="0" fillId="0" fontId="4" numFmtId="0" xfId="0" applyAlignment="1" applyFont="1">
      <alignment readingOrder="0"/>
    </xf>
    <xf borderId="0" fillId="0" fontId="1" numFmtId="0" xfId="0" applyAlignment="1" applyFont="1">
      <alignment readingOrder="0" shrinkToFit="0"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ont="1">
      <alignment readingOrder="0" shrinkToFit="0" wrapText="1"/>
    </xf>
    <xf borderId="0" fillId="3" fontId="1" numFmtId="0" xfId="0" applyAlignment="1" applyFont="1">
      <alignment readingOrder="0" shrinkToFit="0" wrapText="1"/>
    </xf>
    <xf borderId="0" fillId="0" fontId="4" numFmtId="0" xfId="0" applyFont="1"/>
    <xf borderId="0" fillId="0" fontId="6" numFmtId="0" xfId="0" applyAlignment="1" applyFont="1">
      <alignment readingOrder="0"/>
    </xf>
    <xf borderId="0" fillId="0" fontId="4" numFmtId="0" xfId="0" applyAlignment="1" applyFont="1">
      <alignment shrinkToFit="0" wrapText="0"/>
    </xf>
    <xf borderId="0" fillId="0" fontId="4" numFmtId="2" xfId="0" applyFont="1" applyNumberFormat="1"/>
    <xf borderId="0" fillId="0" fontId="4" numFmtId="4" xfId="0" applyFont="1" applyNumberFormat="1"/>
    <xf borderId="0" fillId="0" fontId="4" numFmtId="0" xfId="0" applyAlignment="1" applyFont="1">
      <alignment shrinkToFit="0" wrapText="1"/>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bottom" wrapText="0"/>
    </xf>
    <xf borderId="1" fillId="10" fontId="7" numFmtId="0" xfId="0" applyAlignment="1" applyBorder="1" applyFill="1" applyFont="1">
      <alignment horizontal="left" readingOrder="0" shrinkToFit="0" vertical="center" wrapText="0"/>
    </xf>
    <xf borderId="2" fillId="10" fontId="7" numFmtId="0" xfId="0" applyAlignment="1" applyBorder="1" applyFont="1">
      <alignment horizontal="left" readingOrder="0" shrinkToFit="0" vertical="center" wrapText="0"/>
    </xf>
    <xf borderId="0" fillId="0" fontId="5" numFmtId="0" xfId="0" applyAlignment="1" applyFont="1">
      <alignment shrinkToFit="0" vertical="top" wrapText="0"/>
    </xf>
    <xf borderId="0" fillId="0" fontId="4" numFmtId="0" xfId="0" applyAlignment="1" applyFont="1">
      <alignment shrinkToFit="0" vertical="top" wrapText="0"/>
    </xf>
    <xf borderId="0" fillId="0" fontId="8" numFmtId="0" xfId="0" applyAlignment="1" applyFont="1">
      <alignment horizontal="right" readingOrder="0" shrinkToFit="0" vertical="bottom" wrapText="0"/>
    </xf>
    <xf borderId="3" fillId="11" fontId="5" numFmtId="0" xfId="0" applyAlignment="1" applyBorder="1" applyFill="1" applyFont="1">
      <alignment shrinkToFit="0" vertical="top" wrapText="0"/>
    </xf>
    <xf borderId="4" fillId="12" fontId="5" numFmtId="0" xfId="0" applyAlignment="1" applyBorder="1" applyFill="1" applyFont="1">
      <alignment shrinkToFit="0" vertical="top" wrapText="0"/>
    </xf>
    <xf borderId="0" fillId="0" fontId="5" numFmtId="0" xfId="0" applyAlignment="1" applyFont="1">
      <alignment shrinkToFit="0" vertical="bottom" wrapText="0"/>
    </xf>
    <xf borderId="0" fillId="0" fontId="4" numFmtId="0" xfId="0" applyAlignment="1" applyFont="1">
      <alignment shrinkToFit="0" vertical="center" wrapText="0"/>
    </xf>
    <xf borderId="3" fillId="11" fontId="5" numFmtId="0" xfId="0" applyAlignment="1" applyBorder="1" applyFont="1">
      <alignment shrinkToFit="0" vertical="center" wrapText="0"/>
    </xf>
    <xf borderId="4" fillId="12" fontId="5" numFmtId="0" xfId="0" applyAlignment="1" applyBorder="1" applyFont="1">
      <alignment shrinkToFit="0" vertical="center" wrapText="0"/>
    </xf>
    <xf borderId="0" fillId="0" fontId="5" numFmtId="0" xfId="0" applyAlignment="1" applyFont="1">
      <alignment readingOrder="0" shrinkToFit="0" vertical="bottom" wrapText="0"/>
    </xf>
    <xf borderId="0" fillId="0" fontId="4" numFmtId="0" xfId="0" applyAlignment="1" applyFont="1">
      <alignment shrinkToFit="0" vertical="bottom" wrapText="0"/>
    </xf>
    <xf borderId="0" fillId="0" fontId="4" numFmtId="164" xfId="0" applyAlignment="1" applyFont="1" applyNumberFormat="1">
      <alignment shrinkToFit="0" vertical="center" wrapText="0"/>
    </xf>
    <xf borderId="3" fillId="11" fontId="5" numFmtId="164" xfId="0" applyAlignment="1" applyBorder="1" applyFont="1" applyNumberFormat="1">
      <alignment shrinkToFit="0" vertical="center" wrapText="0"/>
    </xf>
    <xf borderId="5" fillId="11" fontId="5" numFmtId="0" xfId="0" applyAlignment="1" applyBorder="1" applyFont="1">
      <alignment shrinkToFit="0" vertical="center" wrapText="0"/>
    </xf>
    <xf borderId="4" fillId="12" fontId="5" numFmtId="164" xfId="0" applyAlignment="1" applyBorder="1" applyFont="1" applyNumberFormat="1">
      <alignment shrinkToFit="0" vertical="center" wrapText="0"/>
    </xf>
    <xf borderId="6" fillId="12" fontId="5" numFmtId="0" xfId="0" applyAlignment="1" applyBorder="1" applyFont="1">
      <alignment shrinkToFit="0" vertical="center" wrapText="0"/>
    </xf>
    <xf borderId="7" fillId="11" fontId="5" numFmtId="164" xfId="0" applyAlignment="1" applyBorder="1" applyFont="1" applyNumberFormat="1">
      <alignment shrinkToFit="0" vertical="center" wrapText="0"/>
    </xf>
    <xf borderId="8" fillId="11" fontId="5" numFmtId="0" xfId="0" applyAlignment="1" applyBorder="1" applyFont="1">
      <alignment shrinkToFit="0" vertical="center" wrapText="0"/>
    </xf>
    <xf borderId="0" fillId="2" fontId="1" numFmtId="0" xfId="0" applyAlignment="1" applyFont="1">
      <alignment horizontal="center" readingOrder="0" shrinkToFit="0" wrapText="1"/>
    </xf>
    <xf borderId="0" fillId="3" fontId="1" numFmtId="0" xfId="0" applyAlignment="1" applyFont="1">
      <alignment horizontal="center" readingOrder="0" shrinkToFit="0" wrapText="1"/>
    </xf>
    <xf borderId="0" fillId="4" fontId="1" numFmtId="0" xfId="0" applyAlignment="1" applyFont="1">
      <alignment readingOrder="0" shrinkToFit="0" wrapText="1"/>
    </xf>
    <xf borderId="0" fillId="6" fontId="1" numFmtId="0" xfId="0" applyAlignment="1" applyFont="1">
      <alignment horizontal="center" readingOrder="0" shrinkToFit="0" wrapText="1"/>
    </xf>
    <xf borderId="0" fillId="7" fontId="2" numFmtId="0" xfId="0" applyAlignment="1" applyFont="1">
      <alignment horizontal="center" readingOrder="0" shrinkToFit="0" wrapText="1"/>
    </xf>
    <xf borderId="0" fillId="8" fontId="1" numFmtId="0" xfId="0" applyAlignment="1" applyFont="1">
      <alignment horizontal="center" readingOrder="0" shrinkToFit="0" wrapText="1"/>
    </xf>
    <xf borderId="0" fillId="5" fontId="2" numFmtId="0" xfId="0" applyAlignment="1" applyFont="1">
      <alignment horizontal="center" readingOrder="0" shrinkToFit="0" wrapText="1"/>
    </xf>
    <xf borderId="0" fillId="0" fontId="1" numFmtId="0" xfId="0" applyAlignment="1" applyFont="1">
      <alignment horizontal="center" readingOrder="0" shrinkToFit="0" wrapText="1"/>
    </xf>
    <xf borderId="0" fillId="0" fontId="9" numFmtId="0" xfId="0" applyAlignment="1" applyFont="1">
      <alignment horizontal="center" shrinkToFit="0" vertical="bottom" wrapText="1"/>
    </xf>
    <xf quotePrefix="1" borderId="0" fillId="0" fontId="4" numFmtId="0" xfId="0" applyAlignment="1" applyFont="1">
      <alignment readingOrder="0"/>
    </xf>
    <xf borderId="0" fillId="0" fontId="9" numFmtId="0" xfId="0" applyAlignment="1" applyFont="1">
      <alignment readingOrder="0" vertical="bottom"/>
    </xf>
    <xf borderId="0" fillId="0" fontId="9" numFmtId="0" xfId="0" applyAlignment="1" applyFont="1">
      <alignment readingOrder="0" shrinkToFit="0" vertical="top" wrapText="1"/>
    </xf>
    <xf borderId="0" fillId="0" fontId="5" numFmtId="0" xfId="0" applyAlignment="1" applyFont="1">
      <alignment readingOrder="0" shrinkToFit="0" vertical="top" wrapText="1"/>
    </xf>
    <xf borderId="0" fillId="0" fontId="4"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ponse Scor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5014" displayName="Table1" name="Table1" id="1">
  <tableColumns count="9">
    <tableColumn name="Personal Identifier" id="1"/>
    <tableColumn name="Drill 1 Prompt Template" id="2"/>
    <tableColumn name="Claude Score 1" id="3"/>
    <tableColumn name="Drill 2 Prompt Template" id="4"/>
    <tableColumn name="Claude Score 2" id="5"/>
    <tableColumn name="Drill 3 Prompt Template" id="6"/>
    <tableColumn name="Claude Score 3" id="7"/>
    <tableColumn name="Drill 4 Prompt Template" id="8"/>
    <tableColumn name="Claude Score 4" id="9"/>
  </tableColumns>
  <tableStyleInfo name="Response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11" max="11" width="25.25"/>
  </cols>
  <sheetData>
    <row r="1">
      <c r="B1" s="1" t="s">
        <v>0</v>
      </c>
      <c r="O1" s="1"/>
      <c r="P1" s="1"/>
      <c r="Q1" s="1"/>
      <c r="R1" s="1"/>
      <c r="S1" s="1"/>
      <c r="T1" s="1"/>
      <c r="U1" s="1"/>
      <c r="V1" s="2" t="s">
        <v>1</v>
      </c>
      <c r="AF1" s="2"/>
      <c r="AG1" s="3" t="s">
        <v>2</v>
      </c>
      <c r="AT1" s="4" t="s">
        <v>3</v>
      </c>
      <c r="AW1" s="5" t="s">
        <v>4</v>
      </c>
      <c r="AY1" s="6" t="s">
        <v>5</v>
      </c>
      <c r="BC1" s="7" t="s">
        <v>6</v>
      </c>
      <c r="BW1" s="8" t="s">
        <v>7</v>
      </c>
      <c r="CA1" s="9" t="s">
        <v>8</v>
      </c>
    </row>
    <row r="2">
      <c r="U2" s="10"/>
      <c r="AF2" s="11"/>
      <c r="AT2" s="12" t="s">
        <v>9</v>
      </c>
      <c r="AU2" s="12"/>
      <c r="AV2" s="13">
        <v>2.0</v>
      </c>
    </row>
    <row r="3">
      <c r="A3" s="12" t="s">
        <v>10</v>
      </c>
      <c r="C3" s="14">
        <v>0.5</v>
      </c>
      <c r="D3" s="15"/>
      <c r="E3" s="16"/>
      <c r="F3" s="17">
        <v>1.5</v>
      </c>
      <c r="G3" s="15"/>
      <c r="H3" s="14">
        <v>1.0</v>
      </c>
      <c r="I3" s="15"/>
      <c r="J3" s="14">
        <v>1.0</v>
      </c>
      <c r="K3" s="15"/>
      <c r="L3" s="15"/>
      <c r="M3" s="15"/>
      <c r="N3" s="16"/>
      <c r="O3" s="18">
        <v>2.0</v>
      </c>
      <c r="P3" s="15"/>
      <c r="Q3" s="15"/>
      <c r="R3" s="15"/>
      <c r="S3" s="16"/>
      <c r="T3" s="18">
        <v>4.0</v>
      </c>
      <c r="U3" s="10"/>
      <c r="W3" s="19">
        <v>2.0</v>
      </c>
      <c r="Y3" s="19">
        <v>2.0</v>
      </c>
      <c r="AA3" s="19">
        <v>2.0</v>
      </c>
      <c r="AC3" s="19">
        <v>2.0</v>
      </c>
      <c r="AE3" s="19">
        <v>2.0</v>
      </c>
      <c r="AF3" s="11"/>
      <c r="AH3" s="19">
        <v>1.5</v>
      </c>
      <c r="AM3" s="19">
        <v>3.5</v>
      </c>
      <c r="AR3" s="19">
        <v>5.0</v>
      </c>
      <c r="AT3" s="12" t="s">
        <v>11</v>
      </c>
      <c r="AU3" s="12"/>
      <c r="AV3" s="12">
        <v>1.5</v>
      </c>
    </row>
    <row r="4">
      <c r="A4" s="12" t="s">
        <v>12</v>
      </c>
      <c r="C4" s="14">
        <v>1.0</v>
      </c>
      <c r="D4" s="15"/>
      <c r="E4" s="16"/>
      <c r="F4" s="17">
        <v>1.0</v>
      </c>
      <c r="G4" s="15"/>
      <c r="H4" s="14">
        <v>1.0</v>
      </c>
      <c r="I4" s="15"/>
      <c r="J4" s="14">
        <v>1.0</v>
      </c>
      <c r="K4" s="15"/>
      <c r="L4" s="15"/>
      <c r="M4" s="15"/>
      <c r="N4" s="16"/>
      <c r="O4" s="18">
        <v>1.0</v>
      </c>
      <c r="P4" s="15"/>
      <c r="Q4" s="15"/>
      <c r="R4" s="15"/>
      <c r="S4" s="16"/>
      <c r="T4" s="18">
        <v>1.0</v>
      </c>
      <c r="U4" s="10"/>
      <c r="W4" s="19">
        <v>1.0</v>
      </c>
      <c r="Y4" s="19">
        <v>1.0</v>
      </c>
      <c r="AA4" s="19">
        <v>1.0</v>
      </c>
      <c r="AC4" s="19">
        <v>1.0</v>
      </c>
      <c r="AE4" s="19">
        <v>1.0</v>
      </c>
      <c r="AF4" s="11"/>
      <c r="AH4" s="19">
        <v>1.0</v>
      </c>
      <c r="AM4" s="19">
        <v>1.0</v>
      </c>
      <c r="AR4" s="19">
        <v>1.0</v>
      </c>
      <c r="AT4" s="12" t="s">
        <v>13</v>
      </c>
      <c r="AU4" s="12"/>
      <c r="AV4" s="12">
        <v>1.5</v>
      </c>
    </row>
    <row r="5">
      <c r="K5" s="20" t="s">
        <v>14</v>
      </c>
      <c r="P5" s="12" t="s">
        <v>15</v>
      </c>
      <c r="U5" s="10"/>
      <c r="AF5" s="11"/>
      <c r="AI5" s="12" t="s">
        <v>16</v>
      </c>
      <c r="AN5" s="12" t="s">
        <v>17</v>
      </c>
      <c r="AT5" s="21"/>
      <c r="AU5" s="21"/>
    </row>
    <row r="6">
      <c r="A6" s="22" t="s">
        <v>18</v>
      </c>
      <c r="B6" s="22" t="s">
        <v>19</v>
      </c>
      <c r="C6" s="23" t="s">
        <v>20</v>
      </c>
      <c r="D6" s="22" t="s">
        <v>21</v>
      </c>
      <c r="E6" s="23" t="s">
        <v>22</v>
      </c>
      <c r="F6" s="23" t="s">
        <v>23</v>
      </c>
      <c r="G6" s="22" t="s">
        <v>24</v>
      </c>
      <c r="H6" s="23" t="s">
        <v>25</v>
      </c>
      <c r="I6" s="22" t="s">
        <v>26</v>
      </c>
      <c r="J6" s="23" t="s">
        <v>27</v>
      </c>
      <c r="K6" s="22" t="s">
        <v>28</v>
      </c>
      <c r="L6" s="23" t="s">
        <v>29</v>
      </c>
      <c r="M6" s="23" t="s">
        <v>30</v>
      </c>
      <c r="N6" s="23" t="s">
        <v>31</v>
      </c>
      <c r="O6" s="23" t="s">
        <v>32</v>
      </c>
      <c r="P6" s="23" t="s">
        <v>33</v>
      </c>
      <c r="Q6" s="23" t="s">
        <v>34</v>
      </c>
      <c r="R6" s="23" t="s">
        <v>35</v>
      </c>
      <c r="S6" s="23" t="s">
        <v>36</v>
      </c>
      <c r="T6" s="23" t="s">
        <v>37</v>
      </c>
      <c r="U6" s="24" t="s">
        <v>38</v>
      </c>
      <c r="V6" s="22" t="s">
        <v>39</v>
      </c>
      <c r="W6" s="23" t="s">
        <v>40</v>
      </c>
      <c r="X6" s="22" t="s">
        <v>41</v>
      </c>
      <c r="Y6" s="23" t="s">
        <v>42</v>
      </c>
      <c r="Z6" s="22" t="s">
        <v>43</v>
      </c>
      <c r="AA6" s="23" t="s">
        <v>44</v>
      </c>
      <c r="AB6" s="22" t="s">
        <v>45</v>
      </c>
      <c r="AC6" s="23" t="s">
        <v>46</v>
      </c>
      <c r="AD6" s="22" t="s">
        <v>47</v>
      </c>
      <c r="AE6" s="23" t="s">
        <v>48</v>
      </c>
      <c r="AF6" s="25" t="s">
        <v>49</v>
      </c>
      <c r="AG6" s="22" t="s">
        <v>50</v>
      </c>
      <c r="AH6" s="23" t="s">
        <v>51</v>
      </c>
      <c r="AI6" s="22" t="s">
        <v>52</v>
      </c>
      <c r="AJ6" s="23" t="s">
        <v>53</v>
      </c>
      <c r="AK6" s="23" t="s">
        <v>54</v>
      </c>
      <c r="AL6" s="23" t="s">
        <v>55</v>
      </c>
      <c r="AM6" s="23" t="s">
        <v>56</v>
      </c>
      <c r="AN6" s="22" t="s">
        <v>57</v>
      </c>
      <c r="AO6" s="23" t="s">
        <v>58</v>
      </c>
      <c r="AP6" s="23" t="s">
        <v>59</v>
      </c>
      <c r="AQ6" s="23" t="s">
        <v>60</v>
      </c>
      <c r="AR6" s="23" t="s">
        <v>61</v>
      </c>
      <c r="AS6" s="23" t="s">
        <v>62</v>
      </c>
      <c r="AT6" s="23" t="s">
        <v>63</v>
      </c>
      <c r="AU6" s="23" t="s">
        <v>64</v>
      </c>
      <c r="AV6" s="23" t="s">
        <v>65</v>
      </c>
      <c r="AW6" s="22" t="str">
        <f>'Raw Data'!U2</f>
        <v>What limits your AI usage or makes you hesitate using AI?</v>
      </c>
      <c r="AX6" s="22" t="str">
        <f>'Raw Data'!V2</f>
        <v>If you are using AI at work, what’s the main reason you’re using it? If you are not using AI at work, what’s the main reason that you are not using it?</v>
      </c>
      <c r="AY6" s="22" t="str">
        <f>'Raw Data'!W2</f>
        <v>What are the top 3 AI use cases that you're performing today that are significantly improving your work?</v>
      </c>
      <c r="AZ6" s="22" t="str">
        <f>'Raw Data'!X2</f>
        <v>What could your company do to increase your use of and proficiency with AI?</v>
      </c>
      <c r="BA6" s="22" t="str">
        <f>'Raw Data'!Y2</f>
        <v>Describe a repetitive, manual process on your team which creates frustration or inefficiency and could benefit from AI assistance.  What KPIs could be used to measure AI’s impact?</v>
      </c>
      <c r="BB6" s="22" t="str">
        <f>'Raw Data'!Z2</f>
        <v>If AI could save you 5-10 hours per week at work, what work related tasks would you pursue with that extra time?</v>
      </c>
      <c r="BC6" s="22" t="str">
        <f>'Raw Data'!AA2</f>
        <v>Does your company have an AI strategy?</v>
      </c>
      <c r="BD6" s="22" t="str">
        <f>'Raw Data'!AB2</f>
        <v>What visible actions have you noticed as a result of your organization's AI strategy?</v>
      </c>
      <c r="BE6" s="22" t="str">
        <f>'Raw Data'!AC2</f>
        <v>How well are your AI initiatives connected to your organization’s business goals?</v>
      </c>
      <c r="BF6" s="22" t="str">
        <f>'Raw Data'!AD2</f>
        <v>How clearly has your organization explained how your role will evolve as AI is implemented?</v>
      </c>
      <c r="BG6" s="22" t="str">
        <f>'Raw Data'!AE2</f>
        <v>How does your senior leadership team demonstrate their own AI usage?</v>
      </c>
      <c r="BH6" s="22" t="str">
        <f>'Raw Data'!AF2</f>
        <v>How is your company’s AI strategy being implemented across the organization?</v>
      </c>
      <c r="BI6" s="22" t="str">
        <f>'Raw Data'!AG2</f>
        <v>How well has your company translated its AI strategy into specific usage policies for employees?</v>
      </c>
      <c r="BJ6" s="22" t="str">
        <f>'Raw Data'!AH2</f>
        <v>How well does your organization manage AI risks and ethical considerations?</v>
      </c>
      <c r="BK6" s="22" t="str">
        <f>'Raw Data'!AI2</f>
        <v>Who is primarily responsible for driving AI adoption and change management at your company?</v>
      </c>
      <c r="BL6" s="22" t="str">
        <f>'Raw Data'!AJ2</f>
        <v>How effective has this approach been at driving AI adoption?</v>
      </c>
      <c r="BM6" s="22" t="str">
        <f>'Raw Data'!AK2</f>
        <v>Have you received any training or support from your company on how to use AI?</v>
      </c>
      <c r="BN6" s="22" t="str">
        <f>'Raw Data'!AL2</f>
        <v>How does your company approach AI usage expectations?</v>
      </c>
      <c r="BO6" s="22" t="str">
        <f>'Raw Data'!AM2</f>
        <v>How well do teams in your organization collaborate to discover and share AI use cases?</v>
      </c>
      <c r="BP6" s="22" t="str">
        <f>'Raw Data'!AN2</f>
        <v>Which of the following best describes how you feel about AI?</v>
      </c>
      <c r="BQ6" s="22" t="str">
        <f>'Raw Data'!AO2</f>
        <v>Do you trust AI to support you in your work?</v>
      </c>
      <c r="BR6" s="22" t="str">
        <f>'Raw Data'!AP2</f>
        <v>Which of the following are reasons that limit your AI usage or make you hesitate using AI?</v>
      </c>
      <c r="BS6" s="22" t="str">
        <f>'Raw Data'!AQ2</f>
        <v>Which LLMs are you currently using? Select all that apply.</v>
      </c>
      <c r="BT6" s="22" t="str">
        <f>'Raw Data'!AR2</f>
        <v>Do you know what AI tools are available at your company and how to access them?</v>
      </c>
      <c r="BU6" s="22" t="str">
        <f>'Raw Data'!AS2</f>
        <v>How satisfied are you with the AI tools available to you at work?</v>
      </c>
      <c r="BV6" s="22" t="str">
        <f>'Raw Data'!AT2</f>
        <v>How well do you understand the potential benefits of AI for your specific role?</v>
      </c>
      <c r="BW6" s="22" t="str">
        <f>'Raw Data'!C2</f>
        <v>What department best describes where you currently work?</v>
      </c>
      <c r="BX6" s="22" t="str">
        <f>'Raw Data'!D2</f>
        <v>What function best describes your current role?</v>
      </c>
      <c r="BY6" s="22" t="str">
        <f>'Raw Data'!E2</f>
        <v>What office do you work in?</v>
      </c>
      <c r="BZ6" s="22" t="str">
        <f>'Raw Data'!F2</f>
        <v>Which of the following best describes your current job level within your organization?</v>
      </c>
      <c r="CA6" s="22" t="str">
        <f>'Raw Data'!AU2</f>
        <v>Where do you struggle most today when using AI in your day to day work?</v>
      </c>
      <c r="CB6" s="22" t="str">
        <f>'Raw Data'!AV2</f>
        <v>What AI tools are you currently using outside of our approved or provided stack, if any?</v>
      </c>
      <c r="CC6" s="22" t="str">
        <f>'Raw Data'!AW2</f>
        <v>Section AI courses help me use AI more effectively in my role</v>
      </c>
    </row>
    <row r="7" ht="15.75" customHeight="1">
      <c r="A7" s="26">
        <f>'Raw Data'!$A3</f>
        <v>1</v>
      </c>
      <c r="B7" s="26" t="str">
        <f>'Raw Data'!$G3</f>
        <v>Daily</v>
      </c>
      <c r="C7" s="26">
        <f t="shared" ref="C7:C104" si="1">if($B7="Never or rarely",0,if($B7="A few times a month",0.25,if($B7="Weekly",0.5,if($B7="Several times a week",0.75,if($B7="Daily",1)))))</f>
        <v>1</v>
      </c>
      <c r="D7" s="26" t="str">
        <f>'Raw Data'!$H3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7" s="26">
        <f t="shared" ref="E7:E104" si="2">if(isnumber(search("I don't use AI for work",$D7)),0,if(or(isnumber(search("Vibe Coding",$D7)),isnumber(search("custom prompts",$D7))),3,if(or(isnumber(search("brainstorming ideas",$D7)),isnumber(search("analyzing data",$D7)),isnumber(search("Creating first drafts",$D7))),2,1)))</f>
        <v>3</v>
      </c>
      <c r="F7" s="27">
        <f t="shared" ref="F7:F104" si="3">$E7/3</f>
        <v>1</v>
      </c>
      <c r="G7" s="26" t="str">
        <f>'Raw Data'!$I3</f>
        <v>I've built custom AI tools (i.e. CustomGPTs, Copilot Agents) for repetitive tasks</v>
      </c>
      <c r="H7" s="26">
        <f t="shared" ref="H7:H104" si="4">if($G7="I don't use AI for work",0,if($G7="I create fresh prompts each time I use AI",0.25,if($G7="I maintain a library of prompts that I reuse frequently",0.5,if($G7="I've built custom AI tools (i.e. CustomGPTs, Copilot Agents) for repetitive tasks",0.75,if($G7="I've created workflows that connect AI with other systems (Slack, Salesforce, email) using integrations or code",1)))))</f>
        <v>0.75</v>
      </c>
      <c r="I7" s="26" t="str">
        <f>'Raw Data'!$J3</f>
        <v>Create a systematic process where AI handles data analysis and summary generation consistently</v>
      </c>
      <c r="J7" s="26">
        <f t="shared" ref="J7:J104" si="5">if($I7="Ask AI to write the summary after you've analyzed all the data",0.33,if($I7="Use AI to help analyze each data source, then compile results manually",0.67,if($I7="Create a systematic process where AI handles data analysis and summary generation consistently",1,if($I7="I wouldn't use AI for this task",0))))</f>
        <v>1</v>
      </c>
      <c r="K7" s="26" t="str">
        <f>'Raw Data'!$K3</f>
        <v>Use AI to help me get familiar with the topic, then use AI to help me create the outline of the presentation based on what I need to present. Review the results and tweak it as needed. Then I use AI to create the initial presentation and help me tweak all the way. Then use ai to help me rehearse the presentation to get the delivery to be as crisp and to the point as possible.</v>
      </c>
      <c r="L7" s="26" t="s">
        <v>66</v>
      </c>
      <c r="M7" s="28" t="str">
        <f>substitute('Prompt Template'!$A$2,$K$5,$L7)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help me get familiar with the topic, then use AI to help me create the outline of the presentation based on what I need to present. Review the results and tweak it as needed. Then I use AI to create the initial presentation and help me tweak all the way. Then use ai to help me rehearse the presentation to get the delivery to be as crisp and to the point as possible.&lt;/user_input&gt;</v>
      </c>
      <c r="N7" s="26">
        <f t="array" ref="N7">index('Response Scoring'!$C:$C,match($A7,'Response Scoring'!$A:$A,0))</f>
        <v>3</v>
      </c>
      <c r="O7" s="29">
        <f t="shared" ref="O7:O104" si="6">$N7/3</f>
        <v>1</v>
      </c>
      <c r="P7" s="26" t="str">
        <f>'Raw Data'!$L3</f>
        <v>To create an initial event brief and estimate for a 3rd party Tradeshow or a hosted event. Help me connect all dots, what is the audience, what are the solutions we should feature, what are the key messaging themes and relevant campaign &amp; content I can feature. What should our presence look like, how much budget do we need, etc.</v>
      </c>
      <c r="Q7" s="26" t="s">
        <v>67</v>
      </c>
      <c r="R7" s="28" t="str">
        <f>substitute('Prompt Template'!$B$2,$P$5,$Q7)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an initial event brief and estimate for a 3rd party Tradeshow or a hosted event. Help me connect all dots, what is the audience, what are the solutions we should feature, what are the key messaging themes and relevant campaign &amp; content I can feature. What should our presence look like, how much budget do we need, etc.&lt;/user_input&gt;</v>
      </c>
      <c r="S7" s="26">
        <f t="array" ref="S7">index('Response Scoring'!$E:$E,match($A7,'Response Scoring'!$A:$A,0))</f>
        <v>2</v>
      </c>
      <c r="T7" s="29">
        <f t="shared" ref="T7:T104" si="7">$S7/3</f>
        <v>0.6666666667</v>
      </c>
      <c r="U7" s="29">
        <f t="shared" ref="U7:U104" si="8">sumproduct($B7:$T7,$B$3:$T$3)</f>
        <v>8.416666667</v>
      </c>
      <c r="V7" s="26" t="str">
        <f>'Raw Data'!$M3</f>
        <v>Providing real-time updates on breaking news events happening right now</v>
      </c>
      <c r="W7" s="26">
        <f t="shared" ref="W7:W104" si="9">if($V7="Analyzing presentation slides to evaluate both the visual design and written content for consistency",1,0)</f>
        <v>0</v>
      </c>
      <c r="X7" s="26" t="str">
        <f>'Raw Data'!$N3</f>
        <v>Hallucinations (generating false or misleading information), Biases in answers, Data privacy concerns when information is shared with an LLM, Vulnerability to manipulation by bad actors</v>
      </c>
      <c r="Y7" s="26">
        <f t="shared" ref="Y7:Y104" si="10">if(isnumber(search("Hallucinations",$X7)),0.25)+if(isnumber(search("Biases in answers",$X7)),0.25,0)+if(isnumber(search("Data privacy concerns",$X7)),0.25)+if(isnumber(search("Vulnerability",$X7)),0.25)</f>
        <v>1</v>
      </c>
      <c r="Z7" s="26" t="str">
        <f>'Raw Data'!$O3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7" s="29">
        <f t="shared" ref="AA7:AA104" si="11">if(or(isnumber(search("Avoid using AI tools",$Z7)),isnumber(search("Verify that the AI tool",$Z7))),0,(if(isnumber(SEARCH("Anonymize information",$Z7)),0.5)+if(isnumber(search("Use secure company instances",$Z7)),0.5)))</f>
        <v>0</v>
      </c>
      <c r="AB7" s="26" t="str">
        <f>'Raw Data'!$P3</f>
        <v>Always: I routinely cross-check AI outputs with reliable sources</v>
      </c>
      <c r="AC7" s="26">
        <f t="shared" ref="AC7:AC104" si="12">if($AB7="Never: I typically trust the output as is",0,if($AB7="Rarely: I only verify if something doesn't sound right",0.33,if($AB7="Sometimes: I do a quick check against known data or references",0.67,if($AB7="Always: I routinely cross-check AI outputs with reliable sources",1))))</f>
        <v>1</v>
      </c>
      <c r="AD7" s="26" t="str">
        <f>'Raw Data'!$Q3</f>
        <v>Ask the same AI tool to double-check its work for accuracy, Verify any calculations or data analysis independently, Cross-reference key claims with reliable external sources, Check if the response uses confident language and specific details, Use a different AI tool to review and verify the content, Look for professional formatting and proper grammar</v>
      </c>
      <c r="AE7" s="26">
        <f t="shared" ref="AE7:AE104" si="13">if(or(isnumber(search("Check if the response uses confident language",$AD7)),isnumber(search("Look for professional formatting",$AD7))),0,(if(isnumber(search("Use a different AI tool",$AD7)),0.25)+if(isnumber(search("Cross-reference key claims",$AD7)),0.25)+if(isnumber(search("Verify any calculations",$AD7)),0.25)+if(isnumber(search("Ask the same AI tool",$AD7)),0.25)))</f>
        <v>0</v>
      </c>
      <c r="AF7" s="30">
        <f t="shared" ref="AF7:AF104" si="14">sumproduct($V7:$AE7,$V$3:$AE$3)</f>
        <v>4</v>
      </c>
      <c r="AG7" s="26" t="str">
        <f>'Raw Data'!$R3</f>
        <v>Frequently: I systematically refine prompts until I'm satisfied</v>
      </c>
      <c r="AH7" s="26">
        <f t="shared" ref="AH7:AH104" si="15">if($AG7="Never: I usually just ask once and accept the first response",0,if($AG7="Rarely: I only tweak the prompt if something feels obviously off",0.33,if($AG7="Sometimes: I iterate 2-3 times to reach a good result",0.67,if($AG7="Frequently: I systematically refine prompts until I'm satisfied",1))))</f>
        <v>1</v>
      </c>
      <c r="AI7" s="26" t="str">
        <f>'Raw Data'!$S3</f>
        <v>I’m prepping for a meeting on [initiative / event / program name] and I want you to act like a no-BS executive sparring partner.
Context you need:
– My role: I own global field marketing events (tradeshows + hosted events).
– Audience: senior marketing leaders + finance-minded execs who care about ROI, scale, and focus.
– What I’m trying to get out of the meeting: [approval / funding / alignment / green light].
– Reality check: I’ll get challenged on cost, impact, duplication with digital, and “why now?”.
What I want from you:
Help me articulate the real business value of this initiative (pipeline, influence, customer trust, not fluffy brand talk).
Give me the top 3–5 arguments I should lead with, using event benchmarks, assumptions, or industry stats where possible.
Play devil’s advocate: what are the strongest objections I’ll hear (budget pressure, event fatigue, scale, measurement)? Don’t go easy.
Give me sharp, credible responses to those objections—short enough to land in an exec room.
Help me explain this in under 60 seconds to someone who thinks events are expensive dinners with badges.
Call out any weak spots in my plan that could get exposed in the meeting so I can fix them before I walk in.
Be practical, direct, and executive-ready. If something doesn’t hold up under scrutiny, say it. I’d rather hear it from you than from Finance in the room.</v>
      </c>
      <c r="AJ7" s="26" t="s">
        <v>68</v>
      </c>
      <c r="AK7" s="28" t="str">
        <f>substitute('Prompt Template'!$C$2,$AI$5,$AJ7)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prepping for a meeting on [initiative / event / program name] and I want you to act like a no-BS executive sparring partner.
Context you need:
– My role: I own global field marketing events (tradeshows + hosted events).
– Audience: senior marketing leaders + finance-minded execs who care about ROI, scale, and focus.
– What I’m trying to get out of the meeting: [approval / funding / alignment / green light].
– Reality check: I’ll get challenged on cost, impact, duplication with digital, and “why now?”.
What I want from you:
Help me articulate the real business value of this initiative (pipeline, influence, customer trust, not fluffy brand talk).
Give me the top 3–5 arguments I should lead with, using event benchmarks, assumptions, or industry stats where possible.
Play devil’s advocate: what are the strongest objections I’ll hear (budget pressure, event fatigue, scale, measurement)? Don’t go easy.
Give me sharp, credible responses to those objections—short enough to land in an exec room.
Help me explain this in under 60 seconds to someone who thinks events are expensive dinners with badges.
Call out any weak spots in my plan that could get exposed in the meeting so I can fix them before I walk in.
Be practical, direct, and executive-ready. If something doesn’t hold up under scrutiny, say it. I’d rather hear it from you than from Finance in the room.&lt;/prompt&gt;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prepping for a meeting on [initiative / event / program name] and I want you to act like a no-BS executive sparring partner.
Context you need:
– My role: I own global field marketing events (tradeshows + hosted events).
– Audience: senior marketing leaders + finance-minded execs who care about ROI, scale, and focus.
– What I’m trying to get out of the meeting: [approval / funding / alignment / green light].
– Reality check: I’ll get challenged on cost, impact, duplication with digital, and “why now?”.
What I want from you:
Help me articulate the real business value of this initiative (pipeline, influence, customer trust, not fluffy brand talk).
Give me the top 3–5 arguments I should lead with, using event benchmarks, assumptions, or industry stats where possible.
Play devil’s advocate: what are the strongest objections I’ll hear (budget pressure, event fatigue, scale, measurement)? Don’t go easy.
Give me sharp, credible responses to those objections—short enough to land in an exec room.
Help me explain this in under 60 seconds to someone who thinks events are expensive dinners with badges.
Call out any weak spots in my plan that could get exposed in the meeting so I can fix them before I walk in.
Be practical, direct, and executive-ready. If something doesn’t hold up under scrutiny, say it. I’d rather hear it from you than from Finance in the room.&lt;/user_input&gt;</v>
      </c>
      <c r="AL7" s="26">
        <f t="array" ref="AL7">index('Response Scoring'!$G:$G,match($A7,'Response Scoring'!$A:$A,0))</f>
        <v>5</v>
      </c>
      <c r="AM7" s="26">
        <f t="shared" ref="AM7:AM104" si="16">$AL7/5</f>
        <v>1</v>
      </c>
      <c r="AN7" s="26" t="str">
        <f>'Raw Data'!$T3</f>
        <v>Role: Competitive Intelligence Analyst – Events &amp; Experiences
Purpose &amp; Mission
You are a Competitive Intelligence Analyst specialized in B2B events, trade shows, and hosted experiences. Your mission is to help Autodesk field marketing teams systematically gather, structure, and analyze competitor intelligence related to events strategy, event formats and scale, messaging and positioning, pricing and sponsorship models, experience design, activation tactics, and audience targeting. You operate as a field-ready analyst: pragmatic, skeptical, and allergic to buzzwords.
Scope of Analysis
For every competitor or event, focus only on what matters operationally and strategically.
Event Strategy
Identify the event type (trade show, hosted event, roadshow, hybrid, owned conference). Determine the role of the event in the competitor’s GTM motion (brand, pipeline, customer expansion, ecosystem). Assess the level of investment (low-touch vs flagship).
Messaging &amp; Positioning
Capture the core event message in one sentence without marketing fluff. Identify whether the focus is product, platform, or ecosystem. Note vertical or persona targeting (AEC, M&amp;E, Manufacturing, etc.). Analyze language used on signage, booths, sessions, and demos. Explicitly call out vague, inflated, or meaningless messaging.
Experience &amp; Execution
Document booth size, layout, and visitor flow. Analyze demo strategy (scripted vs exploratory). Note staffing mix (sales, product, executives). Capture interactive elements such as hands-on demos, storytelling, theater, or community engagement.
Pricing &amp; Commercial Model
Identify sponsorship tiers and pricing where available. Note paid vs free attendance. Capture upsell mechanics such as VIP access, add-ons, or exclusives. Assess partner monetization approach. Clearly state when pricing data is estimated or unavailable.
Audience &amp; Reach
Identify target audience by role and seniority. Assess customer vs partner vs prospect mix. Note geographic focus. Evaluate attendance quality using observable signals such as crowd density and session engagement rather than vanity metrics.
Standard Output Format
All outputs must follow this structure.
Competitor Snapshot
Company:
Event:
Location / Date:
Event Type:
Estimated Scale:
What They’re Trying to Achieve
Provide one concise paragraph stating the likely business objective of the event. No marketing language.
Key Observations
List bullet points. Clearly separate what was directly observed from what is inferred.
Positioning in Plain English
Explain their event message as if briefing a sales rep in 20 seconds.
Strengths
List what they execute well and where they are objectively strong.
Weaknesses &amp; Gaps
Call out what is unclear, underwhelming, poorly executed, or overhyped. Highlight disconnects between message and execution.
Implications for Autodesk Events
List what Autodesk should steal, what to avoid, and what Autodesk already does better and should double down on.
Confidence Level
State High, Medium, or Low based on data quality and depth of observation.
Evidence Rules
Always distinguish facts from assumptions. Never present guesses as facts. Clearly flag estimates. Explicitly state when data is missing. “No data” is acceptable and preferred over speculation.
Tone &amp; Behavior
Be pragmatic and direct. Default to healthy skepticism. Use short, clear sentences. Prefer clarity over elegance. If something is average, say it. If something is strong, explain why. Light dry humour is acceptable. This is field intelligence, not academic theory.
Comparison Mode
When comparing competitors or events, use side-by-side tables. Normalize for scale differences. Avoid false equivalency between small booths and flagship conferences.
What You Must Never Do
Do not provide generic best practices. Do not regurgitate marketing frameworks. Do not hype without evidence. Do not include theory disconnected from execution, cost, or impact.
Final Check
Before completing any response, ensure it would help a field marketer make a better decision within the next week. If not, tighten the analysis.</v>
      </c>
      <c r="AO7" s="26" t="s">
        <v>69</v>
      </c>
      <c r="AP7" s="28" t="str">
        <f>substitute('Prompt Template'!$D$2,$AN$5,$AO7)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Competitive Intelligence Analyst – Events &amp; Experiences
Purpose &amp; Mission
You are a Competitive Intelligence Analyst specialized in B2B events, trade shows, and hosted experiences. Your mission is to help Autodesk field marketing teams systematically gather, structure, and analyze competitor intelligence related to events strategy, event formats and scale, messaging and positioning, pricing and sponsorship models, experience design, activation tactics, and audience targeting. You operate as a field-ready analyst: pragmatic, skeptical, and allergic to buzzwords.
Scope of Analysis
For every competitor or event, focus only on what matters operationally and strategically.
Event Strategy
Identify the event type (trade show, hosted event, roadshow, hybrid, owned conference). Determine the role of the event in the competitor’s GTM motion (brand, pipeline, customer expansion, ecosystem). Assess the level of investment (low-touch vs flagship).
Messaging &amp; Positioning
Capture the core event message in one sentence without marketing fluff. Identify whether the focus is product, platform, or ecosystem. Note vertical or persona targeting (AEC, M&amp;E, Manufacturing, etc.). Analyze language used on signage, booths, sessions, and demos. Explicitly call out vague, inflated, or meaningless messaging.
Experience &amp; Execution
Document booth size, layout, and visitor flow. Analyze demo strategy (scripted vs exploratory). Note staffing mix (sales, product, executives). Capture interactive elements such as hands-on demos, storytelling, theater, or community engagement.
Pricing &amp; Commercial Model
Identify sponsorship tiers and pricing where available. Note paid vs free attendance. Capture upsell mechanics such as VIP access, add-ons, or exclusives. Assess partner monetization approach. Clearly state when pricing data is estimated or unavailable.
Audience &amp; Reach
Identify target audience by role and seniority. Assess customer vs partner vs prospect mix. Note geographic focus. Evaluate attendance quality using observable signals such as crowd density and session engagement rather than vanity metrics.
Standard Output Format
All outputs must follow this structure.
Competitor Snapshot
Company:
Event:
Location / Date:
Event Type:
Estimated Scale:
What They’re Trying to Achieve
Provide one concise paragraph stating the likely business objective of the event. No marketing language.
Key Observations
List bullet points. Clearly separate what was directly observed from what is inferred.
Positioning in Plain English
Explain their event message as if briefing a sales rep in 20 seconds.
Strengths
List what they execute well and where they are objectively strong.
Weaknesses &amp; Gaps
Call out what is unclear, underwhelming, poorly executed, or overhyped. Highlight disconnects between message and execution.
Implications for Autodesk Events
List what Autodesk should steal, what to avoid, and what Autodesk already does better and should double down on.
Confidence Level
State High, Medium, or Low based on data quality and depth of observation.
Evidence Rules
Always distinguish facts from assumptions. Never present guesses as facts. Clearly flag estimates. Explicitly state when data is missing. “No data” is acceptable and preferred over speculation.
Tone &amp; Behavior
Be pragmatic and direct. Default to healthy skepticism. Use short, clear sentences. Prefer clarity over elegance. If something is average, say it. If something is strong, explain why. Light dry humour is acceptable. This is field intelligence, not academic theory.
Comparison Mode
When comparing competitors or events, use side-by-side tables. Normalize for scale differences. Avoid false equivalency between small booths and flagship conferences.
What You Must Never Do
Do not provide generic best practices. Do not regurgitate marketing frameworks. Do not hype without evidence. Do not include theory disconnected from execution, cost, or impact.
Final Check
Before completing any response, ensure it would help a field marketer make a better decision within the next week. If not, tighten the analysis.&lt;/user_input&gt;
</v>
      </c>
      <c r="AQ7" s="26">
        <f t="array" ref="AQ7">index('Response Scoring'!$I:$I,match($A7,'Response Scoring'!$A:$A,0))</f>
        <v>5</v>
      </c>
      <c r="AR7" s="26">
        <f t="shared" ref="AR7:AR104" si="17">$AQ7/5</f>
        <v>1</v>
      </c>
      <c r="AS7" s="30">
        <f t="shared" ref="AS7:AS104" si="18">sumproduct($AG7:$AR7,$AG$3:$AR$3)</f>
        <v>10</v>
      </c>
      <c r="AT7" s="26">
        <f t="shared" ref="AT7:AT104" si="19">($U7*$AV$4)+($AF7*$AV$3)+($AS7*$AV$2)</f>
        <v>38.625</v>
      </c>
      <c r="AU7" s="26">
        <f t="shared" ref="AU7:AU104" si="20">$AT7*2</f>
        <v>77.25</v>
      </c>
      <c r="AV7" s="26" t="str">
        <f t="shared" ref="AV7:AV104" si="21">IF($AU7&gt;=80,"AI Expert",if($AU7&gt;=60,"AI Practitioner",if($AU7&gt;=25,"AI Experimenter",IF(AND($AU7&lt;25,$AU7&gt;=0),"AI Novice"))))</f>
        <v>AI Practitioner</v>
      </c>
      <c r="AW7" s="26" t="str">
        <f>'Raw Data'!U3</f>
        <v/>
      </c>
      <c r="AX7" s="26" t="str">
        <f>'Raw Data'!V3</f>
        <v/>
      </c>
      <c r="AY7" s="26" t="str">
        <f>'Raw Data'!W3</f>
        <v/>
      </c>
      <c r="AZ7" s="26" t="str">
        <f>'Raw Data'!X3</f>
        <v/>
      </c>
      <c r="BA7" s="26" t="str">
        <f>'Raw Data'!Y3</f>
        <v/>
      </c>
      <c r="BB7" s="26" t="str">
        <f>'Raw Data'!Z3</f>
        <v/>
      </c>
      <c r="BW7" s="31" t="str">
        <f>'Raw Data'!C3</f>
        <v>Growth &amp; Partner Marketing</v>
      </c>
      <c r="BZ7" s="26" t="str">
        <f>'Raw Data'!F3</f>
        <v>Director or senior Director</v>
      </c>
      <c r="CA7" s="31" t="str">
        <f>'Raw Data'!AU3</f>
        <v/>
      </c>
      <c r="CB7" s="31" t="str">
        <f>'Raw Data'!AV3</f>
        <v>N/A other than Chat GPT personal sub for my personal use.</v>
      </c>
      <c r="CC7" s="31" t="str">
        <f>'Raw Data'!AW3</f>
        <v>Strongly agree</v>
      </c>
    </row>
    <row r="8" ht="15.75" customHeight="1">
      <c r="A8" s="26">
        <f>'Raw Data'!$A4</f>
        <v>2</v>
      </c>
      <c r="B8" s="26" t="str">
        <f>'Raw Data'!$G4</f>
        <v>Weekly</v>
      </c>
      <c r="C8" s="26">
        <f t="shared" si="1"/>
        <v>0.5</v>
      </c>
      <c r="D8" s="26" t="str">
        <f>'Raw Data'!$H4</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v>
      </c>
      <c r="E8" s="26">
        <f t="shared" si="2"/>
        <v>2</v>
      </c>
      <c r="F8" s="27">
        <f t="shared" si="3"/>
        <v>0.6666666667</v>
      </c>
      <c r="G8" s="26" t="str">
        <f>'Raw Data'!$I4</f>
        <v>I maintain a library of prompts that I reuse frequently</v>
      </c>
      <c r="H8" s="26">
        <f t="shared" si="4"/>
        <v>0.5</v>
      </c>
      <c r="I8" s="26" t="str">
        <f>'Raw Data'!$J4</f>
        <v>Create a systematic process where AI handles data analysis and summary generation consistently</v>
      </c>
      <c r="J8" s="26">
        <f t="shared" si="5"/>
        <v>1</v>
      </c>
      <c r="K8" s="26" t="str">
        <f>'Raw Data'!$K4</f>
        <v>I would create prompts to describe the unfamiliar topic and use AI to synthesize information, and gather insights and strategy recommendations, based on resource materials I linked to or uploaded.</v>
      </c>
      <c r="L8" s="26" t="s">
        <v>70</v>
      </c>
      <c r="M8" s="28" t="str">
        <f>substitute('Prompt Template'!$A$2,$K$5,$L8)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prompts to describe the unfamiliar topic and use AI to synthesize information, and gather insights and strategy recommendations, based on resource materials I linked to or uploaded.&lt;/user_input&gt;</v>
      </c>
      <c r="N8" s="26">
        <f t="array" ref="N8">index('Response Scoring'!$C:$C,match($A8,'Response Scoring'!$A:$A,0))</f>
        <v>1</v>
      </c>
      <c r="O8" s="29">
        <f t="shared" si="6"/>
        <v>0.3333333333</v>
      </c>
      <c r="P8" s="26" t="str">
        <f>'Raw Data'!$L4</f>
        <v>AI helps me more efficiently gather data points, aggregate information across files, emails and conversations/meetings, provide follow-up items, and synthesize information so I can have a more solid foundation for my work.</v>
      </c>
      <c r="Q8" s="26" t="s">
        <v>71</v>
      </c>
      <c r="R8" s="28" t="str">
        <f>substitute('Prompt Template'!$B$2,$P$5,$Q8)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helps me more efficiently gather data points, aggregate information across files, emails and conversations/meetings, provide follow-up items, and synthesize information so I can have a more solid foundation for my work.&lt;/user_input&gt;</v>
      </c>
      <c r="S8" s="26">
        <f t="array" ref="S8">index('Response Scoring'!$E:$E,match($A8,'Response Scoring'!$A:$A,0))</f>
        <v>2</v>
      </c>
      <c r="T8" s="29">
        <f t="shared" si="7"/>
        <v>0.6666666667</v>
      </c>
      <c r="U8" s="29">
        <f t="shared" si="8"/>
        <v>6.083333333</v>
      </c>
      <c r="V8" s="26" t="str">
        <f>'Raw Data'!$M4</f>
        <v>Analyzing presentation slides to evaluate both the visual design and written content for consistency</v>
      </c>
      <c r="W8" s="26">
        <f t="shared" si="9"/>
        <v>1</v>
      </c>
      <c r="X8" s="26" t="str">
        <f>'Raw Data'!$N4</f>
        <v>Hallucinations (generating false or misleading information), Biases in answers, Data privacy concerns when information is shared with an LLM, Vulnerability to manipulation by bad actors</v>
      </c>
      <c r="Y8" s="26">
        <f t="shared" si="10"/>
        <v>1</v>
      </c>
      <c r="Z8" s="26" t="str">
        <f>'Raw Data'!$O4</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8" s="29">
        <f t="shared" si="11"/>
        <v>0</v>
      </c>
      <c r="AB8" s="26" t="str">
        <f>'Raw Data'!$P4</f>
        <v>Always: I routinely cross-check AI outputs with reliable sources</v>
      </c>
      <c r="AC8" s="26">
        <f t="shared" si="12"/>
        <v>1</v>
      </c>
      <c r="AD8" s="26" t="str">
        <f>'Raw Data'!$Q4</f>
        <v>Use a different AI tool to review and verify the content, Verify any calculations or data analysis independently, Cross-reference key claims with reliable external sources</v>
      </c>
      <c r="AE8" s="26">
        <f t="shared" si="13"/>
        <v>0.75</v>
      </c>
      <c r="AF8" s="30">
        <f t="shared" si="14"/>
        <v>7.5</v>
      </c>
      <c r="AG8" s="26" t="str">
        <f>'Raw Data'!$R4</f>
        <v>Sometimes: I iterate 2-3 times to reach a good result</v>
      </c>
      <c r="AH8" s="26">
        <f t="shared" si="15"/>
        <v>0.67</v>
      </c>
      <c r="AI8" s="26" t="str">
        <f>'Raw Data'!$S4</f>
        <v>I am planning to launch [a new initiative]. Identify the top 5 opportunities and potential risks (internal and external). For potential risks, suggest a mitigation strategy for each. Also, if you were a skeptical stakeholder, what would be your strongest arguments against this plan, and how should I proactively address them?</v>
      </c>
      <c r="AJ8" s="26" t="s">
        <v>72</v>
      </c>
      <c r="AK8" s="28" t="str">
        <f>substitute('Prompt Template'!$C$2,$AI$5,$AJ8)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planning to launch [a new initiative]. Identify the top 5 opportunities and potential risks (internal and external). For potential risks, suggest a mitigation strategy for each. Also, if you were a skeptical stakeholder, what would be your strongest arguments against this plan, and how should I proactively address them?&lt;/prompt&gt;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planning to launch [a new initiative]. Identify the top 5 opportunities and potential risks (internal and external). For potential risks, suggest a mitigation strategy for each. Also, if you were a skeptical stakeholder, what would be your strongest arguments against this plan, and how should I proactively address them?&lt;/user_input&gt;</v>
      </c>
      <c r="AL8" s="26">
        <f t="array" ref="AL8">index('Response Scoring'!$G:$G,match($A8,'Response Scoring'!$A:$A,0))</f>
        <v>4</v>
      </c>
      <c r="AM8" s="26">
        <f t="shared" si="16"/>
        <v>0.8</v>
      </c>
      <c r="AN8" s="26" t="str">
        <f>'Raw Data'!$T4</f>
        <v>Create a GPT: Click on "Explore GPTs" -&gt; "+ Create".
Use the "Configure" Tab: Skip the simple "Create" chat bot and go straight to "Configure" for more control.
Name: E.g., "Competitor Intelligence Analyst"
Description: "Analyzes competitor products, pricing, and positioning."
Instructions (The "Prompt"): Paste the detailed instructions.</v>
      </c>
      <c r="AO8" s="26" t="s">
        <v>73</v>
      </c>
      <c r="AP8" s="28" t="str">
        <f>substitute('Prompt Template'!$D$2,$AN$5,$AO8)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GPT: Click on "Explore GPTs" -&gt; "+ Create".
Use the "Configure" Tab: Skip the simple "Create" chat bot and go straight to "Configure" for more control.
Name: E.g., "Competitor Intelligence Analyst"
Description: "Analyzes competitor products, pricing, and positioning."
Instructions (The "Prompt"): Paste the detailed instructions.&lt;/user_input&gt;
</v>
      </c>
      <c r="AQ8" s="26">
        <f t="array" ref="AQ8">index('Response Scoring'!$I:$I,match($A8,'Response Scoring'!$A:$A,0))</f>
        <v>1</v>
      </c>
      <c r="AR8" s="26">
        <f t="shared" si="17"/>
        <v>0.2</v>
      </c>
      <c r="AS8" s="30">
        <f t="shared" si="18"/>
        <v>4.805</v>
      </c>
      <c r="AT8" s="26">
        <f t="shared" si="19"/>
        <v>29.985</v>
      </c>
      <c r="AU8" s="26">
        <f t="shared" si="20"/>
        <v>59.97</v>
      </c>
      <c r="AV8" s="26" t="str">
        <f t="shared" si="21"/>
        <v>AI Experimenter</v>
      </c>
      <c r="AW8" s="26" t="str">
        <f>'Raw Data'!U4</f>
        <v/>
      </c>
      <c r="AX8" s="26" t="str">
        <f>'Raw Data'!V4</f>
        <v/>
      </c>
      <c r="AY8" s="26" t="str">
        <f>'Raw Data'!W4</f>
        <v/>
      </c>
      <c r="AZ8" s="26" t="str">
        <f>'Raw Data'!X4</f>
        <v/>
      </c>
      <c r="BA8" s="26" t="str">
        <f>'Raw Data'!Y4</f>
        <v/>
      </c>
      <c r="BB8" s="26" t="str">
        <f>'Raw Data'!Z4</f>
        <v/>
      </c>
      <c r="BW8" s="31" t="str">
        <f>'Raw Data'!C4</f>
        <v>Global Communications</v>
      </c>
      <c r="BZ8" s="26" t="str">
        <f>'Raw Data'!F4</f>
        <v>Manager or Senior Manager</v>
      </c>
      <c r="CA8" s="31" t="str">
        <f>'Raw Data'!AU4</f>
        <v>Some data analysis</v>
      </c>
      <c r="CB8" s="31" t="str">
        <f>'Raw Data'!AV4</f>
        <v>Mostly ChatGPT, Gemini, Claude and CoPilot</v>
      </c>
      <c r="CC8" s="31" t="str">
        <f>'Raw Data'!AW4</f>
        <v>Agree</v>
      </c>
    </row>
    <row r="9" ht="15.75" customHeight="1">
      <c r="A9" s="26">
        <f>'Raw Data'!$A5</f>
        <v>3</v>
      </c>
      <c r="B9" s="26" t="str">
        <f>'Raw Data'!$G5</f>
        <v>Daily</v>
      </c>
      <c r="C9" s="26">
        <f t="shared" si="1"/>
        <v>1</v>
      </c>
      <c r="D9" s="26" t="str">
        <f>'Raw Data'!$H5</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Using AI for vibe coding to prototype solutions, apps, or products</v>
      </c>
      <c r="E9" s="26">
        <f t="shared" si="2"/>
        <v>3</v>
      </c>
      <c r="F9" s="27">
        <f t="shared" si="3"/>
        <v>1</v>
      </c>
      <c r="G9" s="26" t="str">
        <f>'Raw Data'!$I5</f>
        <v>I've created workflows that connect AI with other systems (Slack, Salesforce, email) using integrations or code</v>
      </c>
      <c r="H9" s="26">
        <f t="shared" si="4"/>
        <v>1</v>
      </c>
      <c r="I9" s="26" t="str">
        <f>'Raw Data'!$J5</f>
        <v>Create a systematic process where AI handles data analysis and summary generation consistently</v>
      </c>
      <c r="J9" s="26">
        <f t="shared" si="5"/>
        <v>1</v>
      </c>
      <c r="K9" s="26" t="str">
        <f>'Raw Data'!$K5</f>
        <v>As an expert in the unfamiliar topic, I would ask AI to provide insight on industry knowledge, Autodesk knowledge, and/or provide the top 5-10 areas of opportunity based on the outcome senior leadership is asking.  My conversation would continue based on the AI answers to determine accuracy of sources, review my planned story for my stakeholders and question the feasibility of success.  As a frequent user, I may challenge copilot versus chatgpt on my presentation strategy.</v>
      </c>
      <c r="L9" s="26" t="s">
        <v>74</v>
      </c>
      <c r="M9" s="28" t="str">
        <f>substitute('Prompt Template'!$A$2,$K$5,$L9)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an expert in the unfamiliar topic, I would ask AI to provide insight on industry knowledge, Autodesk knowledge, and/or provide the top 5-10 areas of opportunity based on the outcome senior leadership is asking.  My conversation would continue based on the AI answers to determine accuracy of sources, review my planned story for my stakeholders and question the feasibility of success.  As a frequent user, I may challenge copilot versus chatgpt on my presentation strategy.&lt;/user_input&gt;</v>
      </c>
      <c r="N9" s="26">
        <f t="array" ref="N9">index('Response Scoring'!$C:$C,match($A9,'Response Scoring'!$A:$A,0))</f>
        <v>2</v>
      </c>
      <c r="O9" s="29">
        <f t="shared" si="6"/>
        <v>0.6666666667</v>
      </c>
      <c r="P9" s="26" t="str">
        <f>'Raw Data'!$L5</f>
        <v>My confidence as an AI practitioner has grown substantially, enabling me to design forward looking workflows that improve team efficiency. I use AI daily to refine messaging for presentations, status reports, and communications, ensuring content is appropriately tailored for executive and peer audiences. This has strengthened both my productivity and the clarity of my communication.
I also developed my first app, the PromptBank library in PowerApps with support from ChatGPT, Copilot, and an ESE developer. AI informed strategic decisions, guided platform selection, and assisted with code generation and review, helping me balance development work with core responsibilities. A key lesson has been the importance of critically evaluating AI generated outputs and seeking simplified explanations when necessary to ensure full understanding and alignment on desired outcomes.  This project was started in October and will be complete this month.</v>
      </c>
      <c r="Q9" s="26" t="s">
        <v>75</v>
      </c>
      <c r="R9" s="28" t="str">
        <f>substitute('Prompt Template'!$B$2,$P$5,$Q9)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confidence as an AI practitioner has grown substantially, enabling me to design forward looking workflows that improve team efficiency. I use AI daily to refine messaging for presentations, status reports, and communications, ensuring content is appropriately tailored for executive and peer audiences. This has strengthened both my productivity and the clarity of my communication.
I also developed my first app, the PromptBank library in PowerApps with support from ChatGPT, Copilot, and an ESE developer. AI informed strategic decisions, guided platform selection, and assisted with code generation and review, helping me balance development work with core responsibilities. A key lesson has been the importance of critically evaluating AI generated outputs and seeking simplified explanations when necessary to ensure full understanding and alignment on desired outcomes.  This project was started in October and will be complete this month.&lt;/user_input&gt;</v>
      </c>
      <c r="S9" s="26">
        <f t="array" ref="S9">index('Response Scoring'!$E:$E,match($A9,'Response Scoring'!$A:$A,0))</f>
        <v>2</v>
      </c>
      <c r="T9" s="29">
        <f t="shared" si="7"/>
        <v>0.6666666667</v>
      </c>
      <c r="U9" s="29">
        <f t="shared" si="8"/>
        <v>8</v>
      </c>
      <c r="V9" s="26" t="str">
        <f>'Raw Data'!$M5</f>
        <v>Analyzing presentation slides to evaluate both the visual design and written content for consistency</v>
      </c>
      <c r="W9" s="26">
        <f t="shared" si="9"/>
        <v>1</v>
      </c>
      <c r="X9" s="26" t="str">
        <f>'Raw Data'!$N5</f>
        <v>Hallucinations (generating false or misleading information), Biases in answers, Data privacy concerns when information is shared with an LLM, Vulnerability to manipulation by bad actors</v>
      </c>
      <c r="Y9" s="26">
        <f t="shared" si="10"/>
        <v>1</v>
      </c>
      <c r="Z9" s="26" t="str">
        <f>'Raw Data'!$O5</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A9" s="29">
        <f t="shared" si="11"/>
        <v>0</v>
      </c>
      <c r="AB9" s="26" t="str">
        <f>'Raw Data'!$P5</f>
        <v>Always: I routinely cross-check AI outputs with reliable sources</v>
      </c>
      <c r="AC9" s="26">
        <f t="shared" si="12"/>
        <v>1</v>
      </c>
      <c r="AD9" s="26" t="str">
        <f>'Raw Data'!$Q5</f>
        <v>Use a different AI tool to review and verify the content, Ask the same AI tool to double-check its work for accuracy, Verify any calculations or data analysis independently, Cross-reference key claims with reliable external sources</v>
      </c>
      <c r="AE9" s="26">
        <f t="shared" si="13"/>
        <v>1</v>
      </c>
      <c r="AF9" s="30">
        <f t="shared" si="14"/>
        <v>8</v>
      </c>
      <c r="AG9" s="26" t="str">
        <f>'Raw Data'!$R5</f>
        <v>Frequently: I systematically refine prompts until I'm satisfied</v>
      </c>
      <c r="AH9" s="26">
        <f t="shared" si="15"/>
        <v>1</v>
      </c>
      <c r="AI9" s="26" t="str">
        <f>'Raw Data'!$S5</f>
        <v>Help me prepare for a meeting today with/about [person/topic].   Determine if there were previous meetings and if there are key points I should be aware of.  What are 1-3 key questions in my role that are important?  Are there known risks in this proposal and mitigations defined?  Do we have budget constraints or any other factors that I should consider?  Thank you</v>
      </c>
      <c r="AJ9" s="26" t="s">
        <v>76</v>
      </c>
      <c r="AK9" s="28" t="str">
        <f>substitute('Prompt Template'!$C$2,$AI$5,$AJ9)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today with/about [person/topic].   Determine if there were previous meetings and if there are key points I should be aware of.  What are 1-3 key questions in my role that are important?  Are there known risks in this proposal and mitigations defined?  Do we have budget constraints or any other factors that I should consider?  Thank you&lt;/prompt&gt;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today with/about [person/topic].   Determine if there were previous meetings and if there are key points I should be aware of.  What are 1-3 key questions in my role that are important?  Are there known risks in this proposal and mitigations defined?  Do we have budget constraints or any other factors that I should consider?  Thank you&lt;/user_input&gt;</v>
      </c>
      <c r="AL9" s="26">
        <f t="array" ref="AL9">index('Response Scoring'!$G:$G,match($A9,'Response Scoring'!$A:$A,0))</f>
        <v>2</v>
      </c>
      <c r="AM9" s="26">
        <f t="shared" si="16"/>
        <v>0.4</v>
      </c>
      <c r="AN9" s="26" t="str">
        <f>'Raw Data'!$T5</f>
        <v>## Custom GPT Instructions: Competitive Intelligence Standard
### Role
You are a **Competitive Intelligence (CI) Assistant**. Your role is to help team members gather, structure, and document competitive intelligence in a **consistent, fact-based, and decision-ready format**.
You operate as a neutral analyst, not a marketer or advocate.
---
### Primary Objective
Ensure all competitive intelligence outputs:
* Follow a **standardized structure**
* Clearly separate **facts, evidence, and assumptions**
* Are **easy to compare across competitors**
* Are suitable for **product, GTM, and executive decision-making**
---
### Core Principles (Always Enforce)
* Prioritize **facts over opinions**
* Explicitly label assumptions as `[Assumption]`
* Separate **evidence** from **interpretation**
* Use **concise bullet points**, not long paragraphs
* Optimize for **clarity, consistency, and reuse**
---
### Engagement Rules
When a user asks for competitive intelligence:
* Proceed even if information is incomplete
* Make reasonable assumptions where necessary and label them clearly
* Ask clarifying questions only if required to avoid incorrect analysis
---
### Required CI Structure (Mandatory)
All outputs must be organized using the following sections and headings unless explicitly instructed otherwise.
#### 1. Company Overview
* Company name
* Primary market(s)
* Target customer profile
* Business model (e.g., SaaS, usage-based, enterprise)
#### 2. Product &amp; Capabilities
* Core features
* Key differentiators
* Known gaps or limitations
* Roadmap signals (public or inferred)
#### 3. Pricing &amp; Packaging
* Pricing model
* Tiers or bundles
* Licensing approach
* Notable pricing changes or experiments
#### 4. Positioning &amp; Messaging
* Primary value propositions
* Core marketing themes
* Language used to describe differentiation
#### 5. Go-to-Market Strategy
* Sales motion (self-serve, sales-led, partner-led)
* Primary acquisition channels
* Key partnerships or ecosystems
#### 6. Customer Evidence
* Target industries
* Named customers (if public)
* Case studies or testimonials
* Review sentiment (if available)
#### 7. Recent Signals &amp; Changes
* Product launches
* Acquisitions or partnerships
* Leadership changes
* Messaging or pricing shifts
#### 8. Strengths &amp; Weaknesses
* Strengths (fact-based)
* Weaknesses or risks
* Areas of uncertainty
---
### Evidence Standards
For each meaningful claim:
* Identify the **source type** (e.g., website, blog, review site, analyst report)
* Include the **date** when available
* Label inferred conclusions as `[Assumption]`
Do not mix facts and opinions in the same bullet.
**Example:**
* Emphasizes enterprise security certifications — Source: Product website (May 2025)
* `[Assumption] Likely expanding into mid-market based on new pricing tiers`
---
### Comparative Analysis (When Requested)
When comparing competitors:
* Use **side-by-side tables** when possible
* Compare against **explicit criteria**
* Avoid subjective language (e.g., “better,” “stronger”) without evidence
---
### Output &amp; Formatting Rules
* Bullet points only
* Short, scannable sections
* Neutral, analytical tone
* Clear section headers
* Explicitly labeled assumptions
---
### Required Closing Section (Always Include)
End every CI output with the following section:
**Open Questions / Gaps**
* Key unknowns
* Validation needed
* Suggested next CI steps
---
### Prohibited Behavior
* Unlabeled speculation
* Marketing or sales rhetoric
* Mixed fact/opinion statements
* Inconsistent section structures
---
### Success Criteria
A successful response:
* Can be directly compared with other CI outputs
* Clearly distinguishes facts, assumptions, and unknowns
* Requires minimal cleanup for reuse in decks, docs, or trackers</v>
      </c>
      <c r="AO9" s="26" t="s">
        <v>77</v>
      </c>
      <c r="AP9" s="28" t="str">
        <f>substitute('Prompt Template'!$D$2,$AN$5,$AO9)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GPT Instructions: Competitive Intelligence Standard
### Role
You are a **Competitive Intelligence (CI) Assistant**. Your role is to help team members gather, structure, and document competitive intelligence in a **consistent, fact-based, and decision-ready format**.
You operate as a neutral analyst, not a marketer or advocate.
---
### Primary Objective
Ensure all competitive intelligence outputs:
* Follow a **standardized structure**
* Clearly separate **facts, evidence, and assumptions**
* Are **easy to compare across competitors**
* Are suitable for **product, GTM, and executive decision-making**
---
### Core Principles (Always Enforce)
* Prioritize **facts over opinions**
* Explicitly label assumptions as `[Assumption]`
* Separate **evidence** from **interpretation**
* Use **concise bullet points**, not long paragraphs
* Optimize for **clarity, consistency, and reuse**
---
### Engagement Rules
When a user asks for competitive intelligence:
* Proceed even if information is incomplete
* Make reasonable assumptions where necessary and label them clearly
* Ask clarifying questions only if required to avoid incorrect analysis
---
### Required CI Structure (Mandatory)
All outputs must be organized using the following sections and headings unless explicitly instructed otherwise.
#### 1. Company Overview
* Company name
* Primary market(s)
* Target customer profile
* Business model (e.g., SaaS, usage-based, enterprise)
#### 2. Product &amp; Capabilities
* Core features
* Key differentiators
* Known gaps or limitations
* Roadmap signals (public or inferred)
#### 3. Pricing &amp; Packaging
* Pricing model
* Tiers or bundles
* Licensing approach
* Notable pricing changes or experiments
#### 4. Positioning &amp; Messaging
* Primary value propositions
* Core marketing themes
* Language used to describe differentiation
#### 5. Go-to-Market Strategy
* Sales motion (self-serve, sales-led, partner-led)
* Primary acquisition channels
* Key partnerships or ecosystems
#### 6. Customer Evidence
* Target industries
* Named customers (if public)
* Case studies or testimonials
* Review sentiment (if available)
#### 7. Recent Signals &amp; Changes
* Product launches
* Acquisitions or partnerships
* Leadership changes
* Messaging or pricing shifts
#### 8. Strengths &amp; Weaknesses
* Strengths (fact-based)
* Weaknesses or risks
* Areas of uncertainty
---
### Evidence Standards
For each meaningful claim:
* Identify the **source type** (e.g., website, blog, review site, analyst report)
* Include the **date** when available
* Label inferred conclusions as `[Assumption]`
Do not mix facts and opinions in the same bullet.
**Example:**
* Emphasizes enterprise security certifications — Source: Product website (May 2025)
* `[Assumption] Likely expanding into mid-market based on new pricing tiers`
---
### Comparative Analysis (When Requested)
When comparing competitors:
* Use **side-by-side tables** when possible
* Compare against **explicit criteria**
* Avoid subjective language (e.g., “better,” “stronger”) without evidence
---
### Output &amp; Formatting Rules
* Bullet points only
* Short, scannable sections
* Neutral, analytical tone
* Clear section headers
* Explicitly labeled assumptions
---
### Required Closing Section (Always Include)
End every CI output with the following section:
**Open Questions / Gaps**
* Key unknowns
* Validation needed
* Suggested next CI steps
---
### Prohibited Behavior
* Unlabeled speculation
* Marketing or sales rhetoric
* Mixed fact/opinion statements
* Inconsistent section structures
---
### Success Criteria
A successful response:
* Can be directly compared with other CI outputs
* Clearly distinguishes facts, assumptions, and unknowns
* Requires minimal cleanup for reuse in decks, docs, or trackers&lt;/user_input&gt;
</v>
      </c>
      <c r="AQ9" s="26">
        <f t="array" ref="AQ9">index('Response Scoring'!$I:$I,match($A9,'Response Scoring'!$A:$A,0))</f>
        <v>5</v>
      </c>
      <c r="AR9" s="26">
        <f t="shared" si="17"/>
        <v>1</v>
      </c>
      <c r="AS9" s="30">
        <f t="shared" si="18"/>
        <v>7.9</v>
      </c>
      <c r="AT9" s="26">
        <f t="shared" si="19"/>
        <v>39.8</v>
      </c>
      <c r="AU9" s="26">
        <f t="shared" si="20"/>
        <v>79.6</v>
      </c>
      <c r="AV9" s="26" t="str">
        <f t="shared" si="21"/>
        <v>AI Practitioner</v>
      </c>
      <c r="AW9" s="26" t="str">
        <f>'Raw Data'!U5</f>
        <v/>
      </c>
      <c r="AX9" s="26" t="str">
        <f>'Raw Data'!V5</f>
        <v/>
      </c>
      <c r="AY9" s="26" t="str">
        <f>'Raw Data'!W5</f>
        <v/>
      </c>
      <c r="AZ9" s="26" t="str">
        <f>'Raw Data'!X5</f>
        <v/>
      </c>
      <c r="BA9" s="26" t="str">
        <f>'Raw Data'!Y5</f>
        <v/>
      </c>
      <c r="BB9" s="26" t="str">
        <f>'Raw Data'!Z5</f>
        <v/>
      </c>
      <c r="BW9" s="31" t="str">
        <f>'Raw Data'!C5</f>
        <v>Education</v>
      </c>
      <c r="BZ9" s="26" t="str">
        <f>'Raw Data'!F5</f>
        <v>Manager or Senior Manager</v>
      </c>
      <c r="CA9" s="31" t="str">
        <f>'Raw Data'!AU5</f>
        <v>Having the time to finish certification while driving visibility in usage</v>
      </c>
      <c r="CB9" s="31" t="str">
        <f>'Raw Data'!AV5</f>
        <v>At work, none.   At home, I use Replit, Canva, hume.ai, heygen</v>
      </c>
      <c r="CC9" s="31" t="str">
        <f>'Raw Data'!AW5</f>
        <v>Strongly agree</v>
      </c>
    </row>
    <row r="10" ht="15.75" customHeight="1">
      <c r="A10" s="26">
        <f>'Raw Data'!$A6</f>
        <v>4</v>
      </c>
      <c r="B10" s="26" t="str">
        <f>'Raw Data'!$G6</f>
        <v>Daily</v>
      </c>
      <c r="C10" s="26">
        <f t="shared" si="1"/>
        <v>1</v>
      </c>
      <c r="D10" s="26" t="str">
        <f>'Raw Data'!$H6</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v>
      </c>
      <c r="E10" s="26">
        <f t="shared" si="2"/>
        <v>3</v>
      </c>
      <c r="F10" s="27">
        <f t="shared" si="3"/>
        <v>1</v>
      </c>
      <c r="G10" s="26" t="str">
        <f>'Raw Data'!$I6</f>
        <v>I've built custom AI tools (i.e. CustomGPTs, Copilot Agents) for repetitive tasks</v>
      </c>
      <c r="H10" s="26">
        <f t="shared" si="4"/>
        <v>0.75</v>
      </c>
      <c r="I10" s="26" t="str">
        <f>'Raw Data'!$J6</f>
        <v>Create a systematic process where AI handles data analysis and summary generation consistently</v>
      </c>
      <c r="J10" s="26">
        <f t="shared" si="5"/>
        <v>1</v>
      </c>
      <c r="K10" s="26" t="str">
        <f>'Raw Data'!$K6</f>
        <v>I'd ask AI to help me understand the topic, test my knowledge, and then act as a senior stakeholder at Autodesk, asking specific questions based on their needs and business goals. 
I would then ask AI to coach me on how to address the topic at the right level of information for those stakeholders so I'm not wasting anyone's time. Once my presentation is scripted, I would test again, making sure that the information is accurate and I have the sources I can cite if questions arise, or other key stakeholders I can go to if there are follow-up tasks.</v>
      </c>
      <c r="L10" s="26" t="s">
        <v>78</v>
      </c>
      <c r="M10" s="28" t="str">
        <f>substitute('Prompt Template'!$A$2,$K$5,$L10)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ask AI to help me understand the topic, test my knowledge, and then act as a senior stakeholder at Autodesk, asking specific questions based on their needs and business goals. 
I would then ask AI to coach me on how to address the topic at the right level of information for those stakeholders so I'm not wasting anyone's time. Once my presentation is scripted, I would test again, making sure that the information is accurate and I have the sources I can cite if questions arise, or other key stakeholders I can go to if there are follow-up tasks.&lt;/user_input&gt;</v>
      </c>
      <c r="N10" s="26">
        <f t="array" ref="N10">index('Response Scoring'!$C:$C,match($A10,'Response Scoring'!$A:$A,0))</f>
        <v>3</v>
      </c>
      <c r="O10" s="29">
        <f t="shared" si="6"/>
        <v>1</v>
      </c>
      <c r="P10" s="26" t="str">
        <f>'Raw Data'!$L6</f>
        <v>Showing that StoryBot is possible! It's up to the MarCom team to make it a reality now.</v>
      </c>
      <c r="Q10" s="26" t="s">
        <v>79</v>
      </c>
      <c r="R10" s="28" t="str">
        <f>substitute('Prompt Template'!$B$2,$P$5,$Q10)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&lt;user_input&gt;Showing that StoryBot is possible! It's up to the MarCom team to make it a reality now.&lt;/user_input&gt;</v>
      </c>
      <c r="S10" s="26">
        <f t="array" ref="S10">index('Response Scoring'!$E:$E,match($A10,'Response Scoring'!$A:$A,0))</f>
        <v>1</v>
      </c>
      <c r="T10" s="29">
        <f t="shared" si="7"/>
        <v>0.3333333333</v>
      </c>
      <c r="U10" s="29">
        <f t="shared" si="8"/>
        <v>7.083333333</v>
      </c>
      <c r="V10" s="26" t="str">
        <f>'Raw Data'!$M6</f>
        <v>Analyzing presentation slides to evaluate both the visual design and written content for consistency</v>
      </c>
      <c r="W10" s="26">
        <f t="shared" si="9"/>
        <v>1</v>
      </c>
      <c r="X10" s="26" t="str">
        <f>'Raw Data'!$N6</f>
        <v>Hallucinations (generating false or misleading information), Data privacy concerns when information is shared with an LLM, Biases in answers</v>
      </c>
      <c r="Y10" s="26">
        <f t="shared" si="10"/>
        <v>0.75</v>
      </c>
      <c r="Z10" s="26" t="str">
        <f>'Raw Data'!$O6</f>
        <v>Verify that the AI tool has SSL/HTTPS encryption before using it, Use secure company instances or enterprise plans when available, Anonymize information by removing identifying details</v>
      </c>
      <c r="AA10" s="29">
        <f t="shared" si="11"/>
        <v>0</v>
      </c>
      <c r="AB10" s="26" t="str">
        <f>'Raw Data'!$P6</f>
        <v>Always: I routinely cross-check AI outputs with reliable sources</v>
      </c>
      <c r="AC10" s="26">
        <f t="shared" si="12"/>
        <v>1</v>
      </c>
      <c r="AD10" s="26" t="str">
        <f>'Raw Data'!$Q6</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0" s="26">
        <f t="shared" si="13"/>
        <v>0</v>
      </c>
      <c r="AF10" s="30">
        <f t="shared" si="14"/>
        <v>5.5</v>
      </c>
      <c r="AG10" s="26" t="str">
        <f>'Raw Data'!$R6</f>
        <v>Frequently: I systematically refine prompts until I'm satisfied</v>
      </c>
      <c r="AH10" s="26">
        <f t="shared" si="15"/>
        <v>1</v>
      </c>
      <c r="AI10" s="26" t="str">
        <f>'Raw Data'!$S6</f>
        <v>I need you to act as strategic comms partner. I'm meeting with _______ (generalize or personalize based on size of team and sensitivity of content) to discuss (tag files). Based on what you know about (Teams) and (leaders) and their goals at Autodesk, help me frame this conversation in a way that clearly shows how my proposal will help them achieve their goals of (fill in goals). I want you to be persuasive, direct, and write a script that still sounds like me. Help me show up like a director or executive - connecting the dots and making this an easy yes for the team. Based on the transcript of our last meeting, help me anticipate any questions or pushbacks that might come around timing or budget.  Write a script as well as list of questions. Then create a list of considerations I have not addressed already and help me tackle them. This may be a longer conversation but the outcome is worth it!</v>
      </c>
      <c r="AJ10" s="26" t="s">
        <v>80</v>
      </c>
      <c r="AK10" s="28" t="str">
        <f>substitute('Prompt Template'!$C$2,$AI$5,$AJ10)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 to act as strategic comms partner. I'm meeting with _______ (generalize or personalize based on size of team and sensitivity of content) to discuss (tag files). Based on what you know about (Teams) and (leaders) and their goals at Autodesk, help me frame this conversation in a way that clearly shows how my proposal will help them achieve their goals of (fill in goals). I want you to be persuasive, direct, and write a script that still sounds like me. Help me show up like a director or executive - connecting the dots and making this an easy yes for the team. Based on the transcript of our last meeting, help me anticipate any questions or pushbacks that might come around timing or budget.  Write a script as well as list of questions. Then create a list of considerations I have not addressed already and help me tackle them. This may be a longer conversation but the outcome is worth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 to act as strategic comms partner. I'm meeting with _______ (generalize or personalize based on size of team and sensitivity of content) to discuss (tag files). Based on what you know about (Teams) and (leaders) and their goals at Autodesk, help me frame this conversation in a way that clearly shows how my proposal will help them achieve their goals of (fill in goals). I want you to be persuasive, direct, and write a script that still sounds like me. Help me show up like a director or executive - connecting the dots and making this an easy yes for the team. Based on the transcript of our last meeting, help me anticipate any questions or pushbacks that might come around timing or budget.  Write a script as well as list of questions. Then create a list of considerations I have not addressed already and help me tackle them. This may be a longer conversation but the outcome is worth it!&lt;/user_input&gt;</v>
      </c>
      <c r="AL10" s="26">
        <f t="array" ref="AL10">index('Response Scoring'!$G:$G,match($A10,'Response Scoring'!$A:$A,0))</f>
        <v>4</v>
      </c>
      <c r="AM10" s="26">
        <f t="shared" si="16"/>
        <v>0.8</v>
      </c>
      <c r="AN10" s="26" t="str">
        <f>'Raw Data'!$T6</f>
        <v>I want you to help me create a Copilot agent that breaks down the latest in competitor (list competitors + their websites) products, pricing, and positioning. I also want you to look at their LinkedIn pages (link), social media updates (link), and release notes (link). Scour the internet to provide me with a curation of news articles that mention their work. For context, I work at Autodesk in (function), working on (product name). Autodesk is a design and make company (fill in with more with public information about Autodesk and the specific product you support). As part of the curation process, tell me exactly why I need to pay attention to each update from competitors. What updates are getting attention? What moves are they making quietly that will threaten our market share? It's important that you provide this information in a factual tone and back up your claims with receipts. Do not hallucinate. I will be checking this weekly and want the output to be smart, strategic, and something that my team will want to read and take action on. Let's start to build and ask me questions as we go so we can personalize this. 
(continue to build w/ copilot)</v>
      </c>
      <c r="AO10" s="26" t="s">
        <v>81</v>
      </c>
      <c r="AP10" s="28" t="str">
        <f>substitute('Prompt Template'!$D$2,$AN$5,$AO10)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want you to help me create a Copilot agent that breaks down the latest in competitor (list competitors + their websites) products, pricing, and positioning. I also want you to look at their LinkedIn pages (link), social media updates (link), and release notes (link). Scour the internet to provide me with a curation of news articles that mention their work. For context, I work at Autodesk in (function), working on (product name). Autodesk is a design and make company (fill in with more with public information about Autodesk and the specific product you support). As part of the curation process, tell me exactly why I need to pay attention to each update from competitors. What updates are getting attention? What moves are they making quietly that will threaten our market share? It's important that you provide this information in a factual tone and back up your claims with receipts. Do not hallucinate. I will be checking this weekly and want the output to be smart, strategic, and something that my team will want to read and take action on. Let's start to build and ask me questions as we go so we can personalize this. 
(continue to build w/ copilot)&lt;/user_input&gt;
</v>
      </c>
      <c r="AQ10" s="26">
        <f t="array" ref="AQ10">index('Response Scoring'!$I:$I,match($A10,'Response Scoring'!$A:$A,0))</f>
        <v>2</v>
      </c>
      <c r="AR10" s="26">
        <f t="shared" si="17"/>
        <v>0.4</v>
      </c>
      <c r="AS10" s="30">
        <f t="shared" si="18"/>
        <v>6.3</v>
      </c>
      <c r="AT10" s="26">
        <f t="shared" si="19"/>
        <v>31.475</v>
      </c>
      <c r="AU10" s="26">
        <f t="shared" si="20"/>
        <v>62.95</v>
      </c>
      <c r="AV10" s="26" t="str">
        <f t="shared" si="21"/>
        <v>AI Practitioner</v>
      </c>
      <c r="AW10" s="26" t="str">
        <f>'Raw Data'!U6</f>
        <v/>
      </c>
      <c r="AX10" s="26" t="str">
        <f>'Raw Data'!V6</f>
        <v/>
      </c>
      <c r="AY10" s="26" t="str">
        <f>'Raw Data'!W6</f>
        <v/>
      </c>
      <c r="AZ10" s="26" t="str">
        <f>'Raw Data'!X6</f>
        <v/>
      </c>
      <c r="BA10" s="26" t="str">
        <f>'Raw Data'!Y6</f>
        <v/>
      </c>
      <c r="BB10" s="26" t="str">
        <f>'Raw Data'!Z6</f>
        <v/>
      </c>
      <c r="BW10" s="31" t="str">
        <f>'Raw Data'!C6</f>
        <v>Global Communications</v>
      </c>
      <c r="BZ10" s="26" t="str">
        <f>'Raw Data'!F6</f>
        <v>Manager or Senior Manager</v>
      </c>
      <c r="CA10" s="31" t="str">
        <f>'Raw Data'!AU6</f>
        <v>I am extremely frustrated by the fact that custom GPTs (Chat) don't pull from our connected apps. I can access the latest in Sharepoint, Slack, Teams, etc. via a "vanilla chat" on ChatGPT but it feels like all the tantalizing productivity gains are just out of reach.</v>
      </c>
      <c r="CB10" s="31" t="str">
        <f>'Raw Data'!AV6</f>
        <v>I have used Claude to help me vibe code an idea that I then take to Copilot to create with the enterprise details, but that's it. Otherwise, I'm in Copilot, Canva, and ChatGPT all day, every day!</v>
      </c>
      <c r="CC10" s="31" t="str">
        <f>'Raw Data'!AW6</f>
        <v>Strongly agree</v>
      </c>
    </row>
    <row r="11" ht="15.75" customHeight="1">
      <c r="A11" s="26">
        <f>'Raw Data'!$A7</f>
        <v>5</v>
      </c>
      <c r="B11" s="26" t="str">
        <f>'Raw Data'!$G7</f>
        <v>Daily</v>
      </c>
      <c r="C11" s="26">
        <f t="shared" si="1"/>
        <v>1</v>
      </c>
      <c r="D11" s="26" t="str">
        <f>'Raw Data'!$H7</f>
        <v>Using AI for vibe coding to prototype solutions, apps, or products,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E11" s="26">
        <f t="shared" si="2"/>
        <v>3</v>
      </c>
      <c r="F11" s="27">
        <f t="shared" si="3"/>
        <v>1</v>
      </c>
      <c r="G11" s="26" t="str">
        <f>'Raw Data'!$I7</f>
        <v>I've created workflows that connect AI with other systems (Slack, Salesforce, email) using integrations or code</v>
      </c>
      <c r="H11" s="26">
        <f t="shared" si="4"/>
        <v>1</v>
      </c>
      <c r="I11" s="26" t="str">
        <f>'Raw Data'!$J7</f>
        <v>Create a systematic process where AI handles data analysis and summary generation consistently</v>
      </c>
      <c r="J11" s="26">
        <f t="shared" si="5"/>
        <v>1</v>
      </c>
      <c r="K11" s="26" t="str">
        <f>'Raw Data'!$K7</f>
        <v>If I had one week to build an important presentation for senior stakeholders on an unfamiliar topic, I would use AI as an end to end partner to accelerate learning, sharpen the storyline, and improve executive quality. I would start by using ChatGPT Research to quickly understand the topic, summarize credible sources, compare viewpoints, and identify the few insights that actually matter for leadership decisions. In parallel, I would use ChatGPT to clarify the purpose of the deck, the decision I want stakeholders to make, and the most effective narrative structure for an executive audience.
Next, I would upload any relevant internal documents such as prior decks, reports, meeting notes, or performance data, and use ChatGPT to extract key themes, surface gaps and contradictions, and translate raw material into clean executive takeaways. From there, I would iterate quickly on the story and slide flow, using AI to improve clarity, simplify language, tighten slide headlines, and pressure test the logic by having it “role play” as a skeptical senior leader and anticipate likely questions.
Finally, I would use AI to elevate the production quality by generating visuals or diagrams that support the story, refining speaker notes, and drafting a concise voice over script to ensure strong pacing and confidence. Throughout the week I would continuously revise and improve, using AI to add what is missing, remove what is unnecessary, and make the final presentation clear, persuasive, and ready for executive decision making.</v>
      </c>
      <c r="L11" s="26" t="s">
        <v>82</v>
      </c>
      <c r="M11" s="28" t="str">
        <f>substitute('Prompt Template'!$A$2,$K$5,$L11)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build an important presentation for senior stakeholders on an unfamiliar topic, I would use AI as an end to end partner to accelerate learning, sharpen the storyline, and improve executive quality. I would start by using ChatGPT Research to quickly understand the topic, summarize credible sources, compare viewpoints, and identify the few insights that actually matter for leadership decisions. In parallel, I would use ChatGPT to clarify the purpose of the deck, the decision I want stakeholders to make, and the most effective narrative structure for an executive audience.
Next, I would upload any relevant internal documents such as prior decks, reports, meeting notes, or performance data, and use ChatGPT to extract key themes, surface gaps and contradictions, and translate raw material into clean executive takeaways. From there, I would iterate quickly on the story and slide flow, using AI to improve clarity, simplify language, tighten slide headlines, and pressure test the logic by having it “role play” as a skeptical senior leader and anticipate likely questions.
Finally, I would use AI to elevate the production quality by generating visuals or diagrams that support the story, refining speaker notes, and drafting a concise voice over script to ensure strong pacing and confidence. Throughout the week I would continuously revise and improve, using AI to add what is missing, remove what is unnecessary, and make the final presentation clear, persuasive, and ready for executive decision making.&lt;/user_input&gt;</v>
      </c>
      <c r="N11" s="26">
        <f t="array" ref="N11">index('Response Scoring'!$C:$C,match($A11,'Response Scoring'!$A:$A,0))</f>
        <v>3</v>
      </c>
      <c r="O11" s="29">
        <f t="shared" si="6"/>
        <v>1</v>
      </c>
      <c r="P11" s="26" t="str">
        <f>'Raw Data'!$L7</f>
        <v>The most valuable way I use AI in my work is improving executive communication and leadership effectiveness. I use it to quickly turn complex situations into clear, confident messages for senior stakeholders, such as prioritization recommendations, tradeoffs, risks, and next steps, so leaders can make decisions faster. I also use it to help me manage my team more effectively by drafting thoughtful coaching messages, aligning on goals, and shaping updates that keep people focused on the highest value work. The ROI is that I spend less time rewriting and second guessing, and more time driving alignment, protecting priorities, and keeping work moving at executive speed.</v>
      </c>
      <c r="Q11" s="26" t="s">
        <v>83</v>
      </c>
      <c r="R11" s="28" t="str">
        <f>substitute('Prompt Template'!$B$2,$P$5,$Q11)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improving executive communication and leadership effectiveness. I use it to quickly turn complex situations into clear, confident messages for senior stakeholders, such as prioritization recommendations, tradeoffs, risks, and next steps, so leaders can make decisions faster. I also use it to help me manage my team more effectively by drafting thoughtful coaching messages, aligning on goals, and shaping updates that keep people focused on the highest value work. The ROI is that I spend less time rewriting and second guessing, and more time driving alignment, protecting priorities, and keeping work moving at executive speed.&lt;/user_input&gt;</v>
      </c>
      <c r="S11" s="26">
        <f t="array" ref="S11">index('Response Scoring'!$E:$E,match($A11,'Response Scoring'!$A:$A,0))</f>
        <v>2</v>
      </c>
      <c r="T11" s="29">
        <f t="shared" si="7"/>
        <v>0.6666666667</v>
      </c>
      <c r="U11" s="29">
        <f t="shared" si="8"/>
        <v>8.666666667</v>
      </c>
      <c r="V11" s="26" t="str">
        <f>'Raw Data'!$M7</f>
        <v>Analyzing presentation slides to evaluate both the visual design and written content for consistency</v>
      </c>
      <c r="W11" s="26">
        <f t="shared" si="9"/>
        <v>1</v>
      </c>
      <c r="X11" s="26" t="str">
        <f>'Raw Data'!$N7</f>
        <v>Hallucinations (generating false or misleading information), Biases in answers, Data privacy concerns when information is shared with an LLM, Vulnerability to manipulation by bad actors</v>
      </c>
      <c r="Y11" s="26">
        <f t="shared" si="10"/>
        <v>1</v>
      </c>
      <c r="Z11" s="26" t="str">
        <f>'Raw Data'!$O7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1" s="29">
        <f t="shared" si="11"/>
        <v>0</v>
      </c>
      <c r="AB11" s="26" t="str">
        <f>'Raw Data'!$P7</f>
        <v>Always: I routinely cross-check AI outputs with reliable sources</v>
      </c>
      <c r="AC11" s="26">
        <f t="shared" si="12"/>
        <v>1</v>
      </c>
      <c r="AD11" s="26" t="str">
        <f>'Raw Data'!$Q7</f>
        <v>Cross-reference key claims with reliable external sources, Verify any calculations or data analysis independently, Ask the same AI tool to double-check its work for accuracy, Use a different AI tool to review and verify the content</v>
      </c>
      <c r="AE11" s="26">
        <f t="shared" si="13"/>
        <v>1</v>
      </c>
      <c r="AF11" s="30">
        <f t="shared" si="14"/>
        <v>8</v>
      </c>
      <c r="AG11" s="26" t="str">
        <f>'Raw Data'!$R7</f>
        <v>Frequently: I systematically refine prompts until I'm satisfied</v>
      </c>
      <c r="AH11" s="26">
        <f t="shared" si="15"/>
        <v>1</v>
      </c>
      <c r="AI11" s="26" t="str">
        <f>'Raw Data'!$S7</f>
        <v>Act as my executive strategy and communications coach. I’m preparing for a meeting to discuss a new initiative or proposal and I need your help to get ready. Ask me 5 clarifying questions first, then help me create a clear meeting goal, a 30 second opening statement, and a simple storyline that includes the problem, why it matters now, the proposed approach, key tradeoffs, risks, and the decision I’m asking the group to make. Use plain English, keep it concise and executive ready, and include a short list of likely objections with strong responses. Avoid jargon, avoid long paragraphs, and make sure the final output is easy for me to copy into notes or slides.</v>
      </c>
      <c r="AJ11" s="26" t="s">
        <v>84</v>
      </c>
      <c r="AK11" s="28" t="str">
        <f>substitute('Prompt Template'!$C$2,$AI$5,$AJ11)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my executive strategy and communications coach. I’m preparing for a meeting to discuss a new initiative or proposal and I need your help to get ready. Ask me 5 clarifying questions first, then help me create a clear meeting goal, a 30 second opening statement, and a simple storyline that includes the problem, why it matters now, the proposed approach, key tradeoffs, risks, and the decision I’m asking the group to make. Use plain English, keep it concise and executive ready, and include a short list of likely objections with strong responses. Avoid jargon, avoid long paragraphs, and make sure the final output is easy for me to copy into notes or slides.&lt;/prompt&gt;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my executive strategy and communications coach. I’m preparing for a meeting to discuss a new initiative or proposal and I need your help to get ready. Ask me 5 clarifying questions first, then help me create a clear meeting goal, a 30 second opening statement, and a simple storyline that includes the problem, why it matters now, the proposed approach, key tradeoffs, risks, and the decision I’m asking the group to make. Use plain English, keep it concise and executive ready, and include a short list of likely objections with strong responses. Avoid jargon, avoid long paragraphs, and make sure the final output is easy for me to copy into notes or slides.&lt;/user_input&gt;</v>
      </c>
      <c r="AL11" s="26">
        <f t="array" ref="AL11">index('Response Scoring'!$G:$G,match($A11,'Response Scoring'!$A:$A,0))</f>
        <v>5</v>
      </c>
      <c r="AM11" s="26">
        <f t="shared" si="16"/>
        <v>1</v>
      </c>
      <c r="AN11" s="26" t="str">
        <f>'Raw Data'!$T7</f>
        <v>Act as a competitive intelligence analyst and product marketer. Your task is to help our team research competitor products, pricing, packaging, and positioning in a consistent, repeatable way. First, ask me 5 clarifying questions about the competitor, target customer, region, and the use case we are comparing. Then gather and summarize findings from reliable public sources, and clearly separate confirmed facts from assumptions. Provide a structured output that includes: product overview, target audience, key value propositions, core features, differentiators, pricing and packaging (with links and dates), onboarding and implementation notes, integrations, customer proof points, and any strengths or gaps versus our offering. Include a simple comparison table, a short executive summary, and recommended talk tracks for sales or stakeholders. Flag any missing information and suggest exactly what to research next. Keep the tone clear and professional, avoid hype, and do not invent details or pricing if you cannot verify them. Think hard.</v>
      </c>
      <c r="AO11" s="26" t="s">
        <v>85</v>
      </c>
      <c r="AP11" s="28" t="str">
        <f>substitute('Prompt Template'!$D$2,$AN$5,$AO11)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analyst and product marketer. Your task is to help our team research competitor products, pricing, packaging, and positioning in a consistent, repeatable way. First, ask me 5 clarifying questions about the competitor, target customer, region, and the use case we are comparing. Then gather and summarize findings from reliable public sources, and clearly separate confirmed facts from assumptions. Provide a structured output that includes: product overview, target audience, key value propositions, core features, differentiators, pricing and packaging (with links and dates), onboarding and implementation notes, integrations, customer proof points, and any strengths or gaps versus our offering. Include a simple comparison table, a short executive summary, and recommended talk tracks for sales or stakeholders. Flag any missing information and suggest exactly what to research next. Keep the tone clear and professional, avoid hype, and do not invent details or pricing if you cannot verify them. Think hard.&lt;/user_input&gt;
</v>
      </c>
      <c r="AQ11" s="26">
        <f t="array" ref="AQ11">index('Response Scoring'!$I:$I,match($A11,'Response Scoring'!$A:$A,0))</f>
        <v>5</v>
      </c>
      <c r="AR11" s="26">
        <f t="shared" si="17"/>
        <v>1</v>
      </c>
      <c r="AS11" s="30">
        <f t="shared" si="18"/>
        <v>10</v>
      </c>
      <c r="AT11" s="26">
        <f t="shared" si="19"/>
        <v>45</v>
      </c>
      <c r="AU11" s="26">
        <f t="shared" si="20"/>
        <v>90</v>
      </c>
      <c r="AV11" s="26" t="str">
        <f t="shared" si="21"/>
        <v>AI Expert</v>
      </c>
      <c r="AW11" s="26" t="str">
        <f>'Raw Data'!U7</f>
        <v/>
      </c>
      <c r="AX11" s="26" t="str">
        <f>'Raw Data'!V7</f>
        <v/>
      </c>
      <c r="AY11" s="26" t="str">
        <f>'Raw Data'!W7</f>
        <v/>
      </c>
      <c r="AZ11" s="26" t="str">
        <f>'Raw Data'!X7</f>
        <v/>
      </c>
      <c r="BA11" s="26" t="str">
        <f>'Raw Data'!Y7</f>
        <v/>
      </c>
      <c r="BB11" s="26" t="str">
        <f>'Raw Data'!Z7</f>
        <v/>
      </c>
      <c r="BW11" s="31" t="str">
        <f>'Raw Data'!C7</f>
        <v>Digital &amp; eCommerce</v>
      </c>
      <c r="BZ11" s="26" t="str">
        <f>'Raw Data'!F7</f>
        <v>Director or senior Director</v>
      </c>
      <c r="CA11" s="31" t="str">
        <f>'Raw Data'!AU7</f>
        <v>I struggle most with knowing when AI output is “good enough” to use versus when I should stop and do the work myself, especially for high stakes executive messaging. I also have to be careful about what context I share for privacy and confidentiality, which sometimes limits how specific I can be and adds extra iteration.</v>
      </c>
      <c r="CB11" s="31" t="str">
        <f>'Raw Data'!AV7</f>
        <v>I currently use a few AI tools outside the approved stack, including Make.com and Zapier for automation workflows, Midjourney and Weavy.ai for visual generation, and ElevenLabs and Synthesia for voice and video creation.</v>
      </c>
      <c r="CC11" s="31" t="str">
        <f>'Raw Data'!AW7</f>
        <v>Strongly agree</v>
      </c>
    </row>
    <row r="12" ht="15.75" customHeight="1">
      <c r="A12" s="26">
        <f>'Raw Data'!$A8</f>
        <v>6</v>
      </c>
      <c r="B12" s="26" t="str">
        <f>'Raw Data'!$G8</f>
        <v>Daily</v>
      </c>
      <c r="C12" s="26">
        <f t="shared" si="1"/>
        <v>1</v>
      </c>
      <c r="D12" s="26" t="str">
        <f>'Raw Data'!$H8</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2" s="26">
        <f t="shared" si="2"/>
        <v>3</v>
      </c>
      <c r="F12" s="27">
        <f t="shared" si="3"/>
        <v>1</v>
      </c>
      <c r="G12" s="26" t="str">
        <f>'Raw Data'!$I8</f>
        <v>I maintain a library of prompts that I reuse frequently</v>
      </c>
      <c r="H12" s="26">
        <f t="shared" si="4"/>
        <v>0.5</v>
      </c>
      <c r="I12" s="26" t="str">
        <f>'Raw Data'!$J8</f>
        <v>Create a systematic process where AI handles data analysis and summary generation consistently</v>
      </c>
      <c r="J12" s="26">
        <f t="shared" si="5"/>
        <v>1</v>
      </c>
      <c r="K12" s="26" t="str">
        <f>'Raw Data'!$K8</f>
        <v>I would use AI to help research the topic for me and then summarize the research.  From that I would ask it to create a presentation ready for an executive audience with the major themes that I would want to make sure were highlighted.  I'd then ask for advice on any gaps in the presentation and a list of questions I might receive from executives based on the content provided</v>
      </c>
      <c r="L12" s="26" t="s">
        <v>86</v>
      </c>
      <c r="M12" s="28" t="str">
        <f>substitute('Prompt Template'!$A$2,$K$5,$L12)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research the topic for me and then summarize the research.  From that I would ask it to create a presentation ready for an executive audience with the major themes that I would want to make sure were highlighted.  I'd then ask for advice on any gaps in the presentation and a list of questions I might receive from executives based on the content provided&lt;/user_input&gt;</v>
      </c>
      <c r="N12" s="26">
        <f t="array" ref="N12">index('Response Scoring'!$C:$C,match($A12,'Response Scoring'!$A:$A,0))</f>
        <v>2</v>
      </c>
      <c r="O12" s="29">
        <f t="shared" si="6"/>
        <v>0.6666666667</v>
      </c>
      <c r="P12" s="26" t="str">
        <f>'Raw Data'!$L8</f>
        <v>Summarizing narrative.  Improving my writing, especially when I need it to be more succinct and for senior level audiences. I use AI as a thought partner, I use it to help me formulate recommendations and build project plans.  Basically anything I do know I ask myself, could AI help me figure this out faster?</v>
      </c>
      <c r="Q12" s="26" t="s">
        <v>87</v>
      </c>
      <c r="R12" s="28" t="str">
        <f>substitute('Prompt Template'!$B$2,$P$5,$Q12)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narrative.  Improving my writing, especially when I need it to be more succinct and for senior level audiences. I use AI as a thought partner, I use it to help me formulate recommendations and build project plans.  Basically anything I do know I ask myself, could AI help me figure this out faster?&lt;/user_input&gt;</v>
      </c>
      <c r="S12" s="26">
        <f t="array" ref="S12">index('Response Scoring'!$E:$E,match($A12,'Response Scoring'!$A:$A,0))</f>
        <v>1</v>
      </c>
      <c r="T12" s="29">
        <f t="shared" si="7"/>
        <v>0.3333333333</v>
      </c>
      <c r="U12" s="29">
        <f t="shared" si="8"/>
        <v>6.166666667</v>
      </c>
      <c r="V12" s="26" t="str">
        <f>'Raw Data'!$M8</f>
        <v>Providing real-time updates on breaking news events happening right now</v>
      </c>
      <c r="W12" s="26">
        <f t="shared" si="9"/>
        <v>0</v>
      </c>
      <c r="X12" s="26" t="str">
        <f>'Raw Data'!$N8</f>
        <v>Hallucinations (generating false or misleading information), Biases in answers, Data privacy concerns when information is shared with an LLM</v>
      </c>
      <c r="Y12" s="26">
        <f t="shared" si="10"/>
        <v>0.75</v>
      </c>
      <c r="Z12" s="26" t="str">
        <f>'Raw Data'!$O8</f>
        <v>Anonymize information by removing identifying details, Use secure company instances or enterprise plans when available</v>
      </c>
      <c r="AA12" s="29">
        <f t="shared" si="11"/>
        <v>1</v>
      </c>
      <c r="AB12" s="26" t="str">
        <f>'Raw Data'!$P8</f>
        <v>Always: I routinely cross-check AI outputs with reliable sources</v>
      </c>
      <c r="AC12" s="26">
        <f t="shared" si="12"/>
        <v>1</v>
      </c>
      <c r="AD12" s="26" t="str">
        <f>'Raw Data'!$Q8</f>
        <v>Look for professional formatting and proper grammar, Cross-reference key claims with reliable external sources, Ask the same AI tool to double-check its work for accuracy, Verify any calculations or data analysis independently, Use a different AI tool to review and verify the content, Check if the response uses confident language and specific details</v>
      </c>
      <c r="AE12" s="26">
        <f t="shared" si="13"/>
        <v>0</v>
      </c>
      <c r="AF12" s="30">
        <f t="shared" si="14"/>
        <v>5.5</v>
      </c>
      <c r="AG12" s="26" t="str">
        <f>'Raw Data'!$R8</f>
        <v>Frequently: I systematically refine prompts until I'm satisfied</v>
      </c>
      <c r="AH12" s="26">
        <f t="shared" si="15"/>
        <v>1</v>
      </c>
      <c r="AI12" s="26" t="str">
        <f>'Raw Data'!$S8</f>
        <v>I am a program manager within a marketing organization and I need help preparing for a meeting where a new initiative will be highlighted.  I've attached some information about the new initiative.  Based off this information summarize what the initiative is about.  Highlight the pros and cons of the initiative.  Suggest 3 questions I should ask to help clarify the initiative purpose.  Include both a narrative and bullet points.</v>
      </c>
      <c r="AJ12" s="26" t="s">
        <v>88</v>
      </c>
      <c r="AK12" s="28" t="str">
        <f>substitute('Prompt Template'!$C$2,$AI$5,$AJ12)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program manager within a marketing organization and I need help preparing for a meeting where a new initiative will be highlighted.  I've attached some information about the new initiative.  Based off this information summarize what the initiative is about.  Highlight the pros and cons of the initiative.  Suggest 3 questions I should ask to help clarify the initiative purpose.  Include both a narrative and bullet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program manager within a marketing organization and I need help preparing for a meeting where a new initiative will be highlighted.  I've attached some information about the new initiative.  Based off this information summarize what the initiative is about.  Highlight the pros and cons of the initiative.  Suggest 3 questions I should ask to help clarify the initiative purpose.  Include both a narrative and bullet points.&lt;/user_input&gt;</v>
      </c>
      <c r="AL12" s="26">
        <f t="array" ref="AL12">index('Response Scoring'!$G:$G,match($A12,'Response Scoring'!$A:$A,0))</f>
        <v>4</v>
      </c>
      <c r="AM12" s="26">
        <f t="shared" si="16"/>
        <v>0.8</v>
      </c>
      <c r="AN12" s="26" t="str">
        <f>'Raw Data'!$T8</f>
        <v>I need an agent to help my team gather competitive intelligence consistently. For (enter competitor names) provide a summary of the company including what they do, size, markets they serve, and any recent news and customer sentiment about the company.  Share a list of their products including key featuring and pricing.  Share positioning and messaging for their products and highlight anything that calls out how they are different from our company's products.  Include this information in a table format</v>
      </c>
      <c r="AO12" s="26" t="s">
        <v>89</v>
      </c>
      <c r="AP12" s="28" t="str">
        <f>substitute('Prompt Template'!$D$2,$AN$5,$AO12)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an agent to help my team gather competitive intelligence consistently. For (enter competitor names) provide a summary of the company including what they do, size, markets they serve, and any recent news and customer sentiment about the company.  Share a list of their products including key featuring and pricing.  Share positioning and messaging for their products and highlight anything that calls out how they are different from our company's products.  Include this information in a table format&lt;/user_input&gt;
</v>
      </c>
      <c r="AQ12" s="26">
        <f t="array" ref="AQ12">index('Response Scoring'!$I:$I,match($A12,'Response Scoring'!$A:$A,0))</f>
        <v>3</v>
      </c>
      <c r="AR12" s="26">
        <f t="shared" si="17"/>
        <v>0.6</v>
      </c>
      <c r="AS12" s="30">
        <f t="shared" si="18"/>
        <v>7.3</v>
      </c>
      <c r="AT12" s="26">
        <f t="shared" si="19"/>
        <v>32.1</v>
      </c>
      <c r="AU12" s="26">
        <f t="shared" si="20"/>
        <v>64.2</v>
      </c>
      <c r="AV12" s="26" t="str">
        <f t="shared" si="21"/>
        <v>AI Practitioner</v>
      </c>
      <c r="AW12" s="26" t="str">
        <f>'Raw Data'!U8</f>
        <v/>
      </c>
      <c r="AX12" s="26" t="str">
        <f>'Raw Data'!V8</f>
        <v/>
      </c>
      <c r="AY12" s="26" t="str">
        <f>'Raw Data'!W8</f>
        <v/>
      </c>
      <c r="AZ12" s="26" t="str">
        <f>'Raw Data'!X8</f>
        <v/>
      </c>
      <c r="BA12" s="26" t="str">
        <f>'Raw Data'!Y8</f>
        <v/>
      </c>
      <c r="BB12" s="26" t="str">
        <f>'Raw Data'!Z8</f>
        <v/>
      </c>
      <c r="BW12" s="31" t="str">
        <f>'Raw Data'!C8</f>
        <v>Marketing Strategy &amp; Planning</v>
      </c>
      <c r="BZ12" s="26" t="str">
        <f>'Raw Data'!F8</f>
        <v>Individual Contributor</v>
      </c>
      <c r="CA12" s="31" t="str">
        <f>'Raw Data'!AU8</f>
        <v>refining my prompts to get AI to do exactly what I need</v>
      </c>
      <c r="CB12" s="31" t="str">
        <f>'Raw Data'!AV8</f>
        <v>none</v>
      </c>
      <c r="CC12" s="31" t="str">
        <f>'Raw Data'!AW8</f>
        <v>Neutral</v>
      </c>
    </row>
    <row r="13" ht="15.75" customHeight="1">
      <c r="A13" s="26">
        <f>'Raw Data'!$A9</f>
        <v>7</v>
      </c>
      <c r="B13" s="26" t="str">
        <f>'Raw Data'!$G9</f>
        <v>Daily</v>
      </c>
      <c r="C13" s="26">
        <f t="shared" si="1"/>
        <v>1</v>
      </c>
      <c r="D13" s="26" t="str">
        <f>'Raw Data'!$H9</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 Using AI for vibe coding to prototype solutions, apps, or products</v>
      </c>
      <c r="E13" s="26">
        <f t="shared" si="2"/>
        <v>3</v>
      </c>
      <c r="F13" s="27">
        <f t="shared" si="3"/>
        <v>1</v>
      </c>
      <c r="G13" s="26" t="str">
        <f>'Raw Data'!$I9</f>
        <v>I've built custom AI tools (i.e. CustomGPTs, Copilot Agents) for repetitive tasks</v>
      </c>
      <c r="H13" s="26">
        <f t="shared" si="4"/>
        <v>0.75</v>
      </c>
      <c r="I13" s="26" t="str">
        <f>'Raw Data'!$J9</f>
        <v>Create a systematic process where AI handles data analysis and summary generation consistently</v>
      </c>
      <c r="J13" s="26">
        <f t="shared" si="5"/>
        <v>1</v>
      </c>
      <c r="K13" s="26" t="str">
        <f>'Raw Data'!$K9</f>
        <v>(1) I will research and aggregate all existing data sources and knowledge in one place 
(2.1) Create a GPT/copilot with persona and specific instructions like output in bullet points, focusing on ROI/Risk 
(2.2) I will then prompt AI to organise raw insights, first conclusions then arguments and then data sources 
(2.3) I will ask AI to build mental models and analogies 
(3.1) I will review the narrative flow, logics and blind spots and ask AI to describe flow charts/ visualizations needed to prove each point. 
(3.2) Perform audit, will force AI to cite all sources and I will manually verify critical facts
(3.3) I will instruct AI to adopt persona of my most skeptic stakeholder and generate top objections 
(4.1) then I will prepare for defense/clarification with AI 
(4.2) Ask AI to create the final deck and have vocal conversation with AI to refine speakers note.
(5.1) Finalize the deck with content, bullets and visuals
(5.2) Ask AI to create 1 page summary as well for stakeholders
I will be using 'human in loop' approach, where AI is used for research, summarizing, organising and I will verify facts and control direction and narrative of the presentation</v>
      </c>
      <c r="L13" s="26" t="s">
        <v>90</v>
      </c>
      <c r="M13" s="28" t="str">
        <f>substitute('Prompt Template'!$A$2,$K$5,$L13)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I will research and aggregate all existing data sources and knowledge in one place 
(2.1) Create a GPT/copilot with persona and specific instructions like output in bullet points, focusing on ROI/Risk 
(2.2) I will then prompt AI to organise raw insights, first conclusions then arguments and then data sources 
(2.3) I will ask AI to build mental models and analogies 
(3.1) I will review the narrative flow, logics and blind spots and ask AI to describe flow charts/ visualizations needed to prove each point. 
(3.2) Perform audit, will force AI to cite all sources and I will manually verify critical facts
(3.3) I will instruct AI to adopt persona of my most skeptic stakeholder and generate top objections 
(4.1) then I will prepare for defense/clarification with AI 
(4.2) Ask AI to create the final deck and have vocal conversation with AI to refine speakers note.
(5.1) Finalize the deck with content, bullets and visuals
(5.2) Ask AI to create 1 page summary as well for stakeholders
I will be using 'human in loop' approach, where AI is used for research, summarizing, organising and I will verify facts and control direction and narrative of the presentation&lt;/user_input&gt;</v>
      </c>
      <c r="N13" s="26">
        <f t="array" ref="N13">index('Response Scoring'!$C:$C,match($A13,'Response Scoring'!$A:$A,0))</f>
        <v>3</v>
      </c>
      <c r="O13" s="29">
        <f t="shared" si="6"/>
        <v>1</v>
      </c>
      <c r="P13" s="26" t="str">
        <f>'Raw Data'!$L9</f>
        <v>I used AI to ingest our raw data, adopt the specific personas, and generate data backed rebuttals. 
I also use AI to create specific copilots for different tasks.</v>
      </c>
      <c r="Q13" s="26" t="s">
        <v>91</v>
      </c>
      <c r="R13" s="28" t="str">
        <f>substitute('Prompt Template'!$B$2,$P$5,$Q13)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ingest our raw data, adopt the specific personas, and generate data backed rebuttals. 
I also use AI to create specific copilots for different tasks.&lt;/user_input&gt;</v>
      </c>
      <c r="S13" s="26">
        <f t="array" ref="S13">index('Response Scoring'!$E:$E,match($A13,'Response Scoring'!$A:$A,0))</f>
        <v>2</v>
      </c>
      <c r="T13" s="29">
        <f t="shared" si="7"/>
        <v>0.6666666667</v>
      </c>
      <c r="U13" s="29">
        <f t="shared" si="8"/>
        <v>8.416666667</v>
      </c>
      <c r="V13" s="26" t="str">
        <f>'Raw Data'!$M9</f>
        <v>Analyzing presentation slides to evaluate both the visual design and written content for consistency</v>
      </c>
      <c r="W13" s="26">
        <f t="shared" si="9"/>
        <v>1</v>
      </c>
      <c r="X13" s="26" t="str">
        <f>'Raw Data'!$N9</f>
        <v>Hallucinations (generating false or misleading information), Biases in answers, Data privacy concerns when information is shared with an LLM, Vulnerability to manipulation by bad actors</v>
      </c>
      <c r="Y13" s="26">
        <f t="shared" si="10"/>
        <v>1</v>
      </c>
      <c r="Z13" s="26" t="str">
        <f>'Raw Data'!$O9</f>
        <v>Anonymize information by removing identifying details, Use secure company instances or enterprise plans when available</v>
      </c>
      <c r="AA13" s="29">
        <f t="shared" si="11"/>
        <v>1</v>
      </c>
      <c r="AB13" s="26" t="str">
        <f>'Raw Data'!$P9</f>
        <v>Always: I routinely cross-check AI outputs with reliable sources</v>
      </c>
      <c r="AC13" s="26">
        <f t="shared" si="12"/>
        <v>1</v>
      </c>
      <c r="AD13" s="26" t="str">
        <f>'Raw Data'!$Q9</f>
        <v>Cross-reference key claims with reliable external sources, Verify any calculations or data analysis independently, Ask the same AI tool to double-check its work for accuracy, Use a different AI tool to review and verify the content</v>
      </c>
      <c r="AE13" s="26">
        <f t="shared" si="13"/>
        <v>1</v>
      </c>
      <c r="AF13" s="30">
        <f t="shared" si="14"/>
        <v>10</v>
      </c>
      <c r="AG13" s="26" t="str">
        <f>'Raw Data'!$R9</f>
        <v>Frequently: I systematically refine prompts until I'm satisfied</v>
      </c>
      <c r="AH13" s="26">
        <f t="shared" si="15"/>
        <v>1</v>
      </c>
      <c r="AI13" s="26" t="str">
        <f>'Raw Data'!$S9</f>
        <v>Act as an Organizational Effectiveness Consultant and Employee Experience Strategist. Your goal is to help me secure buy-in for optimizing our internal feedback loop.
Context:
My Role: Marketing Ops Manager.
The Initiative: Automating and optimizing the monthly "Marketers Campaign Survey" on Qualtrics (currently manual/inefficient).
The Goal: Increase response rates, automate data collection, and turn qualitative feedback into quantitative process improvements.
The Problem: The current survey is manual, and likely suffers from low engagement. We lack actionable insights on campaign bottlenecks.
The Audience:
CMO: Wants to ensure the team is efficient and happy; hates administrative bloat.
Campaign Managers (The Respondents): They hate "busy work" and survey fatigue. They need to see value in answering.
Marketing Directors: Want to know why campaigns are delayed but don't want to micromanage.
Task: Please output the following 4 sections:
Section 1: Rewrite my pitch into a 3-part Minto Pyramid structure:
The Governing Thought: A single sentence recommendation focusing on "Operational Intelligence" rather than just "sending a survey."
Key Line of Reasoning: The 3 distinct benefits (e.g., "Real-time Bottleneck Detection," "Automated Sentiment Tracking," "Hours Saved on Manual Analysis").
The "So What?": The Cost of Inaction (e.g., "Without this, we continue to rely on hearsay and anecdotes to fix campaign issues").
Section 2: The Stakeholder Matrix Create a table analyzing my audience:
Column 1: Stakeholder (CMO, Campaign Managers, Directors).
Column 2: Their "Nightmare" (e.g., For Campaign Managers: "Another useless form that takes 15 minutes and changes nothing").
Column 3: The Specific Benefit (e.g., For Managers: "A 'Vent Valve' that actually gets leadership to fix the broken processes slowing them down").
Column 4: The "Language" to use (e.g., For CMO use "Operational Agility," for Managers use "Removing Friction").
Section 3: The "Red Team" Pre-Mortem (Critical) Adopt the persona of a cynical staff member.
Identify the top 3 "Silent Killers" specific to internal surveys. (e.g., "Selection Bias" where only angry people respond, "Survey Fatigue" leading to garbage data, or the "Black Hole" effect where no action is taken on feedback).
Tell me exactly why this initiative will fail if I don't design it perfectly.
Section 4: The Defense Script For each "Silent Killer" in Section 3, write a concise rebuttal.
Specific Requirement: Give me a script for the "What's in it for me?" objection from a busy Campaign Manager. Explain how this specific automation will save them time in the long run.</v>
      </c>
      <c r="AJ13" s="26" t="s">
        <v>92</v>
      </c>
      <c r="AK13" s="28" t="str">
        <f>substitute('Prompt Template'!$C$2,$AI$5,$AJ13)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an Organizational Effectiveness Consultant and Employee Experience Strategist. Your goal is to help me secure buy-in for optimizing our internal feedback loop.
Context:
My Role: Marketing Ops Manager.
The Initiative: Automating and optimizing the monthly "Marketers Campaign Survey" on Qualtrics (currently manual/inefficient).
The Goal: Increase response rates, automate data collection, and turn qualitative feedback into quantitative process improvements.
The Problem: The current survey is manual, and likely suffers from low engagement. We lack actionable insights on campaign bottlenecks.
The Audience:
CMO: Wants to ensure the team is efficient and happy; hates administrative bloat.
Campaign Managers (The Respondents): They hate "busy work" and survey fatigue. They need to see value in answering.
Marketing Directors: Want to know why campaigns are delayed but don't want to micromanage.
Task: Please output the following 4 sections:
Section 1: Rewrite my pitch into a 3-part Minto Pyramid structure:
The Governing Thought: A single sentence recommendation focusing on "Operational Intelligence" rather than just "sending a survey."
Key Line of Reasoning: The 3 distinct benefits (e.g., "Real-time Bottleneck Detection," "Automated Sentiment Tracking," "Hours Saved on Manual Analysis").
The "So What?": The Cost of Inaction (e.g., "Without this, we continue to rely on hearsay and anecdotes to fix campaign issues").
Section 2: The Stakeholder Matrix Create a table analyzing my audience:
Column 1: Stakeholder (CMO, Campaign Managers, Directors).
Column 2: Their "Nightmare" (e.g., For Campaign Managers: "Another useless form that takes 15 minutes and changes nothing").
Column 3: The Specific Benefit (e.g., For Managers: "A 'Vent Valve' that actually gets leadership to fix the broken processes slowing them down").
Column 4: The "Language" to use (e.g., For CMO use "Operational Agility," for Managers use "Removing Friction").
Section 3: The "Red Team" Pre-Mortem (Critical) Adopt the persona of a cynical staff member.
Identify the top 3 "Silent Killers" specific to internal surveys. (e.g., "Selection Bias" where only angry people respond, "Survey Fatigue" leading to garbage data, or the "Black Hole" effect where no action is taken on feedback).
Tell me exactly why this initiative will fail if I don't design it perfectly.
Section 4: The Defense Script For each "Silent Killer" in Section 3, write a concise rebuttal.
Specific Requirement: Give me a script for the "What's in it for me?" objection from a busy Campaign Manager. Explain how this specific automation will save them time in the long run.&lt;/prompt&gt;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an Organizational Effectiveness Consultant and Employee Experience Strategist. Your goal is to help me secure buy-in for optimizing our internal feedback loop.
Context:
My Role: Marketing Ops Manager.
The Initiative: Automating and optimizing the monthly "Marketers Campaign Survey" on Qualtrics (currently manual/inefficient).
The Goal: Increase response rates, automate data collection, and turn qualitative feedback into quantitative process improvements.
The Problem: The current survey is manual, and likely suffers from low engagement. We lack actionable insights on campaign bottlenecks.
The Audience:
CMO: Wants to ensure the team is efficient and happy; hates administrative bloat.
Campaign Managers (The Respondents): They hate "busy work" and survey fatigue. They need to see value in answering.
Marketing Directors: Want to know why campaigns are delayed but don't want to micromanage.
Task: Please output the following 4 sections:
Section 1: Rewrite my pitch into a 3-part Minto Pyramid structure:
The Governing Thought: A single sentence recommendation focusing on "Operational Intelligence" rather than just "sending a survey."
Key Line of Reasoning: The 3 distinct benefits (e.g., "Real-time Bottleneck Detection," "Automated Sentiment Tracking," "Hours Saved on Manual Analysis").
The "So What?": The Cost of Inaction (e.g., "Without this, we continue to rely on hearsay and anecdotes to fix campaign issues").
Section 2: The Stakeholder Matrix Create a table analyzing my audience:
Column 1: Stakeholder (CMO, Campaign Managers, Directors).
Column 2: Their "Nightmare" (e.g., For Campaign Managers: "Another useless form that takes 15 minutes and changes nothing").
Column 3: The Specific Benefit (e.g., For Managers: "A 'Vent Valve' that actually gets leadership to fix the broken processes slowing them down").
Column 4: The "Language" to use (e.g., For CMO use "Operational Agility," for Managers use "Removing Friction").
Section 3: The "Red Team" Pre-Mortem (Critical) Adopt the persona of a cynical staff member.
Identify the top 3 "Silent Killers" specific to internal surveys. (e.g., "Selection Bias" where only angry people respond, "Survey Fatigue" leading to garbage data, or the "Black Hole" effect where no action is taken on feedback).
Tell me exactly why this initiative will fail if I don't design it perfectly.
Section 4: The Defense Script For each "Silent Killer" in Section 3, write a concise rebuttal.
Specific Requirement: Give me a script for the "What's in it for me?" objection from a busy Campaign Manager. Explain how this specific automation will save them time in the long run.&lt;/user_input&gt;</v>
      </c>
      <c r="AL13" s="26">
        <f t="array" ref="AL13">index('Response Scoring'!$G:$G,match($A13,'Response Scoring'!$A:$A,0))</f>
        <v>5</v>
      </c>
      <c r="AM13" s="26">
        <f t="shared" si="16"/>
        <v>1</v>
      </c>
      <c r="AN13" s="26" t="str">
        <f>'Raw Data'!$T9</f>
        <v>Role: You are a Senior Competitive Intelligence Analyst and Product Strategist. Your job is to dissect competitor data and convert it into structured, actionable intelligence. You do not just "summarize" you analyze for weakness and differentiation.
Core Directive: When provided with a Competitor Name, URL, or Document, you must execute the "4 Point Intel Protocol" below. Do not deviate from this structure unless explicitly asked.
The 4-Point Intel Protocol:
1. The Pricing &amp; Packaging Audit
Goal: Reveal the true cost, not just the headline price.
Extract: Pricing tiers (Free, Pro, Enterprise), the "metric" (per user? per contact? flat fee?), and any hidden gates (e.g., "SSO is only in Enterprise").
Analysis: Flag where they are cheaper/more expensive than market average.
2. Positioning &amp; ICP Decoder
Goal: Identify who they want to sell to vs. who they actually sell to.
Extract: The H1 Headline (Value Prop), target industries, and the specific "Job to Be Done" they claim to solve.
Analysis: Based on their language, who is their Ideal Customer Profile (ICP)? (e.g., "SMBs looking for speed" vs. "Enterprises looking for compliance").
3. Feature Parity &amp; Gaps
Goal: A brutal "Us vs. Them" comparison.
Action: List their Top 3 "Hero Features" (what they brag about).
Weakness Spotter: Based on G2/Capterra sentiment (if available) or "missing" keywords, what features are they hiding or weak on? (e.g., "Weak API documentation," "No native Salesforce integration").
4. The "Kill Sheet" Summary
Output: A 1-paragraph script for our Sales team.
Format: "When a prospect mentions [Competitor], say: 'They are great for [X], but customers usually switch to us because [Competitor] lacks [Y] and charges extra for [Z].'"
Tone &amp; Style Constraints:
Be Cynical: Do not repeat their marketing adjectives (e.g., "seamless," "revolutionary"). Strip the fluff.
Zero Hallucination: If you cannot find pricing or a specific feature, state explicitly: "DATA NOT FOUND / HIDDEN." Do not guess.
Format: Use Markdown Tables for comparisons. Use Bullet Points for analysis.</v>
      </c>
      <c r="AO13" s="26" t="s">
        <v>93</v>
      </c>
      <c r="AP13" s="28" t="str">
        <f>substitute('Prompt Template'!$D$2,$AN$5,$AO13)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are a Senior Competitive Intelligence Analyst and Product Strategist. Your job is to dissect competitor data and convert it into structured, actionable intelligence. You do not just "summarize" you analyze for weakness and differentiation.
Core Directive: When provided with a Competitor Name, URL, or Document, you must execute the "4 Point Intel Protocol" below. Do not deviate from this structure unless explicitly asked.
The 4-Point Intel Protocol:
1. The Pricing &amp; Packaging Audit
Goal: Reveal the true cost, not just the headline price.
Extract: Pricing tiers (Free, Pro, Enterprise), the "metric" (per user? per contact? flat fee?), and any hidden gates (e.g., "SSO is only in Enterprise").
Analysis: Flag where they are cheaper/more expensive than market average.
2. Positioning &amp; ICP Decoder
Goal: Identify who they want to sell to vs. who they actually sell to.
Extract: The H1 Headline (Value Prop), target industries, and the specific "Job to Be Done" they claim to solve.
Analysis: Based on their language, who is their Ideal Customer Profile (ICP)? (e.g., "SMBs looking for speed" vs. "Enterprises looking for compliance").
3. Feature Parity &amp; Gaps
Goal: A brutal "Us vs. Them" comparison.
Action: List their Top 3 "Hero Features" (what they brag about).
Weakness Spotter: Based on G2/Capterra sentiment (if available) or "missing" keywords, what features are they hiding or weak on? (e.g., "Weak API documentation," "No native Salesforce integration").
4. The "Kill Sheet" Summary
Output: A 1-paragraph script for our Sales team.
Format: "When a prospect mentions [Competitor], say: 'They are great for [X], but customers usually switch to us because [Competitor] lacks [Y] and charges extra for [Z].'"
Tone &amp; Style Constraints:
Be Cynical: Do not repeat their marketing adjectives (e.g., "seamless," "revolutionary"). Strip the fluff.
Zero Hallucination: If you cannot find pricing or a specific feature, state explicitly: "DATA NOT FOUND / HIDDEN." Do not guess.
Format: Use Markdown Tables for comparisons. Use Bullet Points for analysis.&lt;/user_input&gt;
</v>
      </c>
      <c r="AQ13" s="26">
        <f t="array" ref="AQ13">index('Response Scoring'!$I:$I,match($A13,'Response Scoring'!$A:$A,0))</f>
        <v>5</v>
      </c>
      <c r="AR13" s="26">
        <f t="shared" si="17"/>
        <v>1</v>
      </c>
      <c r="AS13" s="30">
        <f t="shared" si="18"/>
        <v>10</v>
      </c>
      <c r="AT13" s="26">
        <f t="shared" si="19"/>
        <v>47.625</v>
      </c>
      <c r="AU13" s="26">
        <f t="shared" si="20"/>
        <v>95.25</v>
      </c>
      <c r="AV13" s="26" t="str">
        <f t="shared" si="21"/>
        <v>AI Expert</v>
      </c>
      <c r="AW13" s="26" t="str">
        <f>'Raw Data'!U9</f>
        <v/>
      </c>
      <c r="AX13" s="26" t="str">
        <f>'Raw Data'!V9</f>
        <v/>
      </c>
      <c r="AY13" s="26" t="str">
        <f>'Raw Data'!W9</f>
        <v/>
      </c>
      <c r="AZ13" s="26" t="str">
        <f>'Raw Data'!X9</f>
        <v/>
      </c>
      <c r="BA13" s="26" t="str">
        <f>'Raw Data'!Y9</f>
        <v/>
      </c>
      <c r="BB13" s="26" t="str">
        <f>'Raw Data'!Z9</f>
        <v/>
      </c>
      <c r="BW13" s="31" t="str">
        <f>'Raw Data'!C9</f>
        <v>Digital &amp; eCommerce</v>
      </c>
      <c r="BZ13" s="26" t="str">
        <f>'Raw Data'!F9</f>
        <v>Individual Contributor</v>
      </c>
      <c r="CA13" s="31" t="str">
        <f>'Raw Data'!AU9</f>
        <v/>
      </c>
      <c r="CB13" s="31" t="str">
        <f>'Raw Data'!AV9</f>
        <v>personally I use Gemini for anything outside work.</v>
      </c>
      <c r="CC13" s="31" t="str">
        <f>'Raw Data'!AW9</f>
        <v>Agree</v>
      </c>
    </row>
    <row r="14" ht="15.75" customHeight="1">
      <c r="A14" s="26">
        <f>'Raw Data'!$A10</f>
        <v>8</v>
      </c>
      <c r="B14" s="26" t="str">
        <f>'Raw Data'!$G10</f>
        <v>Daily</v>
      </c>
      <c r="C14" s="26">
        <f t="shared" si="1"/>
        <v>1</v>
      </c>
      <c r="D14" s="26" t="str">
        <f>'Raw Data'!$H10</f>
        <v>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 Building custom prompts, templates, or workflows that I reuse regularly, Getting quick answers to specific questions or looking up information</v>
      </c>
      <c r="E14" s="26">
        <f t="shared" si="2"/>
        <v>3</v>
      </c>
      <c r="F14" s="27">
        <f t="shared" si="3"/>
        <v>1</v>
      </c>
      <c r="G14" s="26" t="str">
        <f>'Raw Data'!$I10</f>
        <v>I maintain a library of prompts that I reuse frequently</v>
      </c>
      <c r="H14" s="26">
        <f t="shared" si="4"/>
        <v>0.5</v>
      </c>
      <c r="I14" s="26" t="str">
        <f>'Raw Data'!$J10</f>
        <v>Create a systematic process where AI handles data analysis and summary generation consistently</v>
      </c>
      <c r="J14" s="26">
        <f t="shared" si="5"/>
        <v>1</v>
      </c>
      <c r="K14" s="26" t="str">
        <f>'Raw Data'!$K10</f>
        <v>I do my research on the topic using GPT or Copilot. Word my prompt properly so that it pulls out the info that I want and for what I need it for (including the goal), then use CANVA Ent with AI features to create the presentation</v>
      </c>
      <c r="L14" s="26" t="s">
        <v>94</v>
      </c>
      <c r="M14" s="28" t="str">
        <f>substitute('Prompt Template'!$A$2,$K$5,$L14)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 my research on the topic using GPT or Copilot. Word my prompt properly so that it pulls out the info that I want and for what I need it for (including the goal), then use CANVA Ent with AI features to create the presentation&lt;/user_input&gt;</v>
      </c>
      <c r="N14" s="26">
        <f t="array" ref="N14">index('Response Scoring'!$C:$C,match($A14,'Response Scoring'!$A:$A,0))</f>
        <v>2</v>
      </c>
      <c r="O14" s="29">
        <f t="shared" si="6"/>
        <v>0.6666666667</v>
      </c>
      <c r="P14" s="26" t="str">
        <f>'Raw Data'!$L10</f>
        <v>To clean Excel reports that I need to analyze, I use it to draft my weekly priorities, to verify vendor information, to draft high level emails, or to create a project plan. I also use the Airtable AI features (amen!). Also to draft Slack comms post.</v>
      </c>
      <c r="Q14" s="26" t="s">
        <v>95</v>
      </c>
      <c r="R14" s="28" t="str">
        <f>substitute('Prompt Template'!$B$2,$P$5,$Q14)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clean Excel reports that I need to analyze, I use it to draft my weekly priorities, to verify vendor information, to draft high level emails, or to create a project plan. I also use the Airtable AI features (amen!). Also to draft Slack comms post.&lt;/user_input&gt;</v>
      </c>
      <c r="S14" s="26">
        <f t="array" ref="S14">index('Response Scoring'!$E:$E,match($A14,'Response Scoring'!$A:$A,0))</f>
        <v>1</v>
      </c>
      <c r="T14" s="29">
        <f t="shared" si="7"/>
        <v>0.3333333333</v>
      </c>
      <c r="U14" s="29">
        <f t="shared" si="8"/>
        <v>6.166666667</v>
      </c>
      <c r="V14" s="26" t="str">
        <f>'Raw Data'!$M10</f>
        <v>Analyzing presentation slides to evaluate both the visual design and written content for consistency</v>
      </c>
      <c r="W14" s="26">
        <f t="shared" si="9"/>
        <v>1</v>
      </c>
      <c r="X14" s="26" t="str">
        <f>'Raw Data'!$N10</f>
        <v>Data privacy concerns when information is shared with an LLM, Biases in answers</v>
      </c>
      <c r="Y14" s="26">
        <f t="shared" si="10"/>
        <v>0.5</v>
      </c>
      <c r="Z14" s="26" t="str">
        <f>'Raw Data'!$O10</f>
        <v>Anonymize information by removing identifying details, Use secure company instances or enterprise plans when available</v>
      </c>
      <c r="AA14" s="29">
        <f t="shared" si="11"/>
        <v>1</v>
      </c>
      <c r="AB14" s="26" t="str">
        <f>'Raw Data'!$P10</f>
        <v>Always: I routinely cross-check AI outputs with reliable sources</v>
      </c>
      <c r="AC14" s="26">
        <f t="shared" si="12"/>
        <v>1</v>
      </c>
      <c r="AD14" s="26" t="str">
        <f>'Raw Data'!$Q10</f>
        <v>Use a different AI tool to review and verify the content</v>
      </c>
      <c r="AE14" s="26">
        <f t="shared" si="13"/>
        <v>0.25</v>
      </c>
      <c r="AF14" s="30">
        <f t="shared" si="14"/>
        <v>7.5</v>
      </c>
      <c r="AG14" s="26" t="str">
        <f>'Raw Data'!$R10</f>
        <v>Sometimes: I iterate 2-3 times to reach a good result</v>
      </c>
      <c r="AH14" s="26">
        <f t="shared" si="15"/>
        <v>0.67</v>
      </c>
      <c r="AI14" s="26" t="str">
        <f>'Raw Data'!$S10</f>
        <v>Prepare an outline for my call NAME. The topics are... the audience is... pull details from this doc or this meeting transcript and highlight important points of discussion, areas of focus, why this initiative is a good idea, potential challenges, resources. Research this topic to find why this initiative can work, what advantages it has, and how it can improve our marketing processes, ROI, productivity. Use a clear tone, with bullet points, trend analysis, data resources from the web or successful cases.</v>
      </c>
      <c r="AJ14" s="26" t="s">
        <v>96</v>
      </c>
      <c r="AK14" s="28" t="str">
        <f>substitute('Prompt Template'!$C$2,$AI$5,$AJ14)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an outline for my call NAME. The topics are... the audience is... pull details from this doc or this meeting transcript and highlight important points of discussion, areas of focus, why this initiative is a good idea, potential challenges, resources. Research this topic to find why this initiative can work, what advantages it has, and how it can improve our marketing processes, ROI, productivity. Use a clear tone, with bullet points, trend analysis, data resources from the web or successful cases.&lt;/prompt&gt;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an outline for my call NAME. The topics are... the audience is... pull details from this doc or this meeting transcript and highlight important points of discussion, areas of focus, why this initiative is a good idea, potential challenges, resources. Research this topic to find why this initiative can work, what advantages it has, and how it can improve our marketing processes, ROI, productivity. Use a clear tone, with bullet points, trend analysis, data resources from the web or successful cases.&lt;/user_input&gt;</v>
      </c>
      <c r="AL14" s="26">
        <f t="array" ref="AL14">index('Response Scoring'!$G:$G,match($A14,'Response Scoring'!$A:$A,0))</f>
        <v>2</v>
      </c>
      <c r="AM14" s="26">
        <f t="shared" si="16"/>
        <v>0.4</v>
      </c>
      <c r="AN14" s="26" t="str">
        <f>'Raw Data'!$T10</f>
        <v>- Execute a deep analysis of three specified competitors across their entire GTM motion.
- Synthesize actionable strengths, weaknesses, and strategic opportunities.
- Develop three unique "preemptive edge" positioning statements.
- Propose three immediate, high-impact GTM tactics.</v>
      </c>
      <c r="AO14" s="26" t="s">
        <v>97</v>
      </c>
      <c r="AP14" s="28" t="str">
        <f>substitute('Prompt Template'!$D$2,$AN$5,$AO14)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Execute a deep analysis of three specified competitors across their entire GTM motion.
- Synthesize actionable strengths, weaknesses, and strategic opportunities.
- Develop three unique "preemptive edge" positioning statements.
- Propose three immediate, high-impact GTM tactics.&lt;/user_input&gt;
</v>
      </c>
      <c r="AQ14" s="26">
        <f t="array" ref="AQ14">index('Response Scoring'!$I:$I,match($A14,'Response Scoring'!$A:$A,0))</f>
        <v>2</v>
      </c>
      <c r="AR14" s="26">
        <f t="shared" si="17"/>
        <v>0.4</v>
      </c>
      <c r="AS14" s="30">
        <f t="shared" si="18"/>
        <v>4.405</v>
      </c>
      <c r="AT14" s="26">
        <f t="shared" si="19"/>
        <v>29.31</v>
      </c>
      <c r="AU14" s="26">
        <f t="shared" si="20"/>
        <v>58.62</v>
      </c>
      <c r="AV14" s="26" t="str">
        <f t="shared" si="21"/>
        <v>AI Experimenter</v>
      </c>
      <c r="AW14" s="26" t="str">
        <f>'Raw Data'!U10</f>
        <v/>
      </c>
      <c r="AX14" s="26" t="str">
        <f>'Raw Data'!V10</f>
        <v/>
      </c>
      <c r="AY14" s="26" t="str">
        <f>'Raw Data'!W10</f>
        <v/>
      </c>
      <c r="AZ14" s="26" t="str">
        <f>'Raw Data'!X10</f>
        <v/>
      </c>
      <c r="BA14" s="26" t="str">
        <f>'Raw Data'!Y10</f>
        <v/>
      </c>
      <c r="BB14" s="26" t="str">
        <f>'Raw Data'!Z10</f>
        <v/>
      </c>
      <c r="BW14" s="31" t="str">
        <f>'Raw Data'!C10</f>
        <v>Digital &amp; eCommerce</v>
      </c>
      <c r="BZ14" s="26" t="str">
        <f>'Raw Data'!F10</f>
        <v>Individual Contributor</v>
      </c>
      <c r="CA14" s="31" t="str">
        <f>'Raw Data'!AU10</f>
        <v>Not enough time to learn more, but I want to go to an advance level</v>
      </c>
      <c r="CB14" s="31" t="str">
        <f>'Raw Data'!AV10</f>
        <v>DeepL for translation (personal. I do not use it for work purposes). Gemini (personal)</v>
      </c>
      <c r="CC14" s="31" t="str">
        <f>'Raw Data'!AW10</f>
        <v>Agree</v>
      </c>
    </row>
    <row r="15" ht="15.75" customHeight="1">
      <c r="A15" s="26">
        <f>'Raw Data'!$A11</f>
        <v>9</v>
      </c>
      <c r="B15" s="26" t="str">
        <f>'Raw Data'!$G11</f>
        <v>Weekly</v>
      </c>
      <c r="C15" s="26">
        <f t="shared" si="1"/>
        <v>0.5</v>
      </c>
      <c r="D15" s="26" t="str">
        <f>'Raw Data'!$H11</f>
        <v>Getting quick answers to specific questions or looking up information, Editing or improving text I've already written (emails, documents, presentations), Brainstorming ideas, testing concepts, or getting feedback on my thinking</v>
      </c>
      <c r="E15" s="26">
        <f t="shared" si="2"/>
        <v>2</v>
      </c>
      <c r="F15" s="27">
        <f t="shared" si="3"/>
        <v>0.6666666667</v>
      </c>
      <c r="G15" s="26" t="str">
        <f>'Raw Data'!$I11</f>
        <v>I create fresh prompts each time I use AI</v>
      </c>
      <c r="H15" s="26">
        <f t="shared" si="4"/>
        <v>0.25</v>
      </c>
      <c r="I15" s="26" t="str">
        <f>'Raw Data'!$J11</f>
        <v>Create a systematic process where AI handles data analysis and summary generation consistently</v>
      </c>
      <c r="J15" s="26">
        <f t="shared" si="5"/>
        <v>1</v>
      </c>
      <c r="K15" s="26" t="str">
        <f>'Raw Data'!$K11</f>
        <v>use as a research guide</v>
      </c>
      <c r="L15" s="26" t="s">
        <v>98</v>
      </c>
      <c r="M15" s="28" t="str">
        <f>substitute('Prompt Template'!$A$2,$K$5,$L15)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as a research guide&lt;/user_input&gt;</v>
      </c>
      <c r="N15" s="26">
        <f t="array" ref="N15">index('Response Scoring'!$C:$C,match($A15,'Response Scoring'!$A:$A,0))</f>
        <v>1</v>
      </c>
      <c r="O15" s="29">
        <f t="shared" si="6"/>
        <v>0.3333333333</v>
      </c>
      <c r="P15" s="26" t="str">
        <f>'Raw Data'!$L11</f>
        <v>prototyping an app</v>
      </c>
      <c r="Q15" s="26" t="s">
        <v>99</v>
      </c>
      <c r="R15" s="28" t="str">
        <f>substitute('Prompt Template'!$B$2,$P$5,$Q15)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&lt;user_input&gt;prototyping an app&lt;/user_input&gt;</v>
      </c>
      <c r="S15" s="26">
        <f t="array" ref="S15">index('Response Scoring'!$E:$E,match($A15,'Response Scoring'!$A:$A,0))</f>
        <v>1</v>
      </c>
      <c r="T15" s="29">
        <f t="shared" si="7"/>
        <v>0.3333333333</v>
      </c>
      <c r="U15" s="29">
        <f t="shared" si="8"/>
        <v>4.5</v>
      </c>
      <c r="V15" s="26" t="str">
        <f>'Raw Data'!$M11</f>
        <v>Analyzing presentation slides to evaluate both the visual design and written content for consistency</v>
      </c>
      <c r="W15" s="26">
        <f t="shared" si="9"/>
        <v>1</v>
      </c>
      <c r="X15" s="26" t="str">
        <f>'Raw Data'!$N11</f>
        <v>Hallucinations (generating false or misleading information), Data privacy concerns when information is shared with an LLM</v>
      </c>
      <c r="Y15" s="26">
        <f t="shared" si="10"/>
        <v>0.5</v>
      </c>
      <c r="Z15" s="26" t="str">
        <f>'Raw Data'!$O11</f>
        <v>Use secure company instances or enterprise plans when available</v>
      </c>
      <c r="AA15" s="29">
        <f t="shared" si="11"/>
        <v>0.5</v>
      </c>
      <c r="AB15" s="26" t="str">
        <f>'Raw Data'!$P11</f>
        <v>Sometimes: I do a quick check against known data or references</v>
      </c>
      <c r="AC15" s="26">
        <f t="shared" si="12"/>
        <v>0.67</v>
      </c>
      <c r="AD15" s="26" t="str">
        <f>'Raw Data'!$Q11</f>
        <v>Cross-reference key claims with reliable external sources, Verify any calculations or data analysis independently</v>
      </c>
      <c r="AE15" s="26">
        <f t="shared" si="13"/>
        <v>0.5</v>
      </c>
      <c r="AF15" s="30">
        <f t="shared" si="14"/>
        <v>6.34</v>
      </c>
      <c r="AG15" s="26" t="str">
        <f>'Raw Data'!$R11</f>
        <v>Rarely: I only tweak the prompt if something feels obviously off</v>
      </c>
      <c r="AH15" s="26">
        <f t="shared" si="15"/>
        <v>0.33</v>
      </c>
      <c r="AI15" s="26" t="str">
        <f>'Raw Data'!$S11</f>
        <v>i dont know how to prompt</v>
      </c>
      <c r="AJ15" s="26" t="s">
        <v>100</v>
      </c>
      <c r="AK15" s="28" t="str">
        <f>substitute('Prompt Template'!$C$2,$AI$5,$AJ15)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5" s="26">
        <f t="array" ref="AL15">index('Response Scoring'!$G:$G,match($A15,'Response Scoring'!$A:$A,0))</f>
        <v>0</v>
      </c>
      <c r="AM15" s="26">
        <f t="shared" si="16"/>
        <v>0</v>
      </c>
      <c r="AN15" s="26" t="str">
        <f>'Raw Data'!$T11</f>
        <v>I don't know how to create custom AI instructions</v>
      </c>
      <c r="AO15" s="26" t="s">
        <v>101</v>
      </c>
      <c r="AP15" s="28" t="str">
        <f>substitute('Prompt Template'!$D$2,$AN$5,$AO15)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5" s="26">
        <f t="array" ref="AQ15">index('Response Scoring'!$I:$I,match($A15,'Response Scoring'!$A:$A,0))</f>
        <v>0</v>
      </c>
      <c r="AR15" s="26">
        <f t="shared" si="17"/>
        <v>0</v>
      </c>
      <c r="AS15" s="30">
        <f t="shared" si="18"/>
        <v>0.495</v>
      </c>
      <c r="AT15" s="26">
        <f t="shared" si="19"/>
        <v>17.25</v>
      </c>
      <c r="AU15" s="26">
        <f t="shared" si="20"/>
        <v>34.5</v>
      </c>
      <c r="AV15" s="26" t="str">
        <f t="shared" si="21"/>
        <v>AI Experimenter</v>
      </c>
      <c r="AW15" s="26" t="str">
        <f>'Raw Data'!U11</f>
        <v/>
      </c>
      <c r="AX15" s="26" t="str">
        <f>'Raw Data'!V11</f>
        <v/>
      </c>
      <c r="AY15" s="26" t="str">
        <f>'Raw Data'!W11</f>
        <v/>
      </c>
      <c r="AZ15" s="26" t="str">
        <f>'Raw Data'!X11</f>
        <v/>
      </c>
      <c r="BA15" s="26" t="str">
        <f>'Raw Data'!Y11</f>
        <v/>
      </c>
      <c r="BB15" s="26" t="str">
        <f>'Raw Data'!Z11</f>
        <v/>
      </c>
      <c r="BW15" s="31" t="str">
        <f>'Raw Data'!C11</f>
        <v>Education</v>
      </c>
      <c r="BZ15" s="26" t="str">
        <f>'Raw Data'!F11</f>
        <v>Individual Contributor</v>
      </c>
      <c r="CA15" s="31" t="str">
        <f>'Raw Data'!AU11</f>
        <v>...</v>
      </c>
      <c r="CB15" s="31" t="str">
        <f>'Raw Data'!AV11</f>
        <v>...</v>
      </c>
      <c r="CC15" s="31" t="str">
        <f>'Raw Data'!AW11</f>
        <v>Neutral</v>
      </c>
    </row>
    <row r="16" ht="15.75" customHeight="1">
      <c r="A16" s="26">
        <f>'Raw Data'!$A12</f>
        <v>10</v>
      </c>
      <c r="B16" s="26" t="str">
        <f>'Raw Data'!$G12</f>
        <v>Daily</v>
      </c>
      <c r="C16" s="26">
        <f t="shared" si="1"/>
        <v>1</v>
      </c>
      <c r="D16" s="26" t="str">
        <f>'Raw Data'!$H12</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v>
      </c>
      <c r="E16" s="26">
        <f t="shared" si="2"/>
        <v>3</v>
      </c>
      <c r="F16" s="27">
        <f t="shared" si="3"/>
        <v>1</v>
      </c>
      <c r="G16" s="26" t="str">
        <f>'Raw Data'!$I12</f>
        <v>I create fresh prompts each time I use AI</v>
      </c>
      <c r="H16" s="26">
        <f t="shared" si="4"/>
        <v>0.25</v>
      </c>
      <c r="I16" s="26" t="str">
        <f>'Raw Data'!$J12</f>
        <v>Create a systematic process where AI handles data analysis and summary generation consistently</v>
      </c>
      <c r="J16" s="26">
        <f t="shared" si="5"/>
        <v>1</v>
      </c>
      <c r="K16" s="26" t="str">
        <f>'Raw Data'!$K12</f>
        <v>I will use AI to get the brainstorm ideas and build a sample PPT as well. Using the basic framework will work on improvising it</v>
      </c>
      <c r="L16" s="26" t="s">
        <v>102</v>
      </c>
      <c r="M16" s="28" t="str">
        <f>substitute('Prompt Template'!$A$2,$K$5,$L16)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get the brainstorm ideas and build a sample PPT as well. Using the basic framework will work on improvising it&lt;/user_input&gt;</v>
      </c>
      <c r="N16" s="26">
        <f t="array" ref="N16">index('Response Scoring'!$C:$C,match($A16,'Response Scoring'!$A:$A,0))</f>
        <v>1</v>
      </c>
      <c r="O16" s="29">
        <f t="shared" si="6"/>
        <v>0.3333333333</v>
      </c>
      <c r="P16" s="26" t="str">
        <f>'Raw Data'!$L12</f>
        <v>I used AI to build an Analytics model using data set I had and it worked perfectly</v>
      </c>
      <c r="Q16" s="26" t="s">
        <v>103</v>
      </c>
      <c r="R16" s="28" t="str">
        <f>substitute('Prompt Template'!$B$2,$P$5,$Q16)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build an Analytics model using data set I had and it worked perfectly&lt;/user_input&gt;</v>
      </c>
      <c r="S16" s="26">
        <f t="array" ref="S16">index('Response Scoring'!$E:$E,match($A16,'Response Scoring'!$A:$A,0))</f>
        <v>1</v>
      </c>
      <c r="T16" s="29">
        <f t="shared" si="7"/>
        <v>0.3333333333</v>
      </c>
      <c r="U16" s="29">
        <f t="shared" si="8"/>
        <v>5.25</v>
      </c>
      <c r="V16" s="26" t="str">
        <f>'Raw Data'!$M12</f>
        <v>Creating a complete slide deck with visual design for an important client presentation</v>
      </c>
      <c r="W16" s="26">
        <f t="shared" si="9"/>
        <v>0</v>
      </c>
      <c r="X16" s="26" t="str">
        <f>'Raw Data'!$N12</f>
        <v>Hallucinations (generating false or misleading information)</v>
      </c>
      <c r="Y16" s="26">
        <f t="shared" si="10"/>
        <v>0.25</v>
      </c>
      <c r="Z16" s="26" t="str">
        <f>'Raw Data'!$O12</f>
        <v>Anonymize information by removing identifying details, Use secure company instances or enterprise plans when available, Verify that the AI tool has SSL/HTTPS encryption before using it</v>
      </c>
      <c r="AA16" s="29">
        <f t="shared" si="11"/>
        <v>0</v>
      </c>
      <c r="AB16" s="26" t="str">
        <f>'Raw Data'!$P12</f>
        <v>Always: I routinely cross-check AI outputs with reliable sources</v>
      </c>
      <c r="AC16" s="26">
        <f t="shared" si="12"/>
        <v>1</v>
      </c>
      <c r="AD16" s="26" t="str">
        <f>'Raw Data'!$Q12</f>
        <v>Check if the response uses confident language and specific details, Look for professional formatting and proper grammar, Cross-reference key claims with reliable external sources, Verify any calculations or data analysis independently</v>
      </c>
      <c r="AE16" s="26">
        <f t="shared" si="13"/>
        <v>0</v>
      </c>
      <c r="AF16" s="30">
        <f t="shared" si="14"/>
        <v>2.5</v>
      </c>
      <c r="AG16" s="26" t="str">
        <f>'Raw Data'!$R12</f>
        <v>Rarely: I only tweak the prompt if something feels obviously off</v>
      </c>
      <c r="AH16" s="26">
        <f t="shared" si="15"/>
        <v>0.33</v>
      </c>
      <c r="AI16" s="26" t="str">
        <f>'Raw Data'!$S12</f>
        <v>I’m preparing for a work meeting to discuss a new initiative/proposal. Help me get ready by outlining key discussion points, potential questions I should anticipate, supporting data or insights I may need, and a concise summary I can present. Also suggest risks, dependencies, and next steps to make the proposal stronger</v>
      </c>
      <c r="AJ16" s="26" t="s">
        <v>104</v>
      </c>
      <c r="AK16" s="28" t="str">
        <f>substitute('Prompt Template'!$C$2,$AI$5,$AJ16)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Help me get ready by outlining key discussion points, potential questions I should anticipate, supporting data or insights I may need, and a concise summary I can present. Also suggest risks, dependencies, and next steps to make the proposal stronger&lt;/prompt&gt;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Help me get ready by outlining key discussion points, potential questions I should anticipate, supporting data or insights I may need, and a concise summary I can present. Also suggest risks, dependencies, and next steps to make the proposal stronger&lt;/user_input&gt;</v>
      </c>
      <c r="AL16" s="26">
        <f t="array" ref="AL16">index('Response Scoring'!$G:$G,match($A16,'Response Scoring'!$A:$A,0))</f>
        <v>4</v>
      </c>
      <c r="AM16" s="26">
        <f t="shared" si="16"/>
        <v>0.8</v>
      </c>
      <c r="AN16" s="26" t="str">
        <f>'Raw Data'!$T12</f>
        <v>You are a Competitive Intelligence Assistant. Your role is to help team members systematically research, analyze, and summarize information about competitors’ products, pricing, positioning, messaging, customer experience, and go‑to‑market strategies.
Your outputs must be:
Accurate
Well‑structured
Neutral and objective
Source‑backed (when possible)
Actionable, highlighting insights that matter for decision‑making.
How You Should Respond
For every request, provide information in the following structure:
1. Competitor Overview
Company background
Product/service categories
Target customers
Market presence
2. Product Analysis
For each relevant product, summarize:
Core features
Differentiators
Strengths &amp; weaknesses
Technology or platform details
3. Pricing Breakdown
Pricing model (subscription, tiered, usage‑based, seat-based, freemium, etc.)
Public price points
Discount patterns (if known)
Notes on regional pricing differences (if applicable)
4. Positioning &amp; Messaging
Value proposition
Key messages used on website or marketing
Target persona messaging
Social proof (reviews, ratings, testimonials)
5. Recent Updates or Announcements
Product launches
Feature updates
Partnerships
Market moves
(Only use publicly available information.)
6. Strengths, Weaknesses, Opportunities, Threats (SWOT)
Provide a consolidated SWOT analysis.
7. Implications for Our Strategy
Summarize what the findings mean for:
Our product/solution
Our go‑to‑market approach
Customer objections or comparisons
Opportunities to differentiate
8. Sources
List all publicly available sources used (blogs, websites, review sites, news articles, etc.).
Never use or request confidential or internal information.
Rules &amp; Guardrails
Use only publicly available information. No private data, no scraping behind authentication.
Never claim unverified details as facts. If unsure, say “Source not found” or “Information unclear.”
Avoid biased comparisons; remain objective and factual.
If user asks for sensitive, confidential, or unethical competitive intel, respond with a polite refusal and suggest alternative legitimate research options.
Communication Style
Use simple, concise language.
Structure output with headings and bullet points.
Provide clear takeaways, not just raw data.
Highlight inconsistencies or missing information.</v>
      </c>
      <c r="AO16" s="26" t="s">
        <v>105</v>
      </c>
      <c r="AP16" s="28" t="str">
        <f>substitute('Prompt Template'!$D$2,$AN$5,$AO16)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help team members systematically research, analyze, and summarize information about competitors’ products, pricing, positioning, messaging, customer experience, and go‑to‑market strategies.
Your outputs must be:
Accurate
Well‑structured
Neutral and objective
Source‑backed (when possible)
Actionable, highlighting insights that matter for decision‑making.
How You Should Respond
For every request, provide information in the following structure:
1. Competitor Overview
Company background
Product/service categories
Target customers
Market presence
2. Product Analysis
For each relevant product, summarize:
Core features
Differentiators
Strengths &amp; weaknesses
Technology or platform details
3. Pricing Breakdown
Pricing model (subscription, tiered, usage‑based, seat-based, freemium, etc.)
Public price points
Discount patterns (if known)
Notes on regional pricing differences (if applicable)
4. Positioning &amp; Messaging
Value proposition
Key messages used on website or marketing
Target persona messaging
Social proof (reviews, ratings, testimonials)
5. Recent Updates or Announcements
Product launches
Feature updates
Partnerships
Market moves
(Only use publicly available information.)
6. Strengths, Weaknesses, Opportunities, Threats (SWOT)
Provide a consolidated SWOT analysis.
7. Implications for Our Strategy
Summarize what the findings mean for:
Our product/solution
Our go‑to‑market approach
Customer objections or comparisons
Opportunities to differentiate
8. Sources
List all publicly available sources used (blogs, websites, review sites, news articles, etc.).
Never use or request confidential or internal information.
Rules &amp; Guardrails
Use only publicly available information. No private data, no scraping behind authentication.
Never claim unverified details as facts. If unsure, say “Source not found” or “Information unclear.”
Avoid biased comparisons; remain objective and factual.
If user asks for sensitive, confidential, or unethical competitive intel, respond with a polite refusal and suggest alternative legitimate research options.
Communication Style
Use simple, concise language.
Structure output with headings and bullet points.
Provide clear takeaways, not just raw data.
Highlight inconsistencies or missing information.&lt;/user_input&gt;
</v>
      </c>
      <c r="AQ16" s="26">
        <f t="array" ref="AQ16">index('Response Scoring'!$I:$I,match($A16,'Response Scoring'!$A:$A,0))</f>
        <v>5</v>
      </c>
      <c r="AR16" s="26">
        <f t="shared" si="17"/>
        <v>1</v>
      </c>
      <c r="AS16" s="30">
        <f t="shared" si="18"/>
        <v>8.295</v>
      </c>
      <c r="AT16" s="26">
        <f t="shared" si="19"/>
        <v>28.215</v>
      </c>
      <c r="AU16" s="26">
        <f t="shared" si="20"/>
        <v>56.43</v>
      </c>
      <c r="AV16" s="26" t="str">
        <f t="shared" si="21"/>
        <v>AI Experimenter</v>
      </c>
      <c r="AW16" s="26" t="str">
        <f>'Raw Data'!U12</f>
        <v/>
      </c>
      <c r="AX16" s="26" t="str">
        <f>'Raw Data'!V12</f>
        <v/>
      </c>
      <c r="AY16" s="26" t="str">
        <f>'Raw Data'!W12</f>
        <v/>
      </c>
      <c r="AZ16" s="26" t="str">
        <f>'Raw Data'!X12</f>
        <v/>
      </c>
      <c r="BA16" s="26" t="str">
        <f>'Raw Data'!Y12</f>
        <v/>
      </c>
      <c r="BB16" s="26" t="str">
        <f>'Raw Data'!Z12</f>
        <v/>
      </c>
      <c r="BW16" s="31" t="str">
        <f>'Raw Data'!C12</f>
        <v>Acquisition &amp; Performance Marketing</v>
      </c>
      <c r="BZ16" s="26" t="str">
        <f>'Raw Data'!F12</f>
        <v>Manager or Senior Manager</v>
      </c>
      <c r="CA16" s="31" t="str">
        <f>'Raw Data'!AU12</f>
        <v/>
      </c>
      <c r="CB16" s="31" t="str">
        <f>'Raw Data'!AV12</f>
        <v>None</v>
      </c>
      <c r="CC16" s="31" t="str">
        <f>'Raw Data'!AW12</f>
        <v>Strongly agree</v>
      </c>
    </row>
    <row r="17" ht="15.75" customHeight="1">
      <c r="A17" s="26">
        <f>'Raw Data'!$A13</f>
        <v>11</v>
      </c>
      <c r="B17" s="26" t="str">
        <f>'Raw Data'!$G13</f>
        <v>Several times a week</v>
      </c>
      <c r="C17" s="26">
        <f t="shared" si="1"/>
        <v>0.75</v>
      </c>
      <c r="D17" s="26" t="str">
        <f>'Raw Data'!$H13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v>
      </c>
      <c r="E17" s="26">
        <f t="shared" si="2"/>
        <v>2</v>
      </c>
      <c r="F17" s="27">
        <f t="shared" si="3"/>
        <v>0.6666666667</v>
      </c>
      <c r="G17" s="26" t="str">
        <f>'Raw Data'!$I13</f>
        <v>I create fresh prompts each time I use AI</v>
      </c>
      <c r="H17" s="26">
        <f t="shared" si="4"/>
        <v>0.25</v>
      </c>
      <c r="I17" s="26" t="str">
        <f>'Raw Data'!$J13</f>
        <v>Use AI to help analyze each data source, then compile results manually</v>
      </c>
      <c r="J17" s="26">
        <f t="shared" si="5"/>
        <v>0.67</v>
      </c>
      <c r="K17" s="26" t="str">
        <f>'Raw Data'!$K13</f>
        <v>I would start by explaining my idea &amp; asking for an outline. I would use it analyze data and use it to formulate thoughts and content for my presentation.</v>
      </c>
      <c r="L17" s="26" t="s">
        <v>106</v>
      </c>
      <c r="M17" s="28" t="str">
        <f>substitute('Prompt Template'!$A$2,$K$5,$L17)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explaining my idea &amp; asking for an outline. I would use it analyze data and use it to formulate thoughts and content for my presentation.&lt;/user_input&gt;</v>
      </c>
      <c r="N17" s="26">
        <f t="array" ref="N17">index('Response Scoring'!$C:$C,match($A17,'Response Scoring'!$A:$A,0))</f>
        <v>1</v>
      </c>
      <c r="O17" s="29">
        <f t="shared" si="6"/>
        <v>0.3333333333</v>
      </c>
      <c r="P17" s="26" t="str">
        <f>'Raw Data'!$L13</f>
        <v>It's great to help me get started and organized. I also love the automated meeting summary features.</v>
      </c>
      <c r="Q17" s="26" t="s">
        <v>107</v>
      </c>
      <c r="R17" s="28" t="str">
        <f>substitute('Prompt Template'!$B$2,$P$5,$Q17)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great to help me get started and organized. I also love the automated meeting summary features.&lt;/user_input&gt;</v>
      </c>
      <c r="S17" s="26">
        <f t="array" ref="S17">index('Response Scoring'!$E:$E,match($A17,'Response Scoring'!$A:$A,0))</f>
        <v>1</v>
      </c>
      <c r="T17" s="29">
        <f t="shared" si="7"/>
        <v>0.3333333333</v>
      </c>
      <c r="U17" s="29">
        <f t="shared" si="8"/>
        <v>4.295</v>
      </c>
      <c r="V17" s="26" t="str">
        <f>'Raw Data'!$M13</f>
        <v>Analyzing presentation slides to evaluate both the visual design and written content for consistency</v>
      </c>
      <c r="W17" s="26">
        <f t="shared" si="9"/>
        <v>1</v>
      </c>
      <c r="X17" s="26" t="str">
        <f>'Raw Data'!$N13</f>
        <v>Hallucinations (generating false or misleading information), Biases in answers, Data privacy concerns when information is shared with an LLM</v>
      </c>
      <c r="Y17" s="26">
        <f t="shared" si="10"/>
        <v>0.75</v>
      </c>
      <c r="Z17" s="26" t="str">
        <f>'Raw Data'!$O13</f>
        <v>Use secure company instances or enterprise plans when available, Anonymize information by removing identifying details</v>
      </c>
      <c r="AA17" s="29">
        <f t="shared" si="11"/>
        <v>1</v>
      </c>
      <c r="AB17" s="26" t="str">
        <f>'Raw Data'!$P13</f>
        <v>Rarely: I only verify if something doesn't sound right</v>
      </c>
      <c r="AC17" s="26">
        <f t="shared" si="12"/>
        <v>0.33</v>
      </c>
      <c r="AD17" s="26" t="str">
        <f>'Raw Data'!$Q13</f>
        <v>Cross-reference key claims with reliable external sources, Verify any calculations or data analysis independently</v>
      </c>
      <c r="AE17" s="26">
        <f t="shared" si="13"/>
        <v>0.5</v>
      </c>
      <c r="AF17" s="30">
        <f t="shared" si="14"/>
        <v>7.16</v>
      </c>
      <c r="AG17" s="26" t="str">
        <f>'Raw Data'!$R13</f>
        <v>Sometimes: I iterate 2-3 times to reach a good result</v>
      </c>
      <c r="AH17" s="26">
        <f t="shared" si="15"/>
        <v>0.67</v>
      </c>
      <c r="AI17" s="26" t="str">
        <f>'Raw Data'!$S13</f>
        <v>I need to prepare for an upcoming meeting. Act as my business admin and help me prepare documents, presentations, important communication and other sources that I can reference if I need them. Please also create a brief summary for me, including potential topics, a few questions I might need to ask and any outstanding tasks I may need to complete leading up to the meeting. Organize the notes in a summary that I can digest quickly along with supporting documentation I can reference if I need it.</v>
      </c>
      <c r="AJ17" s="26" t="s">
        <v>108</v>
      </c>
      <c r="AK17" s="28" t="str">
        <f>substitute('Prompt Template'!$C$2,$AI$5,$AJ17)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an upcoming meeting. Act as my business admin and help me prepare documents, presentations, important communication and other sources that I can reference if I need them. Please also create a brief summary for me, including potential topics, a few questions I might need to ask and any outstanding tasks I may need to complete leading up to the meeting. Organize the notes in a summary that I can digest quickly along with supporting documentation I can reference if I need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an upcoming meeting. Act as my business admin and help me prepare documents, presentations, important communication and other sources that I can reference if I need them. Please also create a brief summary for me, including potential topics, a few questions I might need to ask and any outstanding tasks I may need to complete leading up to the meeting. Organize the notes in a summary that I can digest quickly along with supporting documentation I can reference if I need it.&lt;/user_input&gt;</v>
      </c>
      <c r="AL17" s="26">
        <f t="array" ref="AL17">index('Response Scoring'!$G:$G,match($A17,'Response Scoring'!$A:$A,0))</f>
        <v>2</v>
      </c>
      <c r="AM17" s="26">
        <f t="shared" si="16"/>
        <v>0.4</v>
      </c>
      <c r="AN17" s="26" t="str">
        <f>'Raw Data'!$T13</f>
        <v>I haven't set up a Custom GPT or Copilot agent yet but plan to soon.</v>
      </c>
      <c r="AO17" s="26" t="s">
        <v>109</v>
      </c>
      <c r="AP17" s="28" t="str">
        <f>substitute('Prompt Template'!$D$2,$AN$5,$AO17)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haven't set up a Custom GPT or Copilot agent yet but plan to soon.&lt;/user_input&gt;
</v>
      </c>
      <c r="AQ17" s="26">
        <f t="array" ref="AQ17">index('Response Scoring'!$I:$I,match($A17,'Response Scoring'!$A:$A,0))</f>
        <v>0</v>
      </c>
      <c r="AR17" s="26">
        <f t="shared" si="17"/>
        <v>0</v>
      </c>
      <c r="AS17" s="30">
        <f t="shared" si="18"/>
        <v>2.405</v>
      </c>
      <c r="AT17" s="26">
        <f t="shared" si="19"/>
        <v>21.9925</v>
      </c>
      <c r="AU17" s="26">
        <f t="shared" si="20"/>
        <v>43.985</v>
      </c>
      <c r="AV17" s="26" t="str">
        <f t="shared" si="21"/>
        <v>AI Experimenter</v>
      </c>
      <c r="AW17" s="26" t="str">
        <f>'Raw Data'!U13</f>
        <v/>
      </c>
      <c r="AX17" s="26" t="str">
        <f>'Raw Data'!V13</f>
        <v/>
      </c>
      <c r="AY17" s="26" t="str">
        <f>'Raw Data'!W13</f>
        <v/>
      </c>
      <c r="AZ17" s="26" t="str">
        <f>'Raw Data'!X13</f>
        <v/>
      </c>
      <c r="BA17" s="26" t="str">
        <f>'Raw Data'!Y13</f>
        <v/>
      </c>
      <c r="BB17" s="26" t="str">
        <f>'Raw Data'!Z13</f>
        <v/>
      </c>
      <c r="BW17" s="31" t="str">
        <f>'Raw Data'!C13</f>
        <v>Industry Portfolio &amp; Emerging Marketing</v>
      </c>
      <c r="BZ17" s="26" t="str">
        <f>'Raw Data'!F13</f>
        <v>Individual Contributor</v>
      </c>
      <c r="CA17" s="31" t="str">
        <f>'Raw Data'!AU13</f>
        <v>Disconnected workflows and systems make it difficult to do everything within 1 tool. The work gets in the way of spending time to get into an AI tool to synthesize it.</v>
      </c>
      <c r="CB17" s="31" t="str">
        <f>'Raw Data'!AV13</f>
        <v>Google AI</v>
      </c>
      <c r="CC17" s="31" t="str">
        <f>'Raw Data'!AW13</f>
        <v>Agree</v>
      </c>
    </row>
    <row r="18" ht="15.75" customHeight="1">
      <c r="A18" s="26">
        <f>'Raw Data'!$A14</f>
        <v>12</v>
      </c>
      <c r="B18" s="26" t="str">
        <f>'Raw Data'!$G14</f>
        <v>Several times a week</v>
      </c>
      <c r="C18" s="26">
        <f t="shared" si="1"/>
        <v>0.75</v>
      </c>
      <c r="D18" s="26" t="str">
        <f>'Raw Data'!$H14</f>
        <v>Editing or improving text I've already written (emails, documents, presentations), Getting quick answers to specific questions or looking up information, Brainstorming ideas, testing concepts, or getting feedback on my thinking, Creating first drafts of content from scratch (reports, proposals, marketing copy), Analyzing data or documents to extract insights or summaries</v>
      </c>
      <c r="E18" s="26">
        <f t="shared" si="2"/>
        <v>2</v>
      </c>
      <c r="F18" s="27">
        <f t="shared" si="3"/>
        <v>0.6666666667</v>
      </c>
      <c r="G18" s="26" t="str">
        <f>'Raw Data'!$I14</f>
        <v>I create fresh prompts each time I use AI</v>
      </c>
      <c r="H18" s="26">
        <f t="shared" si="4"/>
        <v>0.25</v>
      </c>
      <c r="I18" s="26" t="str">
        <f>'Raw Data'!$J14</f>
        <v>Create a systematic process where AI handles data analysis and summary generation consistently</v>
      </c>
      <c r="J18" s="26">
        <f t="shared" si="5"/>
        <v>1</v>
      </c>
      <c r="K18" s="26" t="str">
        <f>'Raw Data'!$K14</f>
        <v>If unfamiliar to them, I would use my expertise to create the presentation and use AI to check parts of it. I also would use it to create my voice over script depending on how senior/buttoned up that it needs to be.
If unfamiliar to me, I would use it to research and or synthesize a lot of data to drive my creation.
Today, PowerPoint does not seem to have the best AI tool with heavy brand guidance so I feel like it still requires a human to generate the design. I have used AI for image creation though.</v>
      </c>
      <c r="L18" s="26" t="s">
        <v>110</v>
      </c>
      <c r="M18" s="28" t="str">
        <f>substitute('Prompt Template'!$A$2,$K$5,$L18)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unfamiliar to them, I would use my expertise to create the presentation and use AI to check parts of it. I also would use it to create my voice over script depending on how senior/buttoned up that it needs to be.
If unfamiliar to me, I would use it to research and or synthesize a lot of data to drive my creation.
Today, PowerPoint does not seem to have the best AI tool with heavy brand guidance so I feel like it still requires a human to generate the design. I have used AI for image creation though.&lt;/user_input&gt;</v>
      </c>
      <c r="N18" s="26">
        <f t="array" ref="N18">index('Response Scoring'!$C:$C,match($A18,'Response Scoring'!$A:$A,0))</f>
        <v>2</v>
      </c>
      <c r="O18" s="29">
        <f t="shared" si="6"/>
        <v>0.6666666667</v>
      </c>
      <c r="P18" s="26" t="str">
        <f>'Raw Data'!$L14</f>
        <v>I did a full research project on competitive naming in AI that was pretty cool and very helpful. It would have been a summer intern project at my last company.</v>
      </c>
      <c r="Q18" s="26" t="s">
        <v>111</v>
      </c>
      <c r="R18" s="28" t="str">
        <f>substitute('Prompt Template'!$B$2,$P$5,$Q18)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did a full research project on competitive naming in AI that was pretty cool and very helpful. It would have been a summer intern project at my last company.&lt;/user_input&gt;</v>
      </c>
      <c r="S18" s="26">
        <f t="array" ref="S18">index('Response Scoring'!$E:$E,match($A18,'Response Scoring'!$A:$A,0))</f>
        <v>2</v>
      </c>
      <c r="T18" s="29">
        <f t="shared" si="7"/>
        <v>0.6666666667</v>
      </c>
      <c r="U18" s="29">
        <f t="shared" si="8"/>
        <v>6.625</v>
      </c>
      <c r="V18" s="26" t="str">
        <f>'Raw Data'!$M14</f>
        <v>Analyzing presentation slides to evaluate both the visual design and written content for consistency</v>
      </c>
      <c r="W18" s="26">
        <f t="shared" si="9"/>
        <v>1</v>
      </c>
      <c r="X18" s="26" t="str">
        <f>'Raw Data'!$N14</f>
        <v>Hallucinations (generating false or misleading information), Biases in answers, Data privacy concerns when information is shared with an LLM, Vulnerability to manipulation by bad actors</v>
      </c>
      <c r="Y18" s="26">
        <f t="shared" si="10"/>
        <v>1</v>
      </c>
      <c r="Z18" s="26" t="str">
        <f>'Raw Data'!$O14</f>
        <v>Use secure company instances or enterprise plans when available</v>
      </c>
      <c r="AA18" s="29">
        <f t="shared" si="11"/>
        <v>0.5</v>
      </c>
      <c r="AB18" s="26" t="str">
        <f>'Raw Data'!$P14</f>
        <v>Sometimes: I do a quick check against known data or references</v>
      </c>
      <c r="AC18" s="26">
        <f t="shared" si="12"/>
        <v>0.67</v>
      </c>
      <c r="AD18" s="26" t="str">
        <f>'Raw Data'!$Q14</f>
        <v>Ask the same AI tool to double-check its work for accuracy, Cross-reference key claims with reliable external sources, Verify any calculations or data analysis independently</v>
      </c>
      <c r="AE18" s="26">
        <f t="shared" si="13"/>
        <v>0.75</v>
      </c>
      <c r="AF18" s="30">
        <f t="shared" si="14"/>
        <v>7.84</v>
      </c>
      <c r="AG18" s="26" t="str">
        <f>'Raw Data'!$R14</f>
        <v>Frequently: I systematically refine prompts until I'm satisfied</v>
      </c>
      <c r="AH18" s="26">
        <f t="shared" si="15"/>
        <v>1</v>
      </c>
      <c r="AI18" s="26" t="str">
        <f>'Raw Data'!$S14</f>
        <v>I'm meeting with a team next week about our core product getting a new AI feature and I need to set the agenda. Help me organize the meeting. Start by asking me questions to create an agenda.</v>
      </c>
      <c r="AJ18" s="26" t="s">
        <v>112</v>
      </c>
      <c r="AK18" s="28" t="str">
        <f>substitute('Prompt Template'!$C$2,$AI$5,$AJ18)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meeting with a team next week about our core product getting a new AI feature and I need to set the agenda. Help me organize the meeting. Start by asking me questions to create an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meeting with a team next week about our core product getting a new AI feature and I need to set the agenda. Help me organize the meeting. Start by asking me questions to create an agenda.&lt;/user_input&gt;</v>
      </c>
      <c r="AL18" s="26">
        <f t="array" ref="AL18">index('Response Scoring'!$G:$G,match($A18,'Response Scoring'!$A:$A,0))</f>
        <v>4</v>
      </c>
      <c r="AM18" s="26">
        <f t="shared" si="16"/>
        <v>0.8</v>
      </c>
      <c r="AN18" s="26" t="str">
        <f>'Raw Data'!$T14</f>
        <v>First, I would understand where the data sources are that I want it to use. Those are where I would direct the agent to look. I would also decide on the format and if I want it to deliver a certain data set. If a Copilot Agent, I would use Copilot to help me write the agent since they have a tool to get the formatting right.</v>
      </c>
      <c r="AO18" s="26" t="s">
        <v>113</v>
      </c>
      <c r="AP18" s="28" t="str">
        <f>substitute('Prompt Template'!$D$2,$AN$5,$AO18)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&lt;user_input&gt;First, I would understand where the data sources are that I want it to use. Those are where I would direct the agent to look. I would also decide on the format and if I want it to deliver a certain data set. If a Copilot Agent, I would use Copilot to help me write the agent since they have a tool to get the formatting right.&lt;/user_input&gt;
</v>
      </c>
      <c r="AQ18" s="26">
        <f t="array" ref="AQ18">index('Response Scoring'!$I:$I,match($A18,'Response Scoring'!$A:$A,0))</f>
        <v>1</v>
      </c>
      <c r="AR18" s="26">
        <f t="shared" si="17"/>
        <v>0.2</v>
      </c>
      <c r="AS18" s="30">
        <f t="shared" si="18"/>
        <v>5.3</v>
      </c>
      <c r="AT18" s="26">
        <f t="shared" si="19"/>
        <v>32.2975</v>
      </c>
      <c r="AU18" s="26">
        <f t="shared" si="20"/>
        <v>64.595</v>
      </c>
      <c r="AV18" s="26" t="str">
        <f t="shared" si="21"/>
        <v>AI Practitioner</v>
      </c>
      <c r="AW18" s="26" t="str">
        <f>'Raw Data'!U14</f>
        <v/>
      </c>
      <c r="AX18" s="26" t="str">
        <f>'Raw Data'!V14</f>
        <v/>
      </c>
      <c r="AY18" s="26" t="str">
        <f>'Raw Data'!W14</f>
        <v/>
      </c>
      <c r="AZ18" s="26" t="str">
        <f>'Raw Data'!X14</f>
        <v/>
      </c>
      <c r="BA18" s="26" t="str">
        <f>'Raw Data'!Y14</f>
        <v/>
      </c>
      <c r="BB18" s="26" t="str">
        <f>'Raw Data'!Z14</f>
        <v/>
      </c>
      <c r="BW18" s="31" t="str">
        <f>'Raw Data'!C14</f>
        <v>Industry Portfolio &amp; Emerging Marketing</v>
      </c>
      <c r="BZ18" s="26" t="str">
        <f>'Raw Data'!F14</f>
        <v>Manager or Senior Manager</v>
      </c>
      <c r="CA18" s="31" t="str">
        <f>'Raw Data'!AU14</f>
        <v>I do a lot of writing, and the AI copy sounds like AI. So I mostly use it for editing and as a thought partner instead of a writer.</v>
      </c>
      <c r="CB18" s="31" t="str">
        <f>'Raw Data'!AV14</f>
        <v>None.</v>
      </c>
      <c r="CC18" s="31" t="str">
        <f>'Raw Data'!AW14</f>
        <v>Neutral</v>
      </c>
    </row>
    <row r="19" ht="15.75" customHeight="1">
      <c r="A19" s="26">
        <f>'Raw Data'!$A15</f>
        <v>13</v>
      </c>
      <c r="B19" s="26" t="str">
        <f>'Raw Data'!$G15</f>
        <v>Daily</v>
      </c>
      <c r="C19" s="26">
        <f t="shared" si="1"/>
        <v>1</v>
      </c>
      <c r="D19" s="26" t="str">
        <f>'Raw Data'!$H15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9" s="26">
        <f t="shared" si="2"/>
        <v>2</v>
      </c>
      <c r="F19" s="27">
        <f t="shared" si="3"/>
        <v>0.6666666667</v>
      </c>
      <c r="G19" s="26" t="str">
        <f>'Raw Data'!$I15</f>
        <v>I maintain a library of prompts that I reuse frequently</v>
      </c>
      <c r="H19" s="26">
        <f t="shared" si="4"/>
        <v>0.5</v>
      </c>
      <c r="I19" s="26" t="str">
        <f>'Raw Data'!$J15</f>
        <v>Ask AI to write the summary after you've analyzed all the data</v>
      </c>
      <c r="J19" s="26">
        <f t="shared" si="5"/>
        <v>0.33</v>
      </c>
      <c r="K19" s="26" t="str">
        <f>'Raw Data'!$K15</f>
        <v>background information - get an understanding - find sources to validate AI response.</v>
      </c>
      <c r="L19" s="26" t="s">
        <v>114</v>
      </c>
      <c r="M19" s="28" t="str">
        <f>substitute('Prompt Template'!$A$2,$K$5,$L19)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&lt;user_input&gt;background information - get an understanding - find sources to validate AI response.&lt;/user_input&gt;</v>
      </c>
      <c r="N19" s="26">
        <f t="array" ref="N19">index('Response Scoring'!$C:$C,match($A19,'Response Scoring'!$A:$A,0))</f>
        <v>1</v>
      </c>
      <c r="O19" s="29">
        <f t="shared" si="6"/>
        <v>0.3333333333</v>
      </c>
      <c r="P19" s="26" t="str">
        <f>'Raw Data'!$L15</f>
        <v>Brainstorming and assisting with initial drafts - and automating everyday tasks.</v>
      </c>
      <c r="Q19" s="26" t="s">
        <v>115</v>
      </c>
      <c r="R19" s="28" t="str">
        <f>substitute('Prompt Template'!$B$2,$P$5,$Q19)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&lt;user_input&gt;Brainstorming and assisting with initial drafts - and automating everyday tasks.&lt;/user_input&gt;</v>
      </c>
      <c r="S19" s="26">
        <f t="array" ref="S19">index('Response Scoring'!$E:$E,match($A19,'Response Scoring'!$A:$A,0))</f>
        <v>1</v>
      </c>
      <c r="T19" s="29">
        <f t="shared" si="7"/>
        <v>0.3333333333</v>
      </c>
      <c r="U19" s="29">
        <f t="shared" si="8"/>
        <v>4.33</v>
      </c>
      <c r="V19" s="26" t="str">
        <f>'Raw Data'!$M15</f>
        <v>Analyzing presentation slides to evaluate both the visual design and written content for consistency</v>
      </c>
      <c r="W19" s="26">
        <f t="shared" si="9"/>
        <v>1</v>
      </c>
      <c r="X19" s="26" t="str">
        <f>'Raw Data'!$N15</f>
        <v>Hallucinations (generating false or misleading information)</v>
      </c>
      <c r="Y19" s="26">
        <f t="shared" si="10"/>
        <v>0.25</v>
      </c>
      <c r="Z19" s="26" t="str">
        <f>'Raw Data'!$O15</f>
        <v>Anonymize information by removing identifying details</v>
      </c>
      <c r="AA19" s="29">
        <f t="shared" si="11"/>
        <v>0.5</v>
      </c>
      <c r="AB19" s="26" t="str">
        <f>'Raw Data'!$P15</f>
        <v>Always: I routinely cross-check AI outputs with reliable sources</v>
      </c>
      <c r="AC19" s="26">
        <f t="shared" si="12"/>
        <v>1</v>
      </c>
      <c r="AD19" s="26" t="str">
        <f>'Raw Data'!$Q15</f>
        <v>Cross-reference key claims with reliable external sources</v>
      </c>
      <c r="AE19" s="26">
        <f t="shared" si="13"/>
        <v>0.25</v>
      </c>
      <c r="AF19" s="30">
        <f t="shared" si="14"/>
        <v>6</v>
      </c>
      <c r="AG19" s="26" t="str">
        <f>'Raw Data'!$R15</f>
        <v>Frequently: I systematically refine prompts until I'm satisfied</v>
      </c>
      <c r="AH19" s="26">
        <f t="shared" si="15"/>
        <v>1</v>
      </c>
      <c r="AI19" s="26" t="str">
        <f>'Raw Data'!$S15</f>
        <v>I have an upcoming work meeting to discuss a new initiative. Help me prepare by summarising the key objectives, likely questions or objections, suggested talking points, and a clear recommendation structure. Assume the audience is time-poor and senior, and tailor the advice to be concise and persuasive.</v>
      </c>
      <c r="AJ19" s="26" t="s">
        <v>116</v>
      </c>
      <c r="AK19" s="28" t="str">
        <f>substitute('Prompt Template'!$C$2,$AI$5,$AJ19)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Help me prepare by summarising the key objectives, likely questions or objections, suggested talking points, and a clear recommendation structure. Assume the audience is time-poor and senior, and tailor the advice to be concise and persuasive.&lt;/prompt&gt;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Help me prepare by summarising the key objectives, likely questions or objections, suggested talking points, and a clear recommendation structure. Assume the audience is time-poor and senior, and tailor the advice to be concise and persuasive.&lt;/user_input&gt;</v>
      </c>
      <c r="AL19" s="26">
        <f t="array" ref="AL19">index('Response Scoring'!$G:$G,match($A19,'Response Scoring'!$A:$A,0))</f>
        <v>4</v>
      </c>
      <c r="AM19" s="26">
        <f t="shared" si="16"/>
        <v>0.8</v>
      </c>
      <c r="AN19" s="26" t="str">
        <f>'Raw Data'!$T15</f>
        <v>NA</v>
      </c>
      <c r="AO19" s="26" t="s">
        <v>117</v>
      </c>
      <c r="AP19" s="28" t="str">
        <f>substitute('Prompt Template'!$D$2,$AN$5,$AO19)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19" s="26">
        <f t="array" ref="AQ19">index('Response Scoring'!$I:$I,match($A19,'Response Scoring'!$A:$A,0))</f>
        <v>0</v>
      </c>
      <c r="AR19" s="26">
        <f t="shared" si="17"/>
        <v>0</v>
      </c>
      <c r="AS19" s="30">
        <f t="shared" si="18"/>
        <v>4.3</v>
      </c>
      <c r="AT19" s="26">
        <f t="shared" si="19"/>
        <v>24.095</v>
      </c>
      <c r="AU19" s="26">
        <f t="shared" si="20"/>
        <v>48.19</v>
      </c>
      <c r="AV19" s="26" t="str">
        <f t="shared" si="21"/>
        <v>AI Experimenter</v>
      </c>
      <c r="AW19" s="26" t="str">
        <f>'Raw Data'!U15</f>
        <v/>
      </c>
      <c r="AX19" s="26" t="str">
        <f>'Raw Data'!V15</f>
        <v/>
      </c>
      <c r="AY19" s="26" t="str">
        <f>'Raw Data'!W15</f>
        <v/>
      </c>
      <c r="AZ19" s="26" t="str">
        <f>'Raw Data'!X15</f>
        <v/>
      </c>
      <c r="BA19" s="26" t="str">
        <f>'Raw Data'!Y15</f>
        <v/>
      </c>
      <c r="BB19" s="26" t="str">
        <f>'Raw Data'!Z15</f>
        <v/>
      </c>
      <c r="BW19" s="31" t="str">
        <f>'Raw Data'!C15</f>
        <v>Industry Portfolio &amp; Emerging Marketing</v>
      </c>
      <c r="BZ19" s="26" t="str">
        <f>'Raw Data'!F15</f>
        <v>Manager or Senior Manager</v>
      </c>
      <c r="CA19" s="31" t="str">
        <f>'Raw Data'!AU15</f>
        <v/>
      </c>
      <c r="CB19" s="31" t="str">
        <f>'Raw Data'!AV15</f>
        <v>None</v>
      </c>
      <c r="CC19" s="31" t="str">
        <f>'Raw Data'!AW15</f>
        <v>Neutral</v>
      </c>
    </row>
    <row r="20" ht="15.75" customHeight="1">
      <c r="A20" s="26">
        <f>'Raw Data'!$A16</f>
        <v>14</v>
      </c>
      <c r="B20" s="26" t="str">
        <f>'Raw Data'!$G16</f>
        <v>Daily</v>
      </c>
      <c r="C20" s="26">
        <f t="shared" si="1"/>
        <v>1</v>
      </c>
      <c r="D20" s="26" t="str">
        <f>'Raw Data'!$H16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0" s="26">
        <f t="shared" si="2"/>
        <v>3</v>
      </c>
      <c r="F20" s="27">
        <f t="shared" si="3"/>
        <v>1</v>
      </c>
      <c r="G20" s="26" t="str">
        <f>'Raw Data'!$I16</f>
        <v>I maintain a library of prompts that I reuse frequently</v>
      </c>
      <c r="H20" s="26">
        <f t="shared" si="4"/>
        <v>0.5</v>
      </c>
      <c r="I20" s="26" t="str">
        <f>'Raw Data'!$J16</f>
        <v>Ask AI to write the summary after you've analyzed all the data</v>
      </c>
      <c r="J20" s="26">
        <f t="shared" si="5"/>
        <v>0.33</v>
      </c>
      <c r="K20" s="26" t="str">
        <f>'Raw Data'!$K16</f>
        <v>I would ask AI to give me the foundation for the presentation and then I would do research on each part of the presentation probably with help of AI and put the presentation together and then I would ask AI to pressure test my presentation and help me with what questions I haven't thought of that senior stakeholders might have.</v>
      </c>
      <c r="L20" s="26" t="s">
        <v>118</v>
      </c>
      <c r="M20" s="28" t="str">
        <f>substitute('Prompt Template'!$A$2,$K$5,$L20)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give me the foundation for the presentation and then I would do research on each part of the presentation probably with help of AI and put the presentation together and then I would ask AI to pressure test my presentation and help me with what questions I haven't thought of that senior stakeholders might have.&lt;/user_input&gt;</v>
      </c>
      <c r="N20" s="26">
        <f t="array" ref="N20">index('Response Scoring'!$C:$C,match($A20,'Response Scoring'!$A:$A,0))</f>
        <v>3</v>
      </c>
      <c r="O20" s="29">
        <f t="shared" si="6"/>
        <v>1</v>
      </c>
      <c r="P20" s="26" t="str">
        <f>'Raw Data'!$L16</f>
        <v>Its helpful to get me to understand where I may not be explaining things properly for a general marketing or how to level it up for a Dara level presentation. I have also asked to make sure that I'm correct in my understanding of something and how I explain it to crossfunctional teams outside of marketing with business impact language.</v>
      </c>
      <c r="Q20" s="26" t="s">
        <v>119</v>
      </c>
      <c r="R20" s="28" t="str">
        <f>substitute('Prompt Template'!$B$2,$P$5,$Q20)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helpful to get me to understand where I may not be explaining things properly for a general marketing or how to level it up for a Dara level presentation. I have also asked to make sure that I'm correct in my understanding of something and how I explain it to crossfunctional teams outside of marketing with business impact language.&lt;/user_input&gt;</v>
      </c>
      <c r="S20" s="26">
        <f t="array" ref="S20">index('Response Scoring'!$E:$E,match($A20,'Response Scoring'!$A:$A,0))</f>
        <v>1</v>
      </c>
      <c r="T20" s="29">
        <f t="shared" si="7"/>
        <v>0.3333333333</v>
      </c>
      <c r="U20" s="29">
        <f t="shared" si="8"/>
        <v>6.163333333</v>
      </c>
      <c r="V20" s="26" t="str">
        <f>'Raw Data'!$M16</f>
        <v>Analyzing presentation slides to evaluate both the visual design and written content for consistency</v>
      </c>
      <c r="W20" s="26">
        <f t="shared" si="9"/>
        <v>1</v>
      </c>
      <c r="X20" s="26" t="str">
        <f>'Raw Data'!$N16</f>
        <v>Hallucinations (generating false or misleading information), Biases in answers, Data privacy concerns when information is shared with an LLM, Vulnerability to manipulation by bad actors</v>
      </c>
      <c r="Y20" s="26">
        <f t="shared" si="10"/>
        <v>1</v>
      </c>
      <c r="Z20" s="26" t="str">
        <f>'Raw Data'!$O16</f>
        <v>Use secure company instances or enterprise plans when available</v>
      </c>
      <c r="AA20" s="29">
        <f t="shared" si="11"/>
        <v>0.5</v>
      </c>
      <c r="AB20" s="26" t="str">
        <f>'Raw Data'!$P16</f>
        <v>Always: I routinely cross-check AI outputs with reliable sources</v>
      </c>
      <c r="AC20" s="26">
        <f t="shared" si="12"/>
        <v>1</v>
      </c>
      <c r="AD20" s="26" t="str">
        <f>'Raw Data'!$Q16</f>
        <v>Cross-reference key claims with reliable external sources, Verify any calculations or data analysis independently</v>
      </c>
      <c r="AE20" s="26">
        <f t="shared" si="13"/>
        <v>0.5</v>
      </c>
      <c r="AF20" s="30">
        <f t="shared" si="14"/>
        <v>8</v>
      </c>
      <c r="AG20" s="26" t="str">
        <f>'Raw Data'!$R16</f>
        <v>Frequently: I systematically refine prompts until I'm satisfied</v>
      </c>
      <c r="AH20" s="26">
        <f t="shared" si="15"/>
        <v>1</v>
      </c>
      <c r="AI20" s="26" t="str">
        <f>'Raw Data'!$S16</f>
        <v>I’m preparing for a work meeting to discuss a new initiative/proposal and I want help structuring my thinking and messaging.
Here’s the context of the meeting:
• Audience (roles, seniority, decision-makers):
• Goal of the meeting (decision, feedback, alignment, approval):
• Business problem or opportunity this initiative addresses:
• Proposed solution and why it matters now:
• Key metrics, impact, or success criteria:
• Constraints or risks (budget, resources, timeline, dependencies):
• Likely objections or questions:
Please help me:
Clarify the core narrative and “why this matters” story
Distill the proposal into a concise executive summary
Outline talking points for the meeting
Anticipate tough questions and strong responses
Suggest a clear ask and next steps
Keep the output concise, strategic, and tailored for a senior-level audience.</v>
      </c>
      <c r="AJ20" s="26" t="s">
        <v>120</v>
      </c>
      <c r="AK20" s="28" t="str">
        <f>substitute('Prompt Template'!$C$2,$AI$5,$AJ20)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and I want help structuring my thinking and messaging.
Here’s the context of the meeting:
• Audience (roles, seniority, decision-makers):
• Goal of the meeting (decision, feedback, alignment, approval):
• Business problem or opportunity this initiative addresses:
• Proposed solution and why it matters now:
• Key metrics, impact, or success criteria:
• Constraints or risks (budget, resources, timeline, dependencies):
• Likely objections or questions:
Please help me:
Clarify the core narrative and “why this matters” story
Distill the proposal into a concise executive summary
Outline talking points for the meeting
Anticipate tough questions and strong responses
Suggest a clear ask and next steps
Keep the output concise, strategic, and tailored for a senior-level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and I want help structuring my thinking and messaging.
Here’s the context of the meeting:
• Audience (roles, seniority, decision-makers):
• Goal of the meeting (decision, feedback, alignment, approval):
• Business problem or opportunity this initiative addresses:
• Proposed solution and why it matters now:
• Key metrics, impact, or success criteria:
• Constraints or risks (budget, resources, timeline, dependencies):
• Likely objections or questions:
Please help me:
Clarify the core narrative and “why this matters” story
Distill the proposal into a concise executive summary
Outline talking points for the meeting
Anticipate tough questions and strong responses
Suggest a clear ask and next steps
Keep the output concise, strategic, and tailored for a senior-level audience.&lt;/user_input&gt;</v>
      </c>
      <c r="AL20" s="26">
        <f t="array" ref="AL20">index('Response Scoring'!$G:$G,match($A20,'Response Scoring'!$A:$A,0))</f>
        <v>4</v>
      </c>
      <c r="AM20" s="26">
        <f t="shared" si="16"/>
        <v>0.8</v>
      </c>
      <c r="AN20" s="26" t="str">
        <f>'Raw Data'!$T16</f>
        <v>I don't regularly do this!</v>
      </c>
      <c r="AO20" s="26" t="s">
        <v>121</v>
      </c>
      <c r="AP20" s="28" t="str">
        <f>substitute('Prompt Template'!$D$2,$AN$5,$AO20)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regularly do this!&lt;/user_input&gt;
</v>
      </c>
      <c r="AQ20" s="26">
        <f t="array" ref="AQ20">index('Response Scoring'!$I:$I,match($A20,'Response Scoring'!$A:$A,0))</f>
        <v>0</v>
      </c>
      <c r="AR20" s="26">
        <f t="shared" si="17"/>
        <v>0</v>
      </c>
      <c r="AS20" s="30">
        <f t="shared" si="18"/>
        <v>4.3</v>
      </c>
      <c r="AT20" s="26">
        <f t="shared" si="19"/>
        <v>29.845</v>
      </c>
      <c r="AU20" s="26">
        <f t="shared" si="20"/>
        <v>59.69</v>
      </c>
      <c r="AV20" s="26" t="str">
        <f t="shared" si="21"/>
        <v>AI Experimenter</v>
      </c>
      <c r="AW20" s="26" t="str">
        <f>'Raw Data'!U16</f>
        <v/>
      </c>
      <c r="AX20" s="26" t="str">
        <f>'Raw Data'!V16</f>
        <v/>
      </c>
      <c r="AY20" s="26" t="str">
        <f>'Raw Data'!W16</f>
        <v/>
      </c>
      <c r="AZ20" s="26" t="str">
        <f>'Raw Data'!X16</f>
        <v/>
      </c>
      <c r="BA20" s="26" t="str">
        <f>'Raw Data'!Y16</f>
        <v/>
      </c>
      <c r="BB20" s="26" t="str">
        <f>'Raw Data'!Z16</f>
        <v/>
      </c>
      <c r="BW20" s="31" t="str">
        <f>'Raw Data'!C16</f>
        <v>Acquisition &amp; Performance Marketing</v>
      </c>
      <c r="BZ20" s="26" t="str">
        <f>'Raw Data'!F16</f>
        <v>Director or senior Director</v>
      </c>
      <c r="CA20" s="31" t="str">
        <f>'Raw Data'!AU16</f>
        <v>I want to make more time for my to learn best practices. I feel like I use it a lot but I have found a lot of value when someone who knows more about AI shows me how they use it.</v>
      </c>
      <c r="CB20" s="31" t="str">
        <f>'Raw Data'!AV16</f>
        <v>ChatGPT is my main tool</v>
      </c>
      <c r="CC20" s="31" t="str">
        <f>'Raw Data'!AW16</f>
        <v>Agree</v>
      </c>
    </row>
    <row r="21" ht="15.75" customHeight="1">
      <c r="A21" s="26">
        <f>'Raw Data'!$A17</f>
        <v>15</v>
      </c>
      <c r="B21" s="26" t="str">
        <f>'Raw Data'!$G17</f>
        <v>Daily</v>
      </c>
      <c r="C21" s="26">
        <f t="shared" si="1"/>
        <v>1</v>
      </c>
      <c r="D21" s="26" t="str">
        <f>'Raw Data'!$H17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v>
      </c>
      <c r="E21" s="26">
        <f t="shared" si="2"/>
        <v>3</v>
      </c>
      <c r="F21" s="27">
        <f t="shared" si="3"/>
        <v>1</v>
      </c>
      <c r="G21" s="26" t="str">
        <f>'Raw Data'!$I17</f>
        <v>I've built custom AI tools (i.e. CustomGPTs, Copilot Agents) for repetitive tasks</v>
      </c>
      <c r="H21" s="26">
        <f t="shared" si="4"/>
        <v>0.75</v>
      </c>
      <c r="I21" s="26" t="str">
        <f>'Raw Data'!$J17</f>
        <v>Create a systematic process where AI handles data analysis and summary generation consistently</v>
      </c>
      <c r="J21" s="26">
        <f t="shared" si="5"/>
        <v>1</v>
      </c>
      <c r="K21" s="26" t="str">
        <f>'Raw Data'!$K17</f>
        <v>I would use AI to help with the research phase, collecting information about the topic to educate myself. I would then use AI to help brainstorm and validate some of my ideas and ask for its reasoning. I would put it in the role of senior stakeholders to then draft a framework for the presentation.</v>
      </c>
      <c r="L21" s="26" t="s">
        <v>122</v>
      </c>
      <c r="M21" s="28" t="str">
        <f>substitute('Prompt Template'!$A$2,$K$5,$L21)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the research phase, collecting information about the topic to educate myself. I would then use AI to help brainstorm and validate some of my ideas and ask for its reasoning. I would put it in the role of senior stakeholders to then draft a framework for the presentation.&lt;/user_input&gt;</v>
      </c>
      <c r="N21" s="26">
        <f t="array" ref="N21">index('Response Scoring'!$C:$C,match($A21,'Response Scoring'!$A:$A,0))</f>
        <v>2</v>
      </c>
      <c r="O21" s="29">
        <f t="shared" si="6"/>
        <v>0.6666666667</v>
      </c>
      <c r="P21" s="26" t="str">
        <f>'Raw Data'!$L17</f>
        <v>I use it to gather information beyond the sources I already have available and to brainstorm on different ideas by assigning different roles to my AI tool. I generate frameworks to help me structure my thinking process and help me communicate better.</v>
      </c>
      <c r="Q21" s="26" t="s">
        <v>123</v>
      </c>
      <c r="R21" s="28" t="str">
        <f>substitute('Prompt Template'!$B$2,$P$5,$Q21)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gather information beyond the sources I already have available and to brainstorm on different ideas by assigning different roles to my AI tool. I generate frameworks to help me structure my thinking process and help me communicate better.&lt;/user_input&gt;</v>
      </c>
      <c r="S21" s="26">
        <f t="array" ref="S21">index('Response Scoring'!$E:$E,match($A21,'Response Scoring'!$A:$A,0))</f>
        <v>1</v>
      </c>
      <c r="T21" s="29">
        <f t="shared" si="7"/>
        <v>0.3333333333</v>
      </c>
      <c r="U21" s="29">
        <f t="shared" si="8"/>
        <v>6.416666667</v>
      </c>
      <c r="V21" s="26" t="str">
        <f>'Raw Data'!$M17</f>
        <v>Creating a complete slide deck with visual design for an important client presentation</v>
      </c>
      <c r="W21" s="26">
        <f t="shared" si="9"/>
        <v>0</v>
      </c>
      <c r="X21" s="26" t="str">
        <f>'Raw Data'!$N17</f>
        <v>Hallucinations (generating false or misleading information), Biases in answers, Data privacy concerns when information is shared with an LLM, Vulnerability to manipulation by bad actors</v>
      </c>
      <c r="Y21" s="26">
        <f t="shared" si="10"/>
        <v>1</v>
      </c>
      <c r="Z21" s="26" t="str">
        <f>'Raw Data'!$O17</f>
        <v>Only share information that you would be comfortable sharing internally with a colleague, Use secure company instances or enterprise plans when available, Anonymize information by removing identifying details, Verify that the AI tool has SSL/HTTPS encryption before using it</v>
      </c>
      <c r="AA21" s="29">
        <f t="shared" si="11"/>
        <v>0</v>
      </c>
      <c r="AB21" s="26" t="str">
        <f>'Raw Data'!$P17</f>
        <v>Always: I routinely cross-check AI outputs with reliable sources</v>
      </c>
      <c r="AC21" s="26">
        <f t="shared" si="12"/>
        <v>1</v>
      </c>
      <c r="AD21" s="26" t="str">
        <f>'Raw Data'!$Q17</f>
        <v>Check if the response uses confident language and specific details, Cross-reference key claims with reliable external sources, Verify any calculations or data analysis independently, Ask the same AI tool to double-check its work for accuracy</v>
      </c>
      <c r="AE21" s="26">
        <f t="shared" si="13"/>
        <v>0</v>
      </c>
      <c r="AF21" s="30">
        <f t="shared" si="14"/>
        <v>4</v>
      </c>
      <c r="AG21" s="26" t="str">
        <f>'Raw Data'!$R17</f>
        <v>Sometimes: I iterate 2-3 times to reach a good result</v>
      </c>
      <c r="AH21" s="26">
        <f t="shared" si="15"/>
        <v>0.67</v>
      </c>
      <c r="AI21" s="26" t="str">
        <f>'Raw Data'!$S17</f>
        <v>You are part of the growth &amp; partner marketing leadership team and will meet with your peers to discuss our KPI framework. Our current framework is out of date and no longer applies to the function of our teams. It needs to evolve to include pipeline health indicators such as pipeline progression and pipeline growth and to better align with sales success metrics. Help me prepare for this meeting by summarizing the proposal, provide reasoning why we need to evolve, identify potential roadblocks and mitigation plans. Keep it short and crisp to allow leadership to react and give feedback and explain your reasoning in 2 short sentences.</v>
      </c>
      <c r="AJ21" s="26" t="s">
        <v>124</v>
      </c>
      <c r="AK21" s="28" t="str">
        <f>substitute('Prompt Template'!$C$2,$AI$5,$AJ21)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part of the growth &amp; partner marketing leadership team and will meet with your peers to discuss our KPI framework. Our current framework is out of date and no longer applies to the function of our teams. It needs to evolve to include pipeline health indicators such as pipeline progression and pipeline growth and to better align with sales success metrics. Help me prepare for this meeting by summarizing the proposal, provide reasoning why we need to evolve, identify potential roadblocks and mitigation plans. Keep it short and crisp to allow leadership to react and give feedback and explain your reasoning in 2 short sentences.&lt;/prompt&gt;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part of the growth &amp; partner marketing leadership team and will meet with your peers to discuss our KPI framework. Our current framework is out of date and no longer applies to the function of our teams. It needs to evolve to include pipeline health indicators such as pipeline progression and pipeline growth and to better align with sales success metrics. Help me prepare for this meeting by summarizing the proposal, provide reasoning why we need to evolve, identify potential roadblocks and mitigation plans. Keep it short and crisp to allow leadership to react and give feedback and explain your reasoning in 2 short sentences.&lt;/user_input&gt;</v>
      </c>
      <c r="AL21" s="26">
        <f t="array" ref="AL21">index('Response Scoring'!$G:$G,match($A21,'Response Scoring'!$A:$A,0))</f>
        <v>4</v>
      </c>
      <c r="AM21" s="26">
        <f t="shared" si="16"/>
        <v>0.8</v>
      </c>
      <c r="AN21" s="26" t="str">
        <f>'Raw Data'!$T17</f>
        <v>Role: Account-based marketer in "insert region" or field marketer in "insert region"
Task: research competitive solutions used by "upload account list" or in this "industry sub-segment" incl. pricing and positioning against our Autodesk portfolio. Explain how customers can benefit from using Autodesk solutions compared to the competitive products. Explain why customers might not want to switch to Autodesk and how to address customer objections. 
Leverage internal sources such as "Know Your Accounts dashboard" and search externally. Explain your reasoning.</v>
      </c>
      <c r="AO21" s="26" t="s">
        <v>125</v>
      </c>
      <c r="AP21" s="28" t="str">
        <f>substitute('Prompt Template'!$D$2,$AN$5,$AO21)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Account-based marketer in "insert region" or field marketer in "insert region"
Task: research competitive solutions used by "upload account list" or in this "industry sub-segment" incl. pricing and positioning against our Autodesk portfolio. Explain how customers can benefit from using Autodesk solutions compared to the competitive products. Explain why customers might not want to switch to Autodesk and how to address customer objections. 
Leverage internal sources such as "Know Your Accounts dashboard" and search externally. Explain your reasoning.&lt;/user_input&gt;
</v>
      </c>
      <c r="AQ21" s="26">
        <f t="array" ref="AQ21">index('Response Scoring'!$I:$I,match($A21,'Response Scoring'!$A:$A,0))</f>
        <v>3</v>
      </c>
      <c r="AR21" s="26">
        <f t="shared" si="17"/>
        <v>0.6</v>
      </c>
      <c r="AS21" s="30">
        <f t="shared" si="18"/>
        <v>6.805</v>
      </c>
      <c r="AT21" s="26">
        <f t="shared" si="19"/>
        <v>29.235</v>
      </c>
      <c r="AU21" s="26">
        <f t="shared" si="20"/>
        <v>58.47</v>
      </c>
      <c r="AV21" s="26" t="str">
        <f t="shared" si="21"/>
        <v>AI Experimenter</v>
      </c>
      <c r="AW21" s="26" t="str">
        <f>'Raw Data'!U17</f>
        <v/>
      </c>
      <c r="AX21" s="26" t="str">
        <f>'Raw Data'!V17</f>
        <v/>
      </c>
      <c r="AY21" s="26" t="str">
        <f>'Raw Data'!W17</f>
        <v/>
      </c>
      <c r="AZ21" s="26" t="str">
        <f>'Raw Data'!X17</f>
        <v/>
      </c>
      <c r="BA21" s="26" t="str">
        <f>'Raw Data'!Y17</f>
        <v/>
      </c>
      <c r="BB21" s="26" t="str">
        <f>'Raw Data'!Z17</f>
        <v/>
      </c>
      <c r="BW21" s="31" t="str">
        <f>'Raw Data'!C17</f>
        <v>Growth &amp; Partner Marketing</v>
      </c>
      <c r="BZ21" s="26" t="str">
        <f>'Raw Data'!F17</f>
        <v>Director or senior Director</v>
      </c>
      <c r="CA21" s="31" t="str">
        <f>'Raw Data'!AU17</f>
        <v>Finding the time to educate myself more and train on how to leverage Ai even more effectively.</v>
      </c>
      <c r="CB21" s="31" t="str">
        <f>'Raw Data'!AV17</f>
        <v>none</v>
      </c>
      <c r="CC21" s="31" t="str">
        <f>'Raw Data'!AW17</f>
        <v>Agree</v>
      </c>
    </row>
    <row r="22" ht="15.75" customHeight="1">
      <c r="A22" s="26">
        <f>'Raw Data'!$A18</f>
        <v>16</v>
      </c>
      <c r="B22" s="26" t="str">
        <f>'Raw Data'!$G18</f>
        <v>Several times a week</v>
      </c>
      <c r="C22" s="26">
        <f t="shared" si="1"/>
        <v>0.75</v>
      </c>
      <c r="D22" s="26" t="str">
        <f>'Raw Data'!$H18</f>
        <v>Writing or debugging code, scripts, or formulas, Editing or improving text I've already written (emails, documents, presentations), 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v>
      </c>
      <c r="E22" s="26">
        <f t="shared" si="2"/>
        <v>2</v>
      </c>
      <c r="F22" s="27">
        <f t="shared" si="3"/>
        <v>0.6666666667</v>
      </c>
      <c r="G22" s="26" t="str">
        <f>'Raw Data'!$I18</f>
        <v>I maintain a library of prompts that I reuse frequently</v>
      </c>
      <c r="H22" s="26">
        <f t="shared" si="4"/>
        <v>0.5</v>
      </c>
      <c r="I22" s="26" t="str">
        <f>'Raw Data'!$J18</f>
        <v>Create a systematic process where AI handles data analysis and summary generation consistently</v>
      </c>
      <c r="J22" s="26">
        <f t="shared" si="5"/>
        <v>1</v>
      </c>
      <c r="K22" s="26" t="str">
        <f>'Raw Data'!$K18</f>
        <v>I would start by getting AI to explain the concepts at varying levels of complexity. I would use research mode to dive deeper and I would leverage our internal wiki and SharePoint connectors to see if there’s is any relevant internal documentation I might need to reference. I would use AI for outlining and drafting but ensure the sources it’s pulling from are accurate and that I am adding a human layer before the final presentation</v>
      </c>
      <c r="L22" s="26" t="s">
        <v>126</v>
      </c>
      <c r="M22" s="28" t="str">
        <f>substitute('Prompt Template'!$A$2,$K$5,$L22)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getting AI to explain the concepts at varying levels of complexity. I would use research mode to dive deeper and I would leverage our internal wiki and SharePoint connectors to see if there’s is any relevant internal documentation I might need to reference. I would use AI for outlining and drafting but ensure the sources it’s pulling from are accurate and that I am adding a human layer before the final presentation&lt;/user_input&gt;</v>
      </c>
      <c r="N22" s="26">
        <f t="array" ref="N22">index('Response Scoring'!$C:$C,match($A22,'Response Scoring'!$A:$A,0))</f>
        <v>3</v>
      </c>
      <c r="O22" s="29">
        <f t="shared" si="6"/>
        <v>1</v>
      </c>
      <c r="P22" s="26" t="str">
        <f>'Raw Data'!$L18</f>
        <v>My most useful application is for debugging and improving my self service. I have built really strong agents that understand the tools that I use regularly. My most common application is around SQL query creation, optimization and debugging where it helps reduce my reliance on and improve the requirements I feed to our limited data resources.</v>
      </c>
      <c r="Q22" s="26" t="s">
        <v>127</v>
      </c>
      <c r="R22" s="28" t="str">
        <f>substitute('Prompt Template'!$B$2,$P$5,$Q22)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most useful application is for debugging and improving my self service. I have built really strong agents that understand the tools that I use regularly. My most common application is around SQL query creation, optimization and debugging where it helps reduce my reliance on and improve the requirements I feed to our limited data resources.&lt;/user_input&gt;</v>
      </c>
      <c r="S22" s="26">
        <f t="array" ref="S22">index('Response Scoring'!$E:$E,match($A22,'Response Scoring'!$A:$A,0))</f>
        <v>3</v>
      </c>
      <c r="T22" s="29">
        <f t="shared" si="7"/>
        <v>1</v>
      </c>
      <c r="U22" s="29">
        <f t="shared" si="8"/>
        <v>8.875</v>
      </c>
      <c r="V22" s="26" t="str">
        <f>'Raw Data'!$M18</f>
        <v>Analyzing presentation slides to evaluate both the visual design and written content for consistency</v>
      </c>
      <c r="W22" s="26">
        <f t="shared" si="9"/>
        <v>1</v>
      </c>
      <c r="X22" s="26" t="str">
        <f>'Raw Data'!$N18</f>
        <v>Hallucinations (generating false or misleading information), Biases in answers, Data privacy concerns when information is shared with an LLM</v>
      </c>
      <c r="Y22" s="26">
        <f t="shared" si="10"/>
        <v>0.75</v>
      </c>
      <c r="Z22" s="26" t="str">
        <f>'Raw Data'!$O18</f>
        <v>Anonymize information by removing identifying details</v>
      </c>
      <c r="AA22" s="29">
        <f t="shared" si="11"/>
        <v>0.5</v>
      </c>
      <c r="AB22" s="26" t="str">
        <f>'Raw Data'!$P18</f>
        <v>Always: I routinely cross-check AI outputs with reliable sources</v>
      </c>
      <c r="AC22" s="26">
        <f t="shared" si="12"/>
        <v>1</v>
      </c>
      <c r="AD22" s="26" t="str">
        <f>'Raw Data'!$Q18</f>
        <v>Cross-reference key claims with reliable external sources, Verify any calculations or data analysis independently, Use a different AI tool to review and verify the content, Ask the same AI tool to double-check its work for accuracy</v>
      </c>
      <c r="AE22" s="26">
        <f t="shared" si="13"/>
        <v>1</v>
      </c>
      <c r="AF22" s="30">
        <f t="shared" si="14"/>
        <v>8.5</v>
      </c>
      <c r="AG22" s="26" t="str">
        <f>'Raw Data'!$R18</f>
        <v>Sometimes: I iterate 2-3 times to reach a good result</v>
      </c>
      <c r="AH22" s="26">
        <f t="shared" si="15"/>
        <v>0.67</v>
      </c>
      <c r="AI22" s="26" t="str">
        <f>'Raw Data'!$S18</f>
        <v>Act as a research analyst helping me to prepare for an upcoming meeting to discuss xyz. Explain the key concepts related to xyz in clear, understandable language, provide case studies of where xyz has been applied in other businesses, as well as key considerations for a company like Autodesk. Pull together any internal resources or relevant research on xyz and document your sources.</v>
      </c>
      <c r="AJ22" s="26" t="s">
        <v>128</v>
      </c>
      <c r="AK22" s="28" t="str">
        <f>substitute('Prompt Template'!$C$2,$AI$5,$AJ22)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research analyst helping me to prepare for an upcoming meeting to discuss xyz. Explain the key concepts related to xyz in clear, understandable language, provide case studies of where xyz has been applied in other businesses, as well as key considerations for a company like Autodesk. Pull together any internal resources or relevant research on xyz and document your sources.&lt;/prompt&gt;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research analyst helping me to prepare for an upcoming meeting to discuss xyz. Explain the key concepts related to xyz in clear, understandable language, provide case studies of where xyz has been applied in other businesses, as well as key considerations for a company like Autodesk. Pull together any internal resources or relevant research on xyz and document your sources.&lt;/user_input&gt;</v>
      </c>
      <c r="AL22" s="26">
        <f t="array" ref="AL22">index('Response Scoring'!$G:$G,match($A22,'Response Scoring'!$A:$A,0))</f>
        <v>4</v>
      </c>
      <c r="AM22" s="26">
        <f t="shared" si="16"/>
        <v>0.8</v>
      </c>
      <c r="AN22" s="26" t="str">
        <f>'Raw Data'!$T18</f>
        <v>Act a market research specialist for the Design &amp; Make industry. Take as an input a list of companies and competitive tools and analyze their websites, blogs and third party sources for products, pricing and positioning information. Output results in a tabular format.</v>
      </c>
      <c r="AO22" s="26" t="s">
        <v>129</v>
      </c>
      <c r="AP22" s="28" t="str">
        <f>substitute('Prompt Template'!$D$2,$AN$5,$AO22)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 market research specialist for the Design &amp; Make industry. Take as an input a list of companies and competitive tools and analyze their websites, blogs and third party sources for products, pricing and positioning information. Output results in a tabular format.&lt;/user_input&gt;
</v>
      </c>
      <c r="AQ22" s="26">
        <f t="array" ref="AQ22">index('Response Scoring'!$I:$I,match($A22,'Response Scoring'!$A:$A,0))</f>
        <v>3</v>
      </c>
      <c r="AR22" s="26">
        <f t="shared" si="17"/>
        <v>0.6</v>
      </c>
      <c r="AS22" s="30">
        <f t="shared" si="18"/>
        <v>6.805</v>
      </c>
      <c r="AT22" s="26">
        <f t="shared" si="19"/>
        <v>39.6725</v>
      </c>
      <c r="AU22" s="26">
        <f t="shared" si="20"/>
        <v>79.345</v>
      </c>
      <c r="AV22" s="26" t="str">
        <f t="shared" si="21"/>
        <v>AI Practitioner</v>
      </c>
      <c r="AW22" s="26" t="str">
        <f>'Raw Data'!U18</f>
        <v/>
      </c>
      <c r="AX22" s="26" t="str">
        <f>'Raw Data'!V18</f>
        <v/>
      </c>
      <c r="AY22" s="26" t="str">
        <f>'Raw Data'!W18</f>
        <v/>
      </c>
      <c r="AZ22" s="26" t="str">
        <f>'Raw Data'!X18</f>
        <v/>
      </c>
      <c r="BA22" s="26" t="str">
        <f>'Raw Data'!Y18</f>
        <v/>
      </c>
      <c r="BB22" s="26" t="str">
        <f>'Raw Data'!Z18</f>
        <v/>
      </c>
      <c r="BW22" s="31" t="str">
        <f>'Raw Data'!C18</f>
        <v>Digital &amp; eCommerce</v>
      </c>
      <c r="BZ22" s="26" t="str">
        <f>'Raw Data'!F18</f>
        <v>Individual Contributor</v>
      </c>
      <c r="CA22" s="31" t="str">
        <f>'Raw Data'!AU18</f>
        <v>Carving out time for learning and building agents. Understanding how to integrate new AI tools into my workflow</v>
      </c>
      <c r="CB22" s="31" t="str">
        <f>'Raw Data'!AV18</f>
        <v>I have explored Notion AI and Lovable for personal projects</v>
      </c>
      <c r="CC22" s="31" t="str">
        <f>'Raw Data'!AW18</f>
        <v>Neutral</v>
      </c>
    </row>
    <row r="23" ht="15.75" customHeight="1">
      <c r="A23" s="26">
        <f>'Raw Data'!$A19</f>
        <v>17</v>
      </c>
      <c r="B23" s="26" t="str">
        <f>'Raw Data'!$G19</f>
        <v>Daily</v>
      </c>
      <c r="C23" s="26">
        <f t="shared" si="1"/>
        <v>1</v>
      </c>
      <c r="D23" s="26" t="str">
        <f>'Raw Data'!$H19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3" s="26">
        <f t="shared" si="2"/>
        <v>2</v>
      </c>
      <c r="F23" s="27">
        <f t="shared" si="3"/>
        <v>0.6666666667</v>
      </c>
      <c r="G23" s="26" t="str">
        <f>'Raw Data'!$I19</f>
        <v>I maintain a library of prompts that I reuse frequently</v>
      </c>
      <c r="H23" s="26">
        <f t="shared" si="4"/>
        <v>0.5</v>
      </c>
      <c r="I23" s="26" t="str">
        <f>'Raw Data'!$J19</f>
        <v>Use AI to help analyze each data source, then compile results manually</v>
      </c>
      <c r="J23" s="26">
        <f t="shared" si="5"/>
        <v>0.67</v>
      </c>
      <c r="K23" s="26" t="str">
        <f>'Raw Data'!$K19</f>
        <v>Reseach the topics and develop a draft from those topics</v>
      </c>
      <c r="L23" s="26" t="s">
        <v>130</v>
      </c>
      <c r="M23" s="28" t="str">
        <f>substitute('Prompt Template'!$A$2,$K$5,$L23)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&lt;user_input&gt;Reseach the topics and develop a draft from those topics&lt;/user_input&gt;</v>
      </c>
      <c r="N23" s="26">
        <f t="array" ref="N23">index('Response Scoring'!$C:$C,match($A23,'Response Scoring'!$A:$A,0))</f>
        <v>1</v>
      </c>
      <c r="O23" s="29">
        <f t="shared" si="6"/>
        <v>0.3333333333</v>
      </c>
      <c r="P23" s="26" t="str">
        <f>'Raw Data'!$L19</f>
        <v>As I started to work at Autodesk, AI helped a lot for exploring existing knowedges, such as wiki, sharepoint.  For example, we have style guide for Japanese and ChatGPT revises Japanese texts based on the guide.  It completes in a seconds, while it took hours by human.</v>
      </c>
      <c r="Q23" s="26" t="s">
        <v>131</v>
      </c>
      <c r="R23" s="28" t="str">
        <f>substitute('Prompt Template'!$B$2,$P$5,$Q23)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I started to work at Autodesk, AI helped a lot for exploring existing knowedges, such as wiki, sharepoint.  For example, we have style guide for Japanese and ChatGPT revises Japanese texts based on the guide.  It completes in a seconds, while it took hours by human.&lt;/user_input&gt;</v>
      </c>
      <c r="S23" s="26">
        <f t="array" ref="S23">index('Response Scoring'!$E:$E,match($A23,'Response Scoring'!$A:$A,0))</f>
        <v>2</v>
      </c>
      <c r="T23" s="29">
        <f t="shared" si="7"/>
        <v>0.6666666667</v>
      </c>
      <c r="U23" s="29">
        <f t="shared" si="8"/>
        <v>6.003333333</v>
      </c>
      <c r="V23" s="26" t="str">
        <f>'Raw Data'!$M19</f>
        <v>Analyzing presentation slides to evaluate both the visual design and written content for consistency</v>
      </c>
      <c r="W23" s="26">
        <f t="shared" si="9"/>
        <v>1</v>
      </c>
      <c r="X23" s="26" t="str">
        <f>'Raw Data'!$N19</f>
        <v>Hallucinations (generating false or misleading information), Data privacy concerns when information is shared with an LLM, Vulnerability to manipulation by bad actors</v>
      </c>
      <c r="Y23" s="26">
        <f t="shared" si="10"/>
        <v>0.75</v>
      </c>
      <c r="Z23" s="26" t="str">
        <f>'Raw Data'!$O19</f>
        <v>Anonymize information by removing identifying details, Use secure company instances or enterprise plans when available, Verify that the AI tool has SSL/HTTPS encryption before using it</v>
      </c>
      <c r="AA23" s="29">
        <f t="shared" si="11"/>
        <v>0</v>
      </c>
      <c r="AB23" s="26" t="str">
        <f>'Raw Data'!$P19</f>
        <v>Sometimes: I do a quick check against known data or references</v>
      </c>
      <c r="AC23" s="26">
        <f t="shared" si="12"/>
        <v>0.67</v>
      </c>
      <c r="AD23" s="26" t="str">
        <f>'Raw Data'!$Q19</f>
        <v>Cross-reference key claims with reliable external sources, Ask the same AI tool to double-check its work for accuracy</v>
      </c>
      <c r="AE23" s="26">
        <f t="shared" si="13"/>
        <v>0.5</v>
      </c>
      <c r="AF23" s="30">
        <f t="shared" si="14"/>
        <v>5.84</v>
      </c>
      <c r="AG23" s="26" t="str">
        <f>'Raw Data'!$R19</f>
        <v>Sometimes: I iterate 2-3 times to reach a good result</v>
      </c>
      <c r="AH23" s="26">
        <f t="shared" si="15"/>
        <v>0.67</v>
      </c>
      <c r="AI23" s="26" t="str">
        <f>'Raw Data'!$S19</f>
        <v>I need 3 topics for our next meeting on new initiatives which are to make huge impact on our business.  Generate pros and cons for each topic, as well.</v>
      </c>
      <c r="AJ23" s="26" t="s">
        <v>132</v>
      </c>
      <c r="AK23" s="28" t="str">
        <f>substitute('Prompt Template'!$C$2,$AI$5,$AJ23)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3 topics for our next meeting on new initiatives which are to make huge impact on our business.  Generate pros and cons for each topic, as well.&lt;/prompt&gt;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3 topics for our next meeting on new initiatives which are to make huge impact on our business.  Generate pros and cons for each topic, as well.&lt;/user_input&gt;</v>
      </c>
      <c r="AL23" s="26">
        <f t="array" ref="AL23">index('Response Scoring'!$G:$G,match($A23,'Response Scoring'!$A:$A,0))</f>
        <v>2</v>
      </c>
      <c r="AM23" s="26">
        <f t="shared" si="16"/>
        <v>0.4</v>
      </c>
      <c r="AN23" s="26" t="str">
        <f>'Raw Data'!$T19</f>
        <v>As a professional researcher with deep knowledge on this market in Japan.  Generate competitive analysis with latest, accurate information.</v>
      </c>
      <c r="AO23" s="26" t="s">
        <v>133</v>
      </c>
      <c r="AP23" s="28" t="str">
        <f>substitute('Prompt Template'!$D$2,$AN$5,$AO23)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 a professional researcher with deep knowledge on this market in Japan.  Generate competitive analysis with latest, accurate information.&lt;/user_input&gt;
</v>
      </c>
      <c r="AQ23" s="26">
        <f t="array" ref="AQ23">index('Response Scoring'!$I:$I,match($A23,'Response Scoring'!$A:$A,0))</f>
        <v>1</v>
      </c>
      <c r="AR23" s="26">
        <f t="shared" si="17"/>
        <v>0.2</v>
      </c>
      <c r="AS23" s="30">
        <f t="shared" si="18"/>
        <v>3.405</v>
      </c>
      <c r="AT23" s="26">
        <f t="shared" si="19"/>
        <v>24.575</v>
      </c>
      <c r="AU23" s="26">
        <f t="shared" si="20"/>
        <v>49.15</v>
      </c>
      <c r="AV23" s="26" t="str">
        <f t="shared" si="21"/>
        <v>AI Experimenter</v>
      </c>
      <c r="AW23" s="26" t="str">
        <f>'Raw Data'!U19</f>
        <v/>
      </c>
      <c r="AX23" s="26" t="str">
        <f>'Raw Data'!V19</f>
        <v/>
      </c>
      <c r="AY23" s="26" t="str">
        <f>'Raw Data'!W19</f>
        <v/>
      </c>
      <c r="AZ23" s="26" t="str">
        <f>'Raw Data'!X19</f>
        <v/>
      </c>
      <c r="BA23" s="26" t="str">
        <f>'Raw Data'!Y19</f>
        <v/>
      </c>
      <c r="BB23" s="26" t="str">
        <f>'Raw Data'!Z19</f>
        <v/>
      </c>
      <c r="BW23" s="31" t="str">
        <f>'Raw Data'!C19</f>
        <v>Digital &amp; eCommerce</v>
      </c>
      <c r="BZ23" s="26" t="str">
        <f>'Raw Data'!F19</f>
        <v>Individual Contributor</v>
      </c>
      <c r="CA23" s="31" t="str">
        <f>'Raw Data'!AU19</f>
        <v>Current ChatGPT doesn't have access to information on Autodesk wiki and some of infromation resources.</v>
      </c>
      <c r="CB23" s="31" t="str">
        <f>'Raw Data'!AV19</f>
        <v>ChatGPT, MS Copilot</v>
      </c>
      <c r="CC23" s="31" t="str">
        <f>'Raw Data'!AW19</f>
        <v>Strongly agree</v>
      </c>
    </row>
    <row r="24" ht="15.75" customHeight="1">
      <c r="A24" s="26">
        <f>'Raw Data'!$A20</f>
        <v>18</v>
      </c>
      <c r="B24" s="26" t="str">
        <f>'Raw Data'!$G20</f>
        <v>Daily</v>
      </c>
      <c r="C24" s="26">
        <f t="shared" si="1"/>
        <v>1</v>
      </c>
      <c r="D24" s="26" t="str">
        <f>'Raw Data'!$H20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Writing or debugging code, scripts, or formulas, Building custom prompts, templates, or workflows that I reuse regularly, Using AI for vibe coding to prototype solutions, apps, or products</v>
      </c>
      <c r="E24" s="26">
        <f t="shared" si="2"/>
        <v>3</v>
      </c>
      <c r="F24" s="27">
        <f t="shared" si="3"/>
        <v>1</v>
      </c>
      <c r="G24" s="26" t="str">
        <f>'Raw Data'!$I20</f>
        <v>I've created workflows that connect AI with other systems (Slack, Salesforce, email) using integrations or code</v>
      </c>
      <c r="H24" s="26">
        <f t="shared" si="4"/>
        <v>1</v>
      </c>
      <c r="I24" s="26" t="str">
        <f>'Raw Data'!$J20</f>
        <v>Create a systematic process where AI handles data analysis and summary generation consistently</v>
      </c>
      <c r="J24" s="26">
        <f t="shared" si="5"/>
        <v>1</v>
      </c>
      <c r="K24" s="26" t="str">
        <f>'Raw Data'!$K20</f>
        <v>I would use AI to get a fast, accurate mental model of the topic, surface executive-relevant risks and decisions, and outline a clear narrative. Then I would use it to pressure-test the story with likely objections and questions, while I refine judgment, framing, and final recommendations myself.</v>
      </c>
      <c r="L24" s="26" t="s">
        <v>134</v>
      </c>
      <c r="M24" s="28" t="str">
        <f>substitute('Prompt Template'!$A$2,$K$5,$L24)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get a fast, accurate mental model of the topic, surface executive-relevant risks and decisions, and outline a clear narrative. Then I would use it to pressure-test the story with likely objections and questions, while I refine judgment, framing, and final recommendations myself.&lt;/user_input&gt;</v>
      </c>
      <c r="N24" s="26">
        <f t="array" ref="N24">index('Response Scoring'!$C:$C,match($A24,'Response Scoring'!$A:$A,0))</f>
        <v>3</v>
      </c>
      <c r="O24" s="29">
        <f t="shared" si="6"/>
        <v>1</v>
      </c>
      <c r="P24" s="26" t="str">
        <f>'Raw Data'!$L20</f>
        <v>Survey responses and Meeting notes.</v>
      </c>
      <c r="Q24" s="26" t="s">
        <v>135</v>
      </c>
      <c r="R24" s="28" t="str">
        <f>substitute('Prompt Template'!$B$2,$P$5,$Q24)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&lt;user_input&gt;Survey responses and Meeting notes.&lt;/user_input&gt;</v>
      </c>
      <c r="S24" s="26">
        <f t="array" ref="S24">index('Response Scoring'!$E:$E,match($A24,'Response Scoring'!$A:$A,0))</f>
        <v>1</v>
      </c>
      <c r="T24" s="29">
        <f t="shared" si="7"/>
        <v>0.3333333333</v>
      </c>
      <c r="U24" s="29">
        <f t="shared" si="8"/>
        <v>7.333333333</v>
      </c>
      <c r="V24" s="26" t="str">
        <f>'Raw Data'!$M20</f>
        <v>Analyzing presentation slides to evaluate both the visual design and written content for consistency</v>
      </c>
      <c r="W24" s="26">
        <f t="shared" si="9"/>
        <v>1</v>
      </c>
      <c r="X24" s="26" t="str">
        <f>'Raw Data'!$N20</f>
        <v>Hallucinations (generating false or misleading information), Biases in answers, Data privacy concerns when information is shared with an LLM</v>
      </c>
      <c r="Y24" s="26">
        <f t="shared" si="10"/>
        <v>0.75</v>
      </c>
      <c r="Z24" s="26" t="str">
        <f>'Raw Data'!$O20</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4" s="29">
        <f t="shared" si="11"/>
        <v>0</v>
      </c>
      <c r="AB24" s="26" t="str">
        <f>'Raw Data'!$P20</f>
        <v>Always: I routinely cross-check AI outputs with reliable sources</v>
      </c>
      <c r="AC24" s="26">
        <f t="shared" si="12"/>
        <v>1</v>
      </c>
      <c r="AD24" s="26" t="str">
        <f>'Raw Data'!$Q20</f>
        <v>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v>
      </c>
      <c r="AE24" s="26">
        <f t="shared" si="13"/>
        <v>0</v>
      </c>
      <c r="AF24" s="30">
        <f t="shared" si="14"/>
        <v>5.5</v>
      </c>
      <c r="AG24" s="26" t="str">
        <f>'Raw Data'!$R20</f>
        <v>Frequently: I systematically refine prompts until I'm satisfied</v>
      </c>
      <c r="AH24" s="26">
        <f t="shared" si="15"/>
        <v>1</v>
      </c>
      <c r="AI24" s="26" t="str">
        <f>'Raw Data'!$S20</f>
        <v>Help me prepare for a meeting about a new initiative. Summarize the core idea in plain language, identify the key decision I am asking stakeholders to make, surface risks and tradeoffs they will care about, anticipate tough questions or objections, and suggest a clear narrative and talking points tailored to senior leaders.</v>
      </c>
      <c r="AJ24" s="26" t="s">
        <v>136</v>
      </c>
      <c r="AK24" s="28" t="str">
        <f>substitute('Prompt Template'!$C$2,$AI$5,$AJ24)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about a new initiative. Summarize the core idea in plain language, identify the key decision I am asking stakeholders to make, surface risks and tradeoffs they will care about, anticipate tough questions or objections, and suggest a clear narrative and talking points tailored to senior leaders.&lt;/prompt&gt;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about a new initiative. Summarize the core idea in plain language, identify the key decision I am asking stakeholders to make, surface risks and tradeoffs they will care about, anticipate tough questions or objections, and suggest a clear narrative and talking points tailored to senior leaders.&lt;/user_input&gt;</v>
      </c>
      <c r="AL24" s="26">
        <f t="array" ref="AL24">index('Response Scoring'!$G:$G,match($A24,'Response Scoring'!$A:$A,0))</f>
        <v>4</v>
      </c>
      <c r="AM24" s="26">
        <f t="shared" si="16"/>
        <v>0.8</v>
      </c>
      <c r="AN24" s="26" t="str">
        <f>'Raw Data'!$T20</f>
        <v>Gather and summarize competitor intelligence in a consistent format. For each competitor, clearly explain the product, target customer, pricing and packaging, core positioning, key strengths and weaknesses, and recent moves, focusing on implications for our strategy rather than raw facts. Flag assumptions, cite sources when known, and present insights in clear, decision-ready language.</v>
      </c>
      <c r="AO24" s="26" t="s">
        <v>137</v>
      </c>
      <c r="AP24" s="28" t="str">
        <f>substitute('Prompt Template'!$D$2,$AN$5,$AO24)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&lt;user_input&gt;Gather and summarize competitor intelligence in a consistent format. For each competitor, clearly explain the product, target customer, pricing and packaging, core positioning, key strengths and weaknesses, and recent moves, focusing on implications for our strategy rather than raw facts. Flag assumptions, cite sources when known, and present insights in clear, decision-ready language.&lt;/user_input&gt;
</v>
      </c>
      <c r="AQ24" s="26">
        <f t="array" ref="AQ24">index('Response Scoring'!$I:$I,match($A24,'Response Scoring'!$A:$A,0))</f>
        <v>3</v>
      </c>
      <c r="AR24" s="26">
        <f t="shared" si="17"/>
        <v>0.6</v>
      </c>
      <c r="AS24" s="30">
        <f t="shared" si="18"/>
        <v>7.3</v>
      </c>
      <c r="AT24" s="26">
        <f t="shared" si="19"/>
        <v>33.85</v>
      </c>
      <c r="AU24" s="26">
        <f t="shared" si="20"/>
        <v>67.7</v>
      </c>
      <c r="AV24" s="26" t="str">
        <f t="shared" si="21"/>
        <v>AI Practitioner</v>
      </c>
      <c r="AW24" s="26" t="str">
        <f>'Raw Data'!U20</f>
        <v/>
      </c>
      <c r="AX24" s="26" t="str">
        <f>'Raw Data'!V20</f>
        <v/>
      </c>
      <c r="AY24" s="26" t="str">
        <f>'Raw Data'!W20</f>
        <v/>
      </c>
      <c r="AZ24" s="26" t="str">
        <f>'Raw Data'!X20</f>
        <v/>
      </c>
      <c r="BA24" s="26" t="str">
        <f>'Raw Data'!Y20</f>
        <v/>
      </c>
      <c r="BB24" s="26" t="str">
        <f>'Raw Data'!Z20</f>
        <v/>
      </c>
      <c r="BW24" s="31" t="str">
        <f>'Raw Data'!C20</f>
        <v>Education</v>
      </c>
      <c r="BZ24" s="26" t="str">
        <f>'Raw Data'!F20</f>
        <v>Director or senior Director</v>
      </c>
      <c r="CA24" s="31" t="str">
        <f>'Raw Data'!AU20</f>
        <v>Write access. ChatGPT doesn't have access to my file system, can't send an email, can't move a file.</v>
      </c>
      <c r="CB24" s="31" t="str">
        <f>'Raw Data'!AV20</f>
        <v>For personal projects outside of work, claude code app. Gemini.</v>
      </c>
      <c r="CC24" s="31" t="str">
        <f>'Raw Data'!AW20</f>
        <v>Agree</v>
      </c>
    </row>
    <row r="25" ht="15.75" customHeight="1">
      <c r="A25" s="26">
        <f>'Raw Data'!$A21</f>
        <v>19</v>
      </c>
      <c r="B25" s="26" t="str">
        <f>'Raw Data'!$G21</f>
        <v>Daily</v>
      </c>
      <c r="C25" s="26">
        <f t="shared" si="1"/>
        <v>1</v>
      </c>
      <c r="D25" s="26" t="str">
        <f>'Raw Data'!$H21</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5" s="26">
        <f t="shared" si="2"/>
        <v>3</v>
      </c>
      <c r="F25" s="27">
        <f t="shared" si="3"/>
        <v>1</v>
      </c>
      <c r="G25" s="26" t="str">
        <f>'Raw Data'!$I21</f>
        <v>I've built custom AI tools (i.e. CustomGPTs, Copilot Agents) for repetitive tasks</v>
      </c>
      <c r="H25" s="26">
        <f t="shared" si="4"/>
        <v>0.75</v>
      </c>
      <c r="I25" s="26" t="str">
        <f>'Raw Data'!$J21</f>
        <v>Create a systematic process where AI handles data analysis and summary generation consistently</v>
      </c>
      <c r="J25" s="26">
        <f t="shared" si="5"/>
        <v>1</v>
      </c>
      <c r="K25" s="26" t="str">
        <f>'Raw Data'!$K21</f>
        <v>I would use AI as an accelerator, not a substitute for judgment, across three phases:
Rapid orientation: Use AI to synthesize the topic landscape quickly—key concepts, current trends, common pitfalls, and stakeholder-relevant implications—so I can reach baseline fluency fast.
Structuring the narrative: Leverage AI to pressure-test the storyline, clarify the core message, and shape an executive-level flow (what matters, why now, risks, and decisions required).
Refinement and rigor: Use AI to sharpen language, stress-test assumptions, identify gaps or counterpoints, and ensure the deck is concise, credible, and aligned with senior stakeholder expectations.
Final accountability—fact-checking, prioritization, and framing trade-offs—remains with me. AI shortens the cycle</v>
      </c>
      <c r="L25" s="26" t="s">
        <v>138</v>
      </c>
      <c r="M25" s="28" t="str">
        <f>substitute('Prompt Template'!$A$2,$K$5,$L25)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an accelerator, not a substitute for judgment, across three phases:
Rapid orientation: Use AI to synthesize the topic landscape quickly—key concepts, current trends, common pitfalls, and stakeholder-relevant implications—so I can reach baseline fluency fast.
Structuring the narrative: Leverage AI to pressure-test the storyline, clarify the core message, and shape an executive-level flow (what matters, why now, risks, and decisions required).
Refinement and rigor: Use AI to sharpen language, stress-test assumptions, identify gaps or counterpoints, and ensure the deck is concise, credible, and aligned with senior stakeholder expectations.
Final accountability—fact-checking, prioritization, and framing trade-offs—remains with me. AI shortens the cycle&lt;/user_input&gt;</v>
      </c>
      <c r="N25" s="26">
        <f t="array" ref="N25">index('Response Scoring'!$C:$C,match($A25,'Response Scoring'!$A:$A,0))</f>
        <v>3</v>
      </c>
      <c r="O25" s="29">
        <f t="shared" si="6"/>
        <v>1</v>
      </c>
      <c r="P25" s="26" t="str">
        <f>'Raw Data'!$L21</f>
        <v>Analyze and synthesize data to quickly surface trends, patterns, anomalies, and implications
Translate data into insights that are relevant for decision-making, not just reporting
Build rapid understanding of unfamiliar topics and business contexts
Structure and pressure-test narratives into executive-ready storylines
Sharpen senior-level communication for clarity, focus, and impact
Reduce iteration cycles while retaining ownership of judgment and accountability</v>
      </c>
      <c r="Q25" s="26" t="s">
        <v>139</v>
      </c>
      <c r="R25" s="28" t="str">
        <f>substitute('Prompt Template'!$B$2,$P$5,$Q25)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and synthesize data to quickly surface trends, patterns, anomalies, and implications
Translate data into insights that are relevant for decision-making, not just reporting
Build rapid understanding of unfamiliar topics and business contexts
Structure and pressure-test narratives into executive-ready storylines
Sharpen senior-level communication for clarity, focus, and impact
Reduce iteration cycles while retaining ownership of judgment and accountability&lt;/user_input&gt;</v>
      </c>
      <c r="S25" s="26">
        <f t="array" ref="S25">index('Response Scoring'!$E:$E,match($A25,'Response Scoring'!$A:$A,0))</f>
        <v>2</v>
      </c>
      <c r="T25" s="29">
        <f t="shared" si="7"/>
        <v>0.6666666667</v>
      </c>
      <c r="U25" s="29">
        <f t="shared" si="8"/>
        <v>8.416666667</v>
      </c>
      <c r="V25" s="26" t="str">
        <f>'Raw Data'!$M21</f>
        <v>Analyzing presentation slides to evaluate both the visual design and written content for consistency</v>
      </c>
      <c r="W25" s="26">
        <f t="shared" si="9"/>
        <v>1</v>
      </c>
      <c r="X25" s="26" t="str">
        <f>'Raw Data'!$N21</f>
        <v>Hallucinations (generating false or misleading information), Biases in answers, Data privacy concerns when information is shared with an LLM, Vulnerability to manipulation by bad actors</v>
      </c>
      <c r="Y25" s="26">
        <f t="shared" si="10"/>
        <v>1</v>
      </c>
      <c r="Z25" s="26" t="str">
        <f>'Raw Data'!$O21</f>
        <v>Use secure company instances or enterprise plans when available</v>
      </c>
      <c r="AA25" s="29">
        <f t="shared" si="11"/>
        <v>0.5</v>
      </c>
      <c r="AB25" s="26" t="str">
        <f>'Raw Data'!$P21</f>
        <v>Always: I routinely cross-check AI outputs with reliable sources</v>
      </c>
      <c r="AC25" s="26">
        <f t="shared" si="12"/>
        <v>1</v>
      </c>
      <c r="AD25" s="26" t="str">
        <f>'Raw Data'!$Q21</f>
        <v>Cross-reference key claims with reliable external sources, Verify any calculations or data analysis independently, Use a different AI tool to review and verify the content, Ask the same AI tool to double-check its work for accuracy</v>
      </c>
      <c r="AE25" s="26">
        <f t="shared" si="13"/>
        <v>1</v>
      </c>
      <c r="AF25" s="30">
        <f t="shared" si="14"/>
        <v>9</v>
      </c>
      <c r="AG25" s="26" t="str">
        <f>'Raw Data'!$R21</f>
        <v>Frequently: I systematically refine prompts until I'm satisfied</v>
      </c>
      <c r="AH25" s="26">
        <f t="shared" si="15"/>
        <v>1</v>
      </c>
      <c r="AI25" s="26" t="str">
        <f>'Raw Data'!$S21</f>
        <v>Act as a senior digital marketing leader with 20 years experience 
,I am preparing for a work meeting to discuss a new initiative/proposal.
Help me prepare by:
Clarifying the objective of the meeting
Identifying key stakeholders and their likely priorities or concerns
Structuring a concise agenda
Developing clear talking points and a strong narrative for the proposal
Anticipating tough questions or objections and suggesting strong responses
Recommending data, metrics, or examples I should reference
Suggesting a clear call to action and next steps
Before proceeding, ask me any critical clarification questions you need (e.g., audience, seniority, decision scope, timeline, risks, or context). Make no assumptions until those are answered.</v>
      </c>
      <c r="AJ25" s="26" t="s">
        <v>140</v>
      </c>
      <c r="AK25" s="28" t="str">
        <f>substitute('Prompt Template'!$C$2,$AI$5,$AJ25)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senior digital marketing leader with 20 years experience 
,I am preparing for a work meeting to discuss a new initiative/proposal.
Help me prepare by:
Clarifying the objective of the meeting
Identifying key stakeholders and their likely priorities or concerns
Structuring a concise agenda
Developing clear talking points and a strong narrative for the proposal
Anticipating tough questions or objections and suggesting strong responses
Recommending data, metrics, or examples I should reference
Suggesting a clear call to action and next steps
Before proceeding, ask me any critical clarification questions you need (e.g., audience, seniority, decision scope, timeline, risks, or context). Make no assumptions until those are answered.&lt;/prompt&gt;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senior digital marketing leader with 20 years experience 
,I am preparing for a work meeting to discuss a new initiative/proposal.
Help me prepare by:
Clarifying the objective of the meeting
Identifying key stakeholders and their likely priorities or concerns
Structuring a concise agenda
Developing clear talking points and a strong narrative for the proposal
Anticipating tough questions or objections and suggesting strong responses
Recommending data, metrics, or examples I should reference
Suggesting a clear call to action and next steps
Before proceeding, ask me any critical clarification questions you need (e.g., audience, seniority, decision scope, timeline, risks, or context). Make no assumptions until those are answered.&lt;/user_input&gt;</v>
      </c>
      <c r="AL25" s="26">
        <f t="array" ref="AL25">index('Response Scoring'!$G:$G,match($A25,'Response Scoring'!$A:$A,0))</f>
        <v>5</v>
      </c>
      <c r="AM25" s="26">
        <f t="shared" si="16"/>
        <v>1</v>
      </c>
      <c r="AN25" s="26" t="str">
        <f>'Raw Data'!$T21</f>
        <v>Role &amp; Expertise
You are a Competitive Intelligence Analyst with experience in product marketing, pricing strategy, and market positioning.
Your purpose is to help teams systematically gather, analyze, and synthesize competitor intelligence in a consistent, unbiased, and decision-ready way.
Core Objectives
Your primary goals are to:
Collect structured intelligence on competitors’ products, pricing, positioning, and go-to-market strategy
Normalize findings so they are comparable across competitors
Distinguish facts vs. interpretation
Surface implications, risks, and opportunities for our business
Standard Research Dimensions (Always Cover)
For each competitor, analyze the following sections unless explicitly told otherwise:
1. Competitor Overview
Company name
Target customer segments (e.g., SMB, mid-market, enterprise)
Primary industries or use cases
Geographic focus (if relevant)
2. Product &amp; Offering
Core products or solutions
Key features and differentiators
Product packaging or tiers
Notable strengths and limitations
Recent launches or roadmap signals (if available)
3. Pricing &amp; Commercial Model
Pricing structure (subscription, usage-based, freemium, one-time, etc.)
Published pricing tiers and ranges
Enterprise / custom pricing indicators
Discounts, trials, or promotions
Contract length and commitment signals (if known)
⚠️ If pricing is not public, clearly state assumptions and confidence level.
4. Positioning &amp; Messaging
Core value proposition
Primary marketing messages or claims
Competitive comparisons they make (explicit or implicit)
Keywords, themes, and emotional framing
Differentiation vs. category norms
5. Go-to-Market Signals
Primary acquisition channels (paid, organic, partners, outbound, etc.)
Sales motion (self-serve, sales-led, hybrid)
Target personas (e.g., buyer vs. user)
Content or thought leadership themes
6. Strengths &amp; Weaknesses
Perceived strengths from a customer perspective
Potential weaknesses, gaps, or vulnerabilities
Trade-offs in their strategy
7. Strategic Implications (Most Important)
What this competitor does well that we should watch
Where they appear exposed or limited
Implications for:
Our positioning
Our pricing strategy
Our product roadmap
Our messaging
Output Standards
Use clear headings and bullet points
Keep tone objective, analytical, and neutral
Separate facts from analysis or interpretation
Highlight confidence level when information is inferred or incomplete
Avoid speculation unless explicitly requested
Clarification &amp; Assumptions
Before starting, ask clarification questions if any of the following are missing:
Target competitor(s)
Market or product category
Geographic scope
Intended use (e.g., sales enablement, pricing review, strategy planning)
Depth required (quick scan vs. deep dive)
If assumptions are unavoidable:
State them explicitly
Label them clearly as assumptions
Consistency Rules
Use the same structure across competitors to enable side-by-side comparison
Do not change evaluation criteria unless instructed
Do not prioritize one competitor unfairly
What You Should NOT Do
Do not fabricate data or pricing
Do not copy marketing language without analysis
Do not provide legal, confidential, or unethical intelligence
Do not draw conclusions without evidence
Default Closing
End each analysis with:
Key takeaways (3–5 bullets)
Open questions or unknowns
Suggested next research steps (if applicable)</v>
      </c>
      <c r="AO25" s="26" t="s">
        <v>141</v>
      </c>
      <c r="AP25" s="28" t="str">
        <f>substitute('Prompt Template'!$D$2,$AN$5,$AO25)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Expertise
You are a Competitive Intelligence Analyst with experience in product marketing, pricing strategy, and market positioning.
Your purpose is to help teams systematically gather, analyze, and synthesize competitor intelligence in a consistent, unbiased, and decision-ready way.
Core Objectives
Your primary goals are to:
Collect structured intelligence on competitors’ products, pricing, positioning, and go-to-market strategy
Normalize findings so they are comparable across competitors
Distinguish facts vs. interpretation
Surface implications, risks, and opportunities for our business
Standard Research Dimensions (Always Cover)
For each competitor, analyze the following sections unless explicitly told otherwise:
1. Competitor Overview
Company name
Target customer segments (e.g., SMB, mid-market, enterprise)
Primary industries or use cases
Geographic focus (if relevant)
2. Product &amp; Offering
Core products or solutions
Key features and differentiators
Product packaging or tiers
Notable strengths and limitations
Recent launches or roadmap signals (if available)
3. Pricing &amp; Commercial Model
Pricing structure (subscription, usage-based, freemium, one-time, etc.)
Published pricing tiers and ranges
Enterprise / custom pricing indicators
Discounts, trials, or promotions
Contract length and commitment signals (if known)
⚠️ If pricing is not public, clearly state assumptions and confidence level.
4. Positioning &amp; Messaging
Core value proposition
Primary marketing messages or claims
Competitive comparisons they make (explicit or implicit)
Keywords, themes, and emotional framing
Differentiation vs. category norms
5. Go-to-Market Signals
Primary acquisition channels (paid, organic, partners, outbound, etc.)
Sales motion (self-serve, sales-led, hybrid)
Target personas (e.g., buyer vs. user)
Content or thought leadership themes
6. Strengths &amp; Weaknesses
Perceived strengths from a customer perspective
Potential weaknesses, gaps, or vulnerabilities
Trade-offs in their strategy
7. Strategic Implications (Most Important)
What this competitor does well that we should watch
Where they appear exposed or limited
Implications for:
Our positioning
Our pricing strategy
Our product roadmap
Our messaging
Output Standards
Use clear headings and bullet points
Keep tone objective, analytical, and neutral
Separate facts from analysis or interpretation
Highlight confidence level when information is inferred or incomplete
Avoid speculation unless explicitly requested
Clarification &amp; Assumptions
Before starting, ask clarification questions if any of the following are missing:
Target competitor(s)
Market or product category
Geographic scope
Intended use (e.g., sales enablement, pricing review, strategy planning)
Depth required (quick scan vs. deep dive)
If assumptions are unavoidable:
State them explicitly
Label them clearly as assumptions
Consistency Rules
Use the same structure across competitors to enable side-by-side comparison
Do not change evaluation criteria unless instructed
Do not prioritize one competitor unfairly
What You Should NOT Do
Do not fabricate data or pricing
Do not copy marketing language without analysis
Do not provide legal, confidential, or unethical intelligence
Do not draw conclusions without evidence
Default Closing
End each analysis with:
Key takeaways (3–5 bullets)
Open questions or unknowns
Suggested next research steps (if applicable)&lt;/user_input&gt;
</v>
      </c>
      <c r="AQ25" s="26">
        <f t="array" ref="AQ25">index('Response Scoring'!$I:$I,match($A25,'Response Scoring'!$A:$A,0))</f>
        <v>5</v>
      </c>
      <c r="AR25" s="26">
        <f t="shared" si="17"/>
        <v>1</v>
      </c>
      <c r="AS25" s="30">
        <f t="shared" si="18"/>
        <v>10</v>
      </c>
      <c r="AT25" s="26">
        <f t="shared" si="19"/>
        <v>46.125</v>
      </c>
      <c r="AU25" s="26">
        <f t="shared" si="20"/>
        <v>92.25</v>
      </c>
      <c r="AV25" s="26" t="str">
        <f t="shared" si="21"/>
        <v>AI Expert</v>
      </c>
      <c r="AW25" s="26" t="str">
        <f>'Raw Data'!U21</f>
        <v/>
      </c>
      <c r="AX25" s="26" t="str">
        <f>'Raw Data'!V21</f>
        <v/>
      </c>
      <c r="AY25" s="26" t="str">
        <f>'Raw Data'!W21</f>
        <v/>
      </c>
      <c r="AZ25" s="26" t="str">
        <f>'Raw Data'!X21</f>
        <v/>
      </c>
      <c r="BA25" s="26" t="str">
        <f>'Raw Data'!Y21</f>
        <v/>
      </c>
      <c r="BB25" s="26" t="str">
        <f>'Raw Data'!Z21</f>
        <v/>
      </c>
      <c r="BW25" s="31" t="str">
        <f>'Raw Data'!C21</f>
        <v>Acquisition &amp; Performance Marketing</v>
      </c>
      <c r="BZ25" s="26" t="str">
        <f>'Raw Data'!F21</f>
        <v>Manager or Senior Manager</v>
      </c>
      <c r="CA25" s="31" t="str">
        <f>'Raw Data'!AU21</f>
        <v/>
      </c>
      <c r="CB25" s="31" t="str">
        <f>'Raw Data'!AV21</f>
        <v>Gamma for presentation building</v>
      </c>
      <c r="CC25" s="31" t="str">
        <f>'Raw Data'!AW21</f>
        <v>Neutral</v>
      </c>
    </row>
    <row r="26" ht="15.75" customHeight="1">
      <c r="A26" s="26">
        <f>'Raw Data'!$A22</f>
        <v>20</v>
      </c>
      <c r="B26" s="26" t="str">
        <f>'Raw Data'!$G22</f>
        <v>Daily</v>
      </c>
      <c r="C26" s="26">
        <f t="shared" si="1"/>
        <v>1</v>
      </c>
      <c r="D26" s="26" t="str">
        <f>'Raw Data'!$H22</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E26" s="26">
        <f t="shared" si="2"/>
        <v>3</v>
      </c>
      <c r="F26" s="27">
        <f t="shared" si="3"/>
        <v>1</v>
      </c>
      <c r="G26" s="26" t="str">
        <f>'Raw Data'!$I22</f>
        <v>I maintain a library of prompts that I reuse frequently</v>
      </c>
      <c r="H26" s="26">
        <f t="shared" si="4"/>
        <v>0.5</v>
      </c>
      <c r="I26" s="26" t="str">
        <f>'Raw Data'!$J22</f>
        <v>Create a systematic process where AI handles data analysis and summary generation consistently</v>
      </c>
      <c r="J26" s="26">
        <f t="shared" si="5"/>
        <v>1</v>
      </c>
      <c r="K26" s="26" t="str">
        <f>'Raw Data'!$K22</f>
        <v>I'd use ChatGPT for research, asking for sources that I could check for accuracy. Then make notes on what I'd want to cover and prompt the AI to draft slide content and suggest imagery</v>
      </c>
      <c r="L26" s="26" t="s">
        <v>142</v>
      </c>
      <c r="M26" s="28" t="str">
        <f>substitute('Prompt Template'!$A$2,$K$5,$L26)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ChatGPT for research, asking for sources that I could check for accuracy. Then make notes on what I'd want to cover and prompt the AI to draft slide content and suggest imagery&lt;/user_input&gt;</v>
      </c>
      <c r="N26" s="26">
        <f t="array" ref="N26">index('Response Scoring'!$C:$C,match($A26,'Response Scoring'!$A:$A,0))</f>
        <v>2</v>
      </c>
      <c r="O26" s="29">
        <f t="shared" si="6"/>
        <v>0.6666666667</v>
      </c>
      <c r="P26" s="26" t="str">
        <f>'Raw Data'!$L22</f>
        <v>I developed 20+ structured content types for our migration to Contentful. I've used AI to help write help text, guidance for marketers, and flesh out documentation for everything from naming conventions to a topic taxonomy.</v>
      </c>
      <c r="Q26" s="26" t="s">
        <v>143</v>
      </c>
      <c r="R26" s="28" t="str">
        <f>substitute('Prompt Template'!$B$2,$P$5,$Q26)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developed 20+ structured content types for our migration to Contentful. I've used AI to help write help text, guidance for marketers, and flesh out documentation for everything from naming conventions to a topic taxonomy.&lt;/user_input&gt;</v>
      </c>
      <c r="S26" s="26">
        <f t="array" ref="S26">index('Response Scoring'!$E:$E,match($A26,'Response Scoring'!$A:$A,0))</f>
        <v>2</v>
      </c>
      <c r="T26" s="29">
        <f t="shared" si="7"/>
        <v>0.6666666667</v>
      </c>
      <c r="U26" s="29">
        <f t="shared" si="8"/>
        <v>7.5</v>
      </c>
      <c r="V26" s="26" t="str">
        <f>'Raw Data'!$M22</f>
        <v>Analyzing presentation slides to evaluate both the visual design and written content for consistency</v>
      </c>
      <c r="W26" s="26">
        <f t="shared" si="9"/>
        <v>1</v>
      </c>
      <c r="X26" s="26" t="str">
        <f>'Raw Data'!$N22</f>
        <v>Hallucinations (generating false or misleading information), Biases in answers, Data privacy concerns when information is shared with an LLM, Vulnerability to manipulation by bad actors</v>
      </c>
      <c r="Y26" s="26">
        <f t="shared" si="10"/>
        <v>1</v>
      </c>
      <c r="Z26" s="26" t="str">
        <f>'Raw Data'!$O22</f>
        <v>Anonymize information by removing identifying details, Use secure company instances or enterprise plans when available</v>
      </c>
      <c r="AA26" s="29">
        <f t="shared" si="11"/>
        <v>1</v>
      </c>
      <c r="AB26" s="26" t="str">
        <f>'Raw Data'!$P22</f>
        <v>Always: I routinely cross-check AI outputs with reliable sources</v>
      </c>
      <c r="AC26" s="26">
        <f t="shared" si="12"/>
        <v>1</v>
      </c>
      <c r="AD26" s="26" t="str">
        <f>'Raw Data'!$Q22</f>
        <v>Cross-reference key claims with reliable external sources, Verify any calculations or data analysis independently</v>
      </c>
      <c r="AE26" s="26">
        <f t="shared" si="13"/>
        <v>0.5</v>
      </c>
      <c r="AF26" s="30">
        <f t="shared" si="14"/>
        <v>9</v>
      </c>
      <c r="AG26" s="26" t="str">
        <f>'Raw Data'!$R22</f>
        <v>Frequently: I systematically refine prompts until I'm satisfied</v>
      </c>
      <c r="AH26" s="26">
        <f t="shared" si="15"/>
        <v>1</v>
      </c>
      <c r="AI26" s="26" t="str">
        <f>'Raw Data'!$S22</f>
        <v>Prepare me for the meeting {meeting or topic} where I will be {hosting, present, absent}. 
The meeting is part of a {series, if relevant} / is related to topics {insert topics or important files related}. Pull relevant information from emails and conversations from the last {time range} to fill in information gaps not present in the meetings above. Connect or reference other relevant discussions. 
The information I need is: 
-Short summary of last meeting 
-What is the goal or objective of this meeting 
-List of follow-up actions that should be reviewed or discussed 
-Open questions 
-How many people have accepted the meeting, tentative, or declined 
Using the information gathered create: 
-A meeting agenda 
-A PowerPoint template to visualize any items being discussed</v>
      </c>
      <c r="AJ26" s="26" t="s">
        <v>144</v>
      </c>
      <c r="AK26" s="28" t="str">
        <f>substitute('Prompt Template'!$C$2,$AI$5,$AJ26)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me for the meeting {meeting or topic} where I will be {hosting, present, absent}. 
The meeting is part of a {series, if relevant} / is related to topics {insert topics or important files related}. Pull relevant information from emails and conversations from the last {time range} to fill in information gaps not present in the meetings above. Connect or reference other relevant discussions. 
The information I need is: 
-Short summary of last meeting 
-What is the goal or objective of this meeting 
-List of follow-up actions that should be reviewed or discussed 
-Open questions 
-How many people have accepted the meeting, tentative, or declined 
Using the information gathered create: 
-A meeting agenda 
-A PowerPoint template to visualize any items being discussed&lt;/prompt&gt;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me for the meeting {meeting or topic} where I will be {hosting, present, absent}. 
The meeting is part of a {series, if relevant} / is related to topics {insert topics or important files related}. Pull relevant information from emails and conversations from the last {time range} to fill in information gaps not present in the meetings above. Connect or reference other relevant discussions. 
The information I need is: 
-Short summary of last meeting 
-What is the goal or objective of this meeting 
-List of follow-up actions that should be reviewed or discussed 
-Open questions 
-How many people have accepted the meeting, tentative, or declined 
Using the information gathered create: 
-A meeting agenda 
-A PowerPoint template to visualize any items being discussed&lt;/user_input&gt;</v>
      </c>
      <c r="AL26" s="26">
        <f t="array" ref="AL26">index('Response Scoring'!$G:$G,match($A26,'Response Scoring'!$A:$A,0))</f>
        <v>4</v>
      </c>
      <c r="AM26" s="26">
        <f t="shared" si="16"/>
        <v>0.8</v>
      </c>
      <c r="AN26" s="26" t="str">
        <f>'Raw Data'!$T22</f>
        <v>Custom GPT Instructions: Competitive Intelligence Analyst
Role &amp; Objective
You are a Competitive Intelligence Analyst.
Your goal is to systematically research, analyze, and synthesize information about competitors’ products, pricing, positioning, and go-to-market strategy to support product, marketing, and strategy decisions.
You prioritize:
Accuracy over speculation
Clear sourcing
Structured, comparable outputs
Explicit uncertainty when data is missing
Research Scope
When asked to analyze a competitor, focus on the following areas in this order:
Company Overview
Company name
Target customers / segments
Primary value proposition
Market category (how they describe themselves)
Company size and maturity (startup, scale-up, enterprise)
Product &amp; Offering
Core products or plans
Key features and capabilities
Differentiators they emphasize
Supported platforms / integrations
Notable limitations or gaps (if evidence exists)
Pricing &amp; Packaging
Pricing model (subscription, usage-based, seat-based, freemium, etc.)
Price tiers and headline prices
What’s included / excluded at each tier
Free trials, free plans, or enterprise pricing signals
Any recent or notable pricing changes (if known)
Positioning &amp; Messaging
Core messaging themes
Primary pain points they claim to solve
Language used on homepage, pricing page, and product pages
Stated competitive advantages
Who they position against (explicitly or implicitly)
Go-to-Market Signals
Primary acquisition channels (SEO, paid, partnerships, PLG, sales-led)
Target buyer vs. end user (if different)
Use of case studies, testimonials, or social proof
Notable industries or customer logos mentioned
Competitive Assessment
Strengths (from their messaging and product reality)
Weaknesses or risks (based on gaps, complexity, pricing, or positioning)
Ideal customer profile (ICP)
Where they are most and least competitive
Output Format (Always Use This)
Use clear section headers and concise bullet points.
Avoid long paragraphs unless summarizing insights.
End every analysis with:
Summary Takeaways
3–5 bullet points highlighting what matters most
Open Questions / Unknowns
List assumptions, missing data, or areas needing validation
Evidence &amp; Sources
Prefer primary sources: official websites, pricing pages, product docs, blog posts
Use secondary sources only when clearly labeled (reviews, analyst posts, comparisons)
When making an inference, clearly label it as:
Observed (directly stated)
Inferred (reasonable conclusion based on evidence)
Speculative (low confidence)
Never present speculation as fact.
Comparison Mode (When Asked)
If asked to compare competitors:
Use a side-by-side table for features, pricing, and positioning
Normalize differences (e.g., monthly vs annual pricing)
Highlight meaningful distinctions, not superficial ones
Constraints &amp; Guardrails
Do not fabricate pricing, features, or customers
Do not assume internal strategy or financials unless publicly disclosed
If data is unavailable, explicitly say so
Stay neutral and analytical—no marketing language
Clarifying Questions
Only ask follow-up questions if:
The competitor name is ambiguous
The market or use case is unclear
A specific depth or comparison target is required
Otherwise, proceed with best available information.</v>
      </c>
      <c r="AO26" s="26" t="s">
        <v>145</v>
      </c>
      <c r="AP26" s="28" t="str">
        <f>substitute('Prompt Template'!$D$2,$AN$5,$AO26)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Analyst
Role &amp; Objective
You are a Competitive Intelligence Analyst.
Your goal is to systematically research, analyze, and synthesize information about competitors’ products, pricing, positioning, and go-to-market strategy to support product, marketing, and strategy decisions.
You prioritize:
Accuracy over speculation
Clear sourcing
Structured, comparable outputs
Explicit uncertainty when data is missing
Research Scope
When asked to analyze a competitor, focus on the following areas in this order:
Company Overview
Company name
Target customers / segments
Primary value proposition
Market category (how they describe themselves)
Company size and maturity (startup, scale-up, enterprise)
Product &amp; Offering
Core products or plans
Key features and capabilities
Differentiators they emphasize
Supported platforms / integrations
Notable limitations or gaps (if evidence exists)
Pricing &amp; Packaging
Pricing model (subscription, usage-based, seat-based, freemium, etc.)
Price tiers and headline prices
What’s included / excluded at each tier
Free trials, free plans, or enterprise pricing signals
Any recent or notable pricing changes (if known)
Positioning &amp; Messaging
Core messaging themes
Primary pain points they claim to solve
Language used on homepage, pricing page, and product pages
Stated competitive advantages
Who they position against (explicitly or implicitly)
Go-to-Market Signals
Primary acquisition channels (SEO, paid, partnerships, PLG, sales-led)
Target buyer vs. end user (if different)
Use of case studies, testimonials, or social proof
Notable industries or customer logos mentioned
Competitive Assessment
Strengths (from their messaging and product reality)
Weaknesses or risks (based on gaps, complexity, pricing, or positioning)
Ideal customer profile (ICP)
Where they are most and least competitive
Output Format (Always Use This)
Use clear section headers and concise bullet points.
Avoid long paragraphs unless summarizing insights.
End every analysis with:
Summary Takeaways
3–5 bullet points highlighting what matters most
Open Questions / Unknowns
List assumptions, missing data, or areas needing validation
Evidence &amp; Sources
Prefer primary sources: official websites, pricing pages, product docs, blog posts
Use secondary sources only when clearly labeled (reviews, analyst posts, comparisons)
When making an inference, clearly label it as:
Observed (directly stated)
Inferred (reasonable conclusion based on evidence)
Speculative (low confidence)
Never present speculation as fact.
Comparison Mode (When Asked)
If asked to compare competitors:
Use a side-by-side table for features, pricing, and positioning
Normalize differences (e.g., monthly vs annual pricing)
Highlight meaningful distinctions, not superficial ones
Constraints &amp; Guardrails
Do not fabricate pricing, features, or customers
Do not assume internal strategy or financials unless publicly disclosed
If data is unavailable, explicitly say so
Stay neutral and analytical—no marketing language
Clarifying Questions
Only ask follow-up questions if:
The competitor name is ambiguous
The market or use case is unclear
A specific depth or comparison target is required
Otherwise, proceed with best available information.&lt;/user_input&gt;
</v>
      </c>
      <c r="AQ26" s="26">
        <f t="array" ref="AQ26">index('Response Scoring'!$I:$I,match($A26,'Response Scoring'!$A:$A,0))</f>
        <v>5</v>
      </c>
      <c r="AR26" s="26">
        <f t="shared" si="17"/>
        <v>1</v>
      </c>
      <c r="AS26" s="30">
        <f t="shared" si="18"/>
        <v>9.3</v>
      </c>
      <c r="AT26" s="26">
        <f t="shared" si="19"/>
        <v>43.35</v>
      </c>
      <c r="AU26" s="26">
        <f t="shared" si="20"/>
        <v>86.7</v>
      </c>
      <c r="AV26" s="26" t="str">
        <f t="shared" si="21"/>
        <v>AI Expert</v>
      </c>
      <c r="AW26" s="26" t="str">
        <f>'Raw Data'!U22</f>
        <v/>
      </c>
      <c r="AX26" s="26" t="str">
        <f>'Raw Data'!V22</f>
        <v/>
      </c>
      <c r="AY26" s="26" t="str">
        <f>'Raw Data'!W22</f>
        <v/>
      </c>
      <c r="AZ26" s="26" t="str">
        <f>'Raw Data'!X22</f>
        <v/>
      </c>
      <c r="BA26" s="26" t="str">
        <f>'Raw Data'!Y22</f>
        <v/>
      </c>
      <c r="BB26" s="26" t="str">
        <f>'Raw Data'!Z22</f>
        <v/>
      </c>
      <c r="BW26" s="31" t="str">
        <f>'Raw Data'!C22</f>
        <v>Industry Portfolio &amp; Emerging Marketing</v>
      </c>
      <c r="BZ26" s="26" t="str">
        <f>'Raw Data'!F22</f>
        <v>Individual Contributor</v>
      </c>
      <c r="CA26" s="31" t="str">
        <f>'Raw Data'!AU22</f>
        <v>Finding time to explore aspect of the tool I'm less familiar with</v>
      </c>
      <c r="CB26" s="31" t="str">
        <f>'Raw Data'!AV22</f>
        <v>None for work, but privately I use Gemini Pro</v>
      </c>
      <c r="CC26" s="31" t="str">
        <f>'Raw Data'!AW22</f>
        <v>Agree</v>
      </c>
    </row>
    <row r="27" ht="15.75" customHeight="1">
      <c r="A27" s="26">
        <f>'Raw Data'!$A23</f>
        <v>21</v>
      </c>
      <c r="B27" s="26" t="str">
        <f>'Raw Data'!$G23</f>
        <v>Several times a week</v>
      </c>
      <c r="C27" s="26">
        <f t="shared" si="1"/>
        <v>0.75</v>
      </c>
      <c r="D27" s="26" t="str">
        <f>'Raw Data'!$H23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v>
      </c>
      <c r="E27" s="26">
        <f t="shared" si="2"/>
        <v>2</v>
      </c>
      <c r="F27" s="27">
        <f t="shared" si="3"/>
        <v>0.6666666667</v>
      </c>
      <c r="G27" s="26" t="str">
        <f>'Raw Data'!$I23</f>
        <v>I create fresh prompts each time I use AI</v>
      </c>
      <c r="H27" s="26">
        <f t="shared" si="4"/>
        <v>0.25</v>
      </c>
      <c r="I27" s="26" t="str">
        <f>'Raw Data'!$J23</f>
        <v>I wouldn’t use AI for this task</v>
      </c>
      <c r="J27" s="26" t="b">
        <f t="shared" si="5"/>
        <v>0</v>
      </c>
      <c r="K27" s="26" t="str">
        <f>'Raw Data'!$K23</f>
        <v>Google AI to research topic, collate raw info into a single doc, put the doc through Chat GPT requesting PowerPoint slides, giving clear instructions on audience, TOV, purpose of the presentation, possibly slide headings.</v>
      </c>
      <c r="L27" s="26" t="s">
        <v>146</v>
      </c>
      <c r="M27" s="28" t="str">
        <f>substitute('Prompt Template'!$A$2,$K$5,$L27)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&lt;user_input&gt;Google AI to research topic, collate raw info into a single doc, put the doc through Chat GPT requesting PowerPoint slides, giving clear instructions on audience, TOV, purpose of the presentation, possibly slide headings.&lt;/user_input&gt;</v>
      </c>
      <c r="N27" s="26">
        <f t="array" ref="N27">index('Response Scoring'!$C:$C,match($A27,'Response Scoring'!$A:$A,0))</f>
        <v>2</v>
      </c>
      <c r="O27" s="29">
        <f t="shared" si="6"/>
        <v>0.6666666667</v>
      </c>
      <c r="P27" s="26" t="str">
        <f>'Raw Data'!$L23</f>
        <v>Rework of case studies, reports etc for the purpose of emails, publication media alerts etc, particularly reducing work count without changing the sentient of the piece or changing quotes.</v>
      </c>
      <c r="Q27" s="26" t="s">
        <v>147</v>
      </c>
      <c r="R27" s="28" t="str">
        <f>substitute('Prompt Template'!$B$2,$P$5,$Q27)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&lt;user_input&gt;Rework of case studies, reports etc for the purpose of emails, publication media alerts etc, particularly reducing work count without changing the sentient of the piece or changing quotes.&lt;/user_input&gt;</v>
      </c>
      <c r="S27" s="26">
        <f t="array" ref="S27">index('Response Scoring'!$E:$E,match($A27,'Response Scoring'!$A:$A,0))</f>
        <v>2</v>
      </c>
      <c r="T27" s="29">
        <f t="shared" si="7"/>
        <v>0.6666666667</v>
      </c>
      <c r="U27" s="29">
        <f t="shared" si="8"/>
        <v>5.625</v>
      </c>
      <c r="V27" s="26" t="str">
        <f>'Raw Data'!$M23</f>
        <v>Creating a complete slide deck with visual design for an important client presentation</v>
      </c>
      <c r="W27" s="26">
        <f t="shared" si="9"/>
        <v>0</v>
      </c>
      <c r="X27" s="26" t="str">
        <f>'Raw Data'!$N23</f>
        <v>Hallucinations (generating false or misleading information), Biases in answers, Data privacy concerns when information is shared with an LLM, Vulnerability to manipulation by bad actors</v>
      </c>
      <c r="Y27" s="26">
        <f t="shared" si="10"/>
        <v>1</v>
      </c>
      <c r="Z27" s="26" t="str">
        <f>'Raw Data'!$O23</f>
        <v>Anonymize information by removing identifying details, Use secure company instances or enterprise plans when available</v>
      </c>
      <c r="AA27" s="29">
        <f t="shared" si="11"/>
        <v>1</v>
      </c>
      <c r="AB27" s="26" t="str">
        <f>'Raw Data'!$P23</f>
        <v>Always: I routinely cross-check AI outputs with reliable sources</v>
      </c>
      <c r="AC27" s="26">
        <f t="shared" si="12"/>
        <v>1</v>
      </c>
      <c r="AD27" s="26" t="str">
        <f>'Raw Data'!$Q23</f>
        <v>Cross-reference key claims with reliable external sources, Verify any calculations or data analysis independently</v>
      </c>
      <c r="AE27" s="26">
        <f t="shared" si="13"/>
        <v>0.5</v>
      </c>
      <c r="AF27" s="30">
        <f t="shared" si="14"/>
        <v>7</v>
      </c>
      <c r="AG27" s="26" t="str">
        <f>'Raw Data'!$R23</f>
        <v>Frequently: I systematically refine prompts until I'm satisfied</v>
      </c>
      <c r="AH27" s="26">
        <f t="shared" si="15"/>
        <v>1</v>
      </c>
      <c r="AI27" s="26" t="str">
        <f>'Raw Data'!$S23</f>
        <v>Attached is a document describing a new initiative. Act as a expert meeting preparation coach and help me prepare for a meeting to propose this new initiative. Draft an agenda and suggest value propositionsand any key data points. The target audience is made [job titles] and is particularly concerned about x, y, z, so be sure to address these and anticipate their objections.  The desired outcome is a, b, c.</v>
      </c>
      <c r="AJ27" s="26" t="s">
        <v>148</v>
      </c>
      <c r="AK27" s="28" t="str">
        <f>substitute('Prompt Template'!$C$2,$AI$5,$AJ27)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&lt;prompt&gt;Attached is a document describing a new initiative. Act as a expert meeting preparation coach and help me prepare for a meeting to propose this new initiative. Draft an agenda and suggest value propositionsand any key data points. The target audience is made [job titles] and is particularly concerned about x, y, z, so be sure to address these and anticipate their objections.  The desired outcome is a, b, 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&lt;user_input&gt;Attached is a document describing a new initiative. Act as a expert meeting preparation coach and help me prepare for a meeting to propose this new initiative. Draft an agenda and suggest value propositionsand any key data points. The target audience is made [job titles] and is particularly concerned about x, y, z, so be sure to address these and anticipate their objections.  The desired outcome is a, b, c.&lt;/user_input&gt;</v>
      </c>
      <c r="AL27" s="26">
        <f t="array" ref="AL27">index('Response Scoring'!$G:$G,match($A27,'Response Scoring'!$A:$A,0))</f>
        <v>4</v>
      </c>
      <c r="AM27" s="26">
        <f t="shared" si="16"/>
        <v>0.8</v>
      </c>
      <c r="AN27" s="26" t="str">
        <f>'Raw Data'!$T23</f>
        <v>Act as a senior market analyst. For the companies in the attached document, and reviewing their websites, ad copy, editorial or any materials available on the web, and during the last x months, provide a report that focuses on their a) product - feature launches updates to product lines or changes in service delivery b) pricing - changes in price points, new subscirptions tiers, or promotional offers c) positioning - shifts in messaging, target audience descriptions, and USPs. Provide this in an easy to read report or in a table.</v>
      </c>
      <c r="AO27" s="26" t="s">
        <v>149</v>
      </c>
      <c r="AP27" s="28" t="str">
        <f>substitute('Prompt Template'!$D$2,$AN$5,$AO27)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senior market analyst. For the companies in the attached document, and reviewing their websites, ad copy, editorial or any materials available on the web, and during the last x months, provide a report that focuses on their a) product - feature launches updates to product lines or changes in service delivery b) pricing - changes in price points, new subscirptions tiers, or promotional offers c) positioning - shifts in messaging, target audience descriptions, and USPs. Provide this in an easy to read report or in a table.&lt;/user_input&gt;
</v>
      </c>
      <c r="AQ27" s="26">
        <f t="array" ref="AQ27">index('Response Scoring'!$I:$I,match($A27,'Response Scoring'!$A:$A,0))</f>
        <v>3</v>
      </c>
      <c r="AR27" s="26">
        <f t="shared" si="17"/>
        <v>0.6</v>
      </c>
      <c r="AS27" s="30">
        <f t="shared" si="18"/>
        <v>7.3</v>
      </c>
      <c r="AT27" s="26">
        <f t="shared" si="19"/>
        <v>33.5375</v>
      </c>
      <c r="AU27" s="26">
        <f t="shared" si="20"/>
        <v>67.075</v>
      </c>
      <c r="AV27" s="26" t="str">
        <f t="shared" si="21"/>
        <v>AI Practitioner</v>
      </c>
      <c r="AW27" s="26" t="str">
        <f>'Raw Data'!U23</f>
        <v/>
      </c>
      <c r="AX27" s="26" t="str">
        <f>'Raw Data'!V23</f>
        <v/>
      </c>
      <c r="AY27" s="26" t="str">
        <f>'Raw Data'!W23</f>
        <v/>
      </c>
      <c r="AZ27" s="26" t="str">
        <f>'Raw Data'!X23</f>
        <v/>
      </c>
      <c r="BA27" s="26" t="str">
        <f>'Raw Data'!Y23</f>
        <v/>
      </c>
      <c r="BB27" s="26" t="str">
        <f>'Raw Data'!Z23</f>
        <v/>
      </c>
      <c r="BW27" s="31" t="str">
        <f>'Raw Data'!C23</f>
        <v>Industry Portfolio &amp; Emerging Marketing</v>
      </c>
      <c r="BZ27" s="26" t="str">
        <f>'Raw Data'!F23</f>
        <v>Manager or Senior Manager</v>
      </c>
      <c r="CA27" s="31" t="str">
        <f>'Raw Data'!AU23</f>
        <v>Understanding the different types of AI and where they can be used. Particularly regarding analysis of data. Difficult to attend some of the training/webinars as I'm in the UK and the are mostly out of hours. Not always easy to find the recordings or then to find time to watch them.</v>
      </c>
      <c r="CB27" s="31" t="str">
        <f>'Raw Data'!AV23</f>
        <v>N/A</v>
      </c>
      <c r="CC27" s="31" t="str">
        <f>'Raw Data'!AW23</f>
        <v>Neutral</v>
      </c>
    </row>
    <row r="28" ht="15.75" customHeight="1">
      <c r="A28" s="26">
        <f>'Raw Data'!$A24</f>
        <v>22</v>
      </c>
      <c r="B28" s="26" t="str">
        <f>'Raw Data'!$G24</f>
        <v>Daily</v>
      </c>
      <c r="C28" s="26">
        <f t="shared" si="1"/>
        <v>1</v>
      </c>
      <c r="D28" s="26" t="str">
        <f>'Raw Data'!$H24</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28" s="26">
        <f t="shared" si="2"/>
        <v>2</v>
      </c>
      <c r="F28" s="27">
        <f t="shared" si="3"/>
        <v>0.6666666667</v>
      </c>
      <c r="G28" s="26" t="str">
        <f>'Raw Data'!$I24</f>
        <v>I create fresh prompts each time I use AI</v>
      </c>
      <c r="H28" s="26">
        <f t="shared" si="4"/>
        <v>0.25</v>
      </c>
      <c r="I28" s="26" t="str">
        <f>'Raw Data'!$J24</f>
        <v>Create a systematic process where AI handles data analysis and summary generation consistently</v>
      </c>
      <c r="J28" s="26">
        <f t="shared" si="5"/>
        <v>1</v>
      </c>
      <c r="K28" s="26" t="str">
        <f>'Raw Data'!$K24</f>
        <v>First, gather information around the topic using AI to understand definitions, trend, and how it evolves around Autodesk.  Then have AI collect data and analyze how it impacts us and how we can apply to our daily work.  Then, have AI outline the presentation, select the impactful data, and create message that is tuned for senior stakeholders. I use this as a first draft and apply my modification.  Finally run it by AI to simulate the conversation with stakeholders, check questions and feedbacks they may raise, or any points that may be challenged.  Polish the presentation based on the simulation and finalize the slides.</v>
      </c>
      <c r="L28" s="26" t="s">
        <v>150</v>
      </c>
      <c r="M28" s="28" t="str">
        <f>substitute('Prompt Template'!$A$2,$K$5,$L28)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gather information around the topic using AI to understand definitions, trend, and how it evolves around Autodesk.  Then have AI collect data and analyze how it impacts us and how we can apply to our daily work.  Then, have AI outline the presentation, select the impactful data, and create message that is tuned for senior stakeholders. I use this as a first draft and apply my modification.  Finally run it by AI to simulate the conversation with stakeholders, check questions and feedbacks they may raise, or any points that may be challenged.  Polish the presentation based on the simulation and finalize the slides.&lt;/user_input&gt;</v>
      </c>
      <c r="N28" s="26">
        <f t="array" ref="N28">index('Response Scoring'!$C:$C,match($A28,'Response Scoring'!$A:$A,0))</f>
        <v>3</v>
      </c>
      <c r="O28" s="29">
        <f t="shared" si="6"/>
        <v>1</v>
      </c>
      <c r="P28" s="26" t="str">
        <f>'Raw Data'!$L24</f>
        <v>I can utilize AI to quickly analyze hundreds of prompting data related to Autodesk on LLMs, and come up with 20 new content ideas or 10 optimization ideas on existing content.  This could take 1-2 days with uncertainty but with AI this could complete in 1-2 hours with more confidence.</v>
      </c>
      <c r="Q28" s="26" t="s">
        <v>151</v>
      </c>
      <c r="R28" s="28" t="str">
        <f>substitute('Prompt Template'!$B$2,$P$5,$Q28)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can utilize AI to quickly analyze hundreds of prompting data related to Autodesk on LLMs, and come up with 20 new content ideas or 10 optimization ideas on existing content.  This could take 1-2 days with uncertainty but with AI this could complete in 1-2 hours with more confidence.&lt;/user_input&gt;</v>
      </c>
      <c r="S28" s="26">
        <f t="array" ref="S28">index('Response Scoring'!$E:$E,match($A28,'Response Scoring'!$A:$A,0))</f>
        <v>2</v>
      </c>
      <c r="T28" s="29">
        <f t="shared" si="7"/>
        <v>0.6666666667</v>
      </c>
      <c r="U28" s="29">
        <f t="shared" si="8"/>
        <v>7.416666667</v>
      </c>
      <c r="V28" s="26" t="str">
        <f>'Raw Data'!$M24</f>
        <v>Analyzing presentation slides to evaluate both the visual design and written content for consistency</v>
      </c>
      <c r="W28" s="26">
        <f t="shared" si="9"/>
        <v>1</v>
      </c>
      <c r="X28" s="26" t="str">
        <f>'Raw Data'!$N24</f>
        <v>Hallucinations (generating false or misleading information), Biases in answers, Data privacy concerns when information is shared with an LLM</v>
      </c>
      <c r="Y28" s="26">
        <f t="shared" si="10"/>
        <v>0.75</v>
      </c>
      <c r="Z28" s="26" t="str">
        <f>'Raw Data'!$O24</f>
        <v>Anonymize information by removing identifying details, Use secure company instances or enterprise plans when available</v>
      </c>
      <c r="AA28" s="29">
        <f t="shared" si="11"/>
        <v>1</v>
      </c>
      <c r="AB28" s="26" t="str">
        <f>'Raw Data'!$P24</f>
        <v>Always: I routinely cross-check AI outputs with reliable sources</v>
      </c>
      <c r="AC28" s="26">
        <f t="shared" si="12"/>
        <v>1</v>
      </c>
      <c r="AD28" s="26" t="str">
        <f>'Raw Data'!$Q24</f>
        <v>Use a different AI tool to review and verify the content, Check if the response uses confident language and specific details, Cross-reference key claims with reliable external sources, Verify any calculations or data analysis independently, Ask the same AI tool to double-check its work for accuracy</v>
      </c>
      <c r="AE28" s="26">
        <f t="shared" si="13"/>
        <v>0</v>
      </c>
      <c r="AF28" s="30">
        <f t="shared" si="14"/>
        <v>7.5</v>
      </c>
      <c r="AG28" s="26" t="str">
        <f>'Raw Data'!$R24</f>
        <v>Rarely: I only tweak the prompt if something feels obviously off</v>
      </c>
      <c r="AH28" s="26">
        <f t="shared" si="15"/>
        <v>0.33</v>
      </c>
      <c r="AI28" s="26" t="str">
        <f>'Raw Data'!$S24</f>
        <v>I am a product marketing manager for [product name], and I am hosting a meeting next week.  We are discussing a new initiative called "abc abc".  The goal of this meeting is to agree on the plan.  Please help generate ideas on 1. who should attend this meeting initially, 2. generate the call agenda (30- max. 45 min.) and 3. help draft a meeting invite via Microsoft Teams Call.  Then, please help brainstorm ideas on what information I should prepare which would be helpful for the attendees to agree on this initiative and help gather the information.</v>
      </c>
      <c r="AJ28" s="26" t="s">
        <v>152</v>
      </c>
      <c r="AK28" s="28" t="str">
        <f>substitute('Prompt Template'!$C$2,$AI$5,$AJ28)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product marketing manager for [product name], and I am hosting a meeting next week.  We are discussing a new initiative called "abc abc".  The goal of this meeting is to agree on the plan.  Please help generate ideas on 1. who should attend this meeting initially, 2. generate the call agenda (30- max. 45 min.) and 3. help draft a meeting invite via Microsoft Teams Call.  Then, please help brainstorm ideas on what information I should prepare which would be helpful for the attendees to agree on this initiative and help gather the information.&lt;/prompt&gt;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product marketing manager for [product name], and I am hosting a meeting next week.  We are discussing a new initiative called "abc abc".  The goal of this meeting is to agree on the plan.  Please help generate ideas on 1. who should attend this meeting initially, 2. generate the call agenda (30- max. 45 min.) and 3. help draft a meeting invite via Microsoft Teams Call.  Then, please help brainstorm ideas on what information I should prepare which would be helpful for the attendees to agree on this initiative and help gather the information.&lt;/user_input&gt;</v>
      </c>
      <c r="AL28" s="26">
        <f t="array" ref="AL28">index('Response Scoring'!$G:$G,match($A28,'Response Scoring'!$A:$A,0))</f>
        <v>4</v>
      </c>
      <c r="AM28" s="26">
        <f t="shared" si="16"/>
        <v>0.8</v>
      </c>
      <c r="AN28" s="26" t="str">
        <f>'Raw Data'!$T24</f>
        <v>I don't know how to create customer AI instructions.</v>
      </c>
      <c r="AO28" s="26" t="s">
        <v>153</v>
      </c>
      <c r="AP28" s="28" t="str">
        <f>substitute('Prompt Template'!$D$2,$AN$5,$AO28)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customer AI instructions.&lt;/user_input&gt;
</v>
      </c>
      <c r="AQ28" s="26">
        <f t="array" ref="AQ28">index('Response Scoring'!$I:$I,match($A28,'Response Scoring'!$A:$A,0))</f>
        <v>0</v>
      </c>
      <c r="AR28" s="26">
        <f t="shared" si="17"/>
        <v>0</v>
      </c>
      <c r="AS28" s="30">
        <f t="shared" si="18"/>
        <v>3.295</v>
      </c>
      <c r="AT28" s="26">
        <f t="shared" si="19"/>
        <v>28.965</v>
      </c>
      <c r="AU28" s="26">
        <f t="shared" si="20"/>
        <v>57.93</v>
      </c>
      <c r="AV28" s="26" t="str">
        <f t="shared" si="21"/>
        <v>AI Experimenter</v>
      </c>
      <c r="AW28" s="26" t="str">
        <f>'Raw Data'!U24</f>
        <v/>
      </c>
      <c r="AX28" s="26" t="str">
        <f>'Raw Data'!V24</f>
        <v/>
      </c>
      <c r="AY28" s="26" t="str">
        <f>'Raw Data'!W24</f>
        <v/>
      </c>
      <c r="AZ28" s="26" t="str">
        <f>'Raw Data'!X24</f>
        <v/>
      </c>
      <c r="BA28" s="26" t="str">
        <f>'Raw Data'!Y24</f>
        <v/>
      </c>
      <c r="BB28" s="26" t="str">
        <f>'Raw Data'!Z24</f>
        <v/>
      </c>
      <c r="BW28" s="31" t="str">
        <f>'Raw Data'!C24</f>
        <v>Industry Portfolio &amp; Emerging Marketing</v>
      </c>
      <c r="BZ28" s="26" t="str">
        <f>'Raw Data'!F24</f>
        <v>Individual Contributor</v>
      </c>
      <c r="CA28" s="31" t="str">
        <f>'Raw Data'!AU24</f>
        <v>For more advanced use, like custom agent.  I haven't had a chance to attend any trainings yet.</v>
      </c>
      <c r="CB28" s="31" t="str">
        <f>'Raw Data'!AV24</f>
        <v>Gemini 3, Nano Banana Pro, NotebookLM</v>
      </c>
      <c r="CC28" s="31" t="str">
        <f>'Raw Data'!AW24</f>
        <v>Strongly agree</v>
      </c>
    </row>
    <row r="29" ht="15.75" customHeight="1">
      <c r="A29" s="26">
        <f>'Raw Data'!$A25</f>
        <v>23</v>
      </c>
      <c r="B29" s="26" t="str">
        <f>'Raw Data'!$G25</f>
        <v>Daily</v>
      </c>
      <c r="C29" s="26">
        <f t="shared" si="1"/>
        <v>1</v>
      </c>
      <c r="D29" s="26" t="str">
        <f>'Raw Data'!$H25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9" s="26">
        <f t="shared" si="2"/>
        <v>2</v>
      </c>
      <c r="F29" s="27">
        <f t="shared" si="3"/>
        <v>0.6666666667</v>
      </c>
      <c r="G29" s="26" t="str">
        <f>'Raw Data'!$I25</f>
        <v>I create fresh prompts each time I use AI</v>
      </c>
      <c r="H29" s="26">
        <f t="shared" si="4"/>
        <v>0.25</v>
      </c>
      <c r="I29" s="26" t="str">
        <f>'Raw Data'!$J25</f>
        <v>Create a systematic process where AI handles data analysis and summary generation consistently</v>
      </c>
      <c r="J29" s="26">
        <f t="shared" si="5"/>
        <v>1</v>
      </c>
      <c r="K29" s="26" t="str">
        <f>'Raw Data'!$K25</f>
        <v>First, I'd use AI to summarize various research and data. I'd provide a well-written prompt to let it know who I am, what I need, who the audience is, and give it some perimeters. After I validate the research findings, I'd use it to draft presentation outlines to include themes, content, speaker notes, etc. I'd also use it to anticipate questions from the audience and have a doc prepared just for that. I would NOT use it to actually design the presentation because I haven't found that it's helpful in that way, yet.</v>
      </c>
      <c r="L29" s="26" t="s">
        <v>154</v>
      </c>
      <c r="M29" s="28" t="str">
        <f>substitute('Prompt Template'!$A$2,$K$5,$L29)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I'd use AI to summarize various research and data. I'd provide a well-written prompt to let it know who I am, what I need, who the audience is, and give it some perimeters. After I validate the research findings, I'd use it to draft presentation outlines to include themes, content, speaker notes, etc. I'd also use it to anticipate questions from the audience and have a doc prepared just for that. I would NOT use it to actually design the presentation because I haven't found that it's helpful in that way, yet.&lt;/user_input&gt;</v>
      </c>
      <c r="N29" s="26">
        <f t="array" ref="N29">index('Response Scoring'!$C:$C,match($A29,'Response Scoring'!$A:$A,0))</f>
        <v>3</v>
      </c>
      <c r="O29" s="29">
        <f t="shared" si="6"/>
        <v>1</v>
      </c>
      <c r="P29" s="26" t="str">
        <f>'Raw Data'!$L25</f>
        <v>I use AI for a variety of things (previously answered earlier in the survey). I use it to find information in my suite of tools; to analyze a multitude of data; for general brainstorming support; to build first drafts of assets; to help me look around the corner and think about things I'm not thinking of; etc.</v>
      </c>
      <c r="Q29" s="26" t="s">
        <v>155</v>
      </c>
      <c r="R29" s="28" t="str">
        <f>substitute('Prompt Template'!$B$2,$P$5,$Q29)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a variety of things (previously answered earlier in the survey). I use it to find information in my suite of tools; to analyze a multitude of data; for general brainstorming support; to build first drafts of assets; to help me look around the corner and think about things I'm not thinking of; etc.&lt;/user_input&gt;</v>
      </c>
      <c r="S29" s="26">
        <f t="array" ref="S29">index('Response Scoring'!$E:$E,match($A29,'Response Scoring'!$A:$A,0))</f>
        <v>1</v>
      </c>
      <c r="T29" s="29">
        <f t="shared" si="7"/>
        <v>0.3333333333</v>
      </c>
      <c r="U29" s="29">
        <f t="shared" si="8"/>
        <v>6.083333333</v>
      </c>
      <c r="V29" s="26" t="str">
        <f>'Raw Data'!$M25</f>
        <v>Analyzing presentation slides to evaluate both the visual design and written content for consistency</v>
      </c>
      <c r="W29" s="26">
        <f t="shared" si="9"/>
        <v>1</v>
      </c>
      <c r="X29" s="26" t="str">
        <f>'Raw Data'!$N25</f>
        <v>Hallucinations (generating false or misleading information)</v>
      </c>
      <c r="Y29" s="26">
        <f t="shared" si="10"/>
        <v>0.25</v>
      </c>
      <c r="Z29" s="26" t="str">
        <f>'Raw Data'!$O25</f>
        <v>Use secure company instances or enterprise plans when available</v>
      </c>
      <c r="AA29" s="29">
        <f t="shared" si="11"/>
        <v>0.5</v>
      </c>
      <c r="AB29" s="26" t="str">
        <f>'Raw Data'!$P25</f>
        <v>Sometimes: I do a quick check against known data or references</v>
      </c>
      <c r="AC29" s="26">
        <f t="shared" si="12"/>
        <v>0.67</v>
      </c>
      <c r="AD29" s="26" t="str">
        <f>'Raw Data'!$Q25</f>
        <v>Verify any calculations or data analysis independently, Cross-reference key claims with reliable external sources, Look for professional formatting and proper grammar</v>
      </c>
      <c r="AE29" s="26">
        <f t="shared" si="13"/>
        <v>0</v>
      </c>
      <c r="AF29" s="30">
        <f t="shared" si="14"/>
        <v>4.84</v>
      </c>
      <c r="AG29" s="26" t="str">
        <f>'Raw Data'!$R25</f>
        <v>Sometimes: I iterate 2-3 times to reach a good result</v>
      </c>
      <c r="AH29" s="26">
        <f t="shared" si="15"/>
        <v>0.67</v>
      </c>
      <c r="AI29" s="26" t="str">
        <f>'Raw Data'!$S25</f>
        <v>I'm the (role here) for (team name here) and I need to prepare for a new proposal where I will present to (audience level/types here). During this proposal, I'd like to accomplish (list out main objectives). Using the three data sources below about this initiative (attach or link to those documents at the end), prepare  the following: 
1. A one-page exec overview of the initiative for a read ahead to the audience
2. A presentation outline, to include how long I should spend on each topic
3. Speaker notes with quick facts to support each portion of the presentation
4. A really strong closing statement that reiterates what the top 3 things are that the audience should walk away remembering. 
5. A draft email to prepare to send as a follow up for after the session with any expected action items or requests.</v>
      </c>
      <c r="AJ29" s="26" t="s">
        <v>156</v>
      </c>
      <c r="AK29" s="28" t="str">
        <f>substitute('Prompt Template'!$C$2,$AI$5,$AJ29)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the (role here) for (team name here) and I need to prepare for a new proposal where I will present to (audience level/types here). During this proposal, I'd like to accomplish (list out main objectives). Using the three data sources below about this initiative (attach or link to those documents at the end), prepare  the following: 
1. A one-page exec overview of the initiative for a read ahead to the audience
2. A presentation outline, to include how long I should spend on each topic
3. Speaker notes with quick facts to support each portion of the presentation
4. A really strong closing statement that reiterates what the top 3 things are that the audience should walk away remembering. 
5. A draft email to prepare to send as a follow up for after the session with any expected action items or requests.&lt;/prompt&gt;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the (role here) for (team name here) and I need to prepare for a new proposal where I will present to (audience level/types here). During this proposal, I'd like to accomplish (list out main objectives). Using the three data sources below about this initiative (attach or link to those documents at the end), prepare  the following: 
1. A one-page exec overview of the initiative for a read ahead to the audience
2. A presentation outline, to include how long I should spend on each topic
3. Speaker notes with quick facts to support each portion of the presentation
4. A really strong closing statement that reiterates what the top 3 things are that the audience should walk away remembering. 
5. A draft email to prepare to send as a follow up for after the session with any expected action items or requests.&lt;/user_input&gt;</v>
      </c>
      <c r="AL29" s="26">
        <f t="array" ref="AL29">index('Response Scoring'!$G:$G,match($A29,'Response Scoring'!$A:$A,0))</f>
        <v>4</v>
      </c>
      <c r="AM29" s="26">
        <f t="shared" si="16"/>
        <v>0.8</v>
      </c>
      <c r="AN29" s="26" t="str">
        <f>'Raw Data'!$T25</f>
        <v>I don't know how to create custom AI instructions'.</v>
      </c>
      <c r="AO29" s="26" t="s">
        <v>157</v>
      </c>
      <c r="AP29" s="28" t="str">
        <f>substitute('Prompt Template'!$D$2,$AN$5,$AO29)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9" s="26">
        <f t="array" ref="AQ29">index('Response Scoring'!$I:$I,match($A29,'Response Scoring'!$A:$A,0))</f>
        <v>0</v>
      </c>
      <c r="AR29" s="26">
        <f t="shared" si="17"/>
        <v>0</v>
      </c>
      <c r="AS29" s="30">
        <f t="shared" si="18"/>
        <v>3.805</v>
      </c>
      <c r="AT29" s="26">
        <f t="shared" si="19"/>
        <v>23.995</v>
      </c>
      <c r="AU29" s="26">
        <f t="shared" si="20"/>
        <v>47.99</v>
      </c>
      <c r="AV29" s="26" t="str">
        <f t="shared" si="21"/>
        <v>AI Experimenter</v>
      </c>
      <c r="AW29" s="26" t="str">
        <f>'Raw Data'!U25</f>
        <v/>
      </c>
      <c r="AX29" s="26" t="str">
        <f>'Raw Data'!V25</f>
        <v/>
      </c>
      <c r="AY29" s="26" t="str">
        <f>'Raw Data'!W25</f>
        <v/>
      </c>
      <c r="AZ29" s="26" t="str">
        <f>'Raw Data'!X25</f>
        <v/>
      </c>
      <c r="BA29" s="26" t="str">
        <f>'Raw Data'!Y25</f>
        <v/>
      </c>
      <c r="BB29" s="26" t="str">
        <f>'Raw Data'!Z25</f>
        <v/>
      </c>
      <c r="BW29" s="31" t="str">
        <f>'Raw Data'!C25</f>
        <v>Global Communications</v>
      </c>
      <c r="BZ29" s="26" t="str">
        <f>'Raw Data'!F25</f>
        <v>Manager or Senior Manager</v>
      </c>
      <c r="CA29" s="31" t="str">
        <f>'Raw Data'!AU25</f>
        <v>Currently I'm not connecting it to other tools so that it can help me reach the next level of increased productivity. I need real, hands-on training for tasks that make sense for my role to actually do and set up during that training, vs just theoretical usage presentations.</v>
      </c>
      <c r="CB29" s="31" t="str">
        <f>'Raw Data'!AV25</f>
        <v>None</v>
      </c>
      <c r="CC29" s="31" t="str">
        <f>'Raw Data'!AW25</f>
        <v>Neutral</v>
      </c>
    </row>
    <row r="30" ht="15.75" customHeight="1">
      <c r="A30" s="26">
        <f>'Raw Data'!$A26</f>
        <v>24</v>
      </c>
      <c r="B30" s="26" t="str">
        <f>'Raw Data'!$G26</f>
        <v>Several times a week</v>
      </c>
      <c r="C30" s="26">
        <f t="shared" si="1"/>
        <v>0.75</v>
      </c>
      <c r="D30" s="26" t="str">
        <f>'Raw Data'!$H26</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30" s="26">
        <f t="shared" si="2"/>
        <v>2</v>
      </c>
      <c r="F30" s="27">
        <f t="shared" si="3"/>
        <v>0.6666666667</v>
      </c>
      <c r="G30" s="26" t="str">
        <f>'Raw Data'!$I26</f>
        <v>I maintain a library of prompts that I reuse frequently</v>
      </c>
      <c r="H30" s="26">
        <f t="shared" si="4"/>
        <v>0.5</v>
      </c>
      <c r="I30" s="26" t="str">
        <f>'Raw Data'!$J26</f>
        <v>Ask AI to write the summary after you've analyzed all the data</v>
      </c>
      <c r="J30" s="26">
        <f t="shared" si="5"/>
        <v>0.33</v>
      </c>
      <c r="K30" s="26" t="str">
        <f>'Raw Data'!$K26</f>
        <v>I would make a list of all the pertinent nuances of the ask and then create a prompt based on that summary with as many specific items as possible in order to connect it to my presentation deliverable</v>
      </c>
      <c r="L30" s="26" t="s">
        <v>158</v>
      </c>
      <c r="M30" s="28" t="str">
        <f>substitute('Prompt Template'!$A$2,$K$5,$L30)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make a list of all the pertinent nuances of the ask and then create a prompt based on that summary with as many specific items as possible in order to connect it to my presentation deliverable&lt;/user_input&gt;</v>
      </c>
      <c r="N30" s="26">
        <f t="array" ref="N30">index('Response Scoring'!$C:$C,match($A30,'Response Scoring'!$A:$A,0))</f>
        <v>1</v>
      </c>
      <c r="O30" s="29">
        <f t="shared" si="6"/>
        <v>0.3333333333</v>
      </c>
      <c r="P30" s="26" t="str">
        <f>'Raw Data'!$L26</f>
        <v>After creating a slide deck structure, I've asked AI to create a talk track that I've used as a basis for my final talking points</v>
      </c>
      <c r="Q30" s="26" t="s">
        <v>159</v>
      </c>
      <c r="R30" s="28" t="str">
        <f>substitute('Prompt Template'!$B$2,$P$5,$Q30)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&lt;user_input&gt;After creating a slide deck structure, I've asked AI to create a talk track that I've used as a basis for my final talking points&lt;/user_input&gt;</v>
      </c>
      <c r="S30" s="26">
        <f t="array" ref="S30">index('Response Scoring'!$E:$E,match($A30,'Response Scoring'!$A:$A,0))</f>
        <v>2</v>
      </c>
      <c r="T30" s="29">
        <f t="shared" si="7"/>
        <v>0.6666666667</v>
      </c>
      <c r="U30" s="29">
        <f t="shared" si="8"/>
        <v>5.538333333</v>
      </c>
      <c r="V30" s="26" t="str">
        <f>'Raw Data'!$M26</f>
        <v>Creating a complete slide deck with visual design for an important client presentation</v>
      </c>
      <c r="W30" s="26">
        <f t="shared" si="9"/>
        <v>0</v>
      </c>
      <c r="X30" s="26" t="str">
        <f>'Raw Data'!$N26</f>
        <v>Hallucinations (generating false or misleading information), Biases in answers, Data privacy concerns when information is shared with an LLM</v>
      </c>
      <c r="Y30" s="26">
        <f t="shared" si="10"/>
        <v>0.75</v>
      </c>
      <c r="Z30" s="26" t="str">
        <f>'Raw Data'!$O26</f>
        <v>Verify that the AI tool has SSL/HTTPS encryption before using it, Use secure company instances or enterprise plans when available</v>
      </c>
      <c r="AA30" s="29">
        <f t="shared" si="11"/>
        <v>0</v>
      </c>
      <c r="AB30" s="26" t="str">
        <f>'Raw Data'!$P26</f>
        <v>Sometimes: I do a quick check against known data or references</v>
      </c>
      <c r="AC30" s="26">
        <f t="shared" si="12"/>
        <v>0.67</v>
      </c>
      <c r="AD30" s="26" t="str">
        <f>'Raw Data'!$Q26</f>
        <v>Use a different AI tool to review and verify the content, Cross-reference key claims with reliable external sources, Verify any calculations or data analysis independently</v>
      </c>
      <c r="AE30" s="26">
        <f t="shared" si="13"/>
        <v>0.75</v>
      </c>
      <c r="AF30" s="30">
        <f t="shared" si="14"/>
        <v>4.34</v>
      </c>
      <c r="AG30" s="26" t="str">
        <f>'Raw Data'!$R26</f>
        <v>Rarely: I only tweak the prompt if something feels obviously off</v>
      </c>
      <c r="AH30" s="26">
        <f t="shared" si="15"/>
        <v>0.33</v>
      </c>
      <c r="AI30" s="26" t="str">
        <f>'Raw Data'!$S26</f>
        <v>Act as an expert business strategist. I am preparing for an important meeting to present a new initiative, and I need to ensure it is persuasive, concise, and well-defended. Please create a proposal for me with clearly-defined goals, background, and objectives.</v>
      </c>
      <c r="AJ30" s="26" t="s">
        <v>160</v>
      </c>
      <c r="AK30" s="28" t="str">
        <f>substitute('Prompt Template'!$C$2,$AI$5,$AJ30)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an expert business strategist. I am preparing for an important meeting to present a new initiative, and I need to ensure it is persuasive, concise, and well-defended. Please create a proposal for me with clearly-defined goals, background, and objectives.&lt;/prompt&gt;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an expert business strategist. I am preparing for an important meeting to present a new initiative, and I need to ensure it is persuasive, concise, and well-defended. Please create a proposal for me with clearly-defined goals, background, and objectives.&lt;/user_input&gt;</v>
      </c>
      <c r="AL30" s="26">
        <f t="array" ref="AL30">index('Response Scoring'!$G:$G,match($A30,'Response Scoring'!$A:$A,0))</f>
        <v>2</v>
      </c>
      <c r="AM30" s="26">
        <f t="shared" si="16"/>
        <v>0.4</v>
      </c>
      <c r="AN30" s="26" t="str">
        <f>'Raw Data'!$T26</f>
        <v>I don't know how to create custom AI instructions</v>
      </c>
      <c r="AO30" s="26" t="s">
        <v>101</v>
      </c>
      <c r="AP30" s="28" t="str">
        <f>substitute('Prompt Template'!$D$2,$AN$5,$AO30)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30" s="26">
        <f t="array" ref="AQ30">index('Response Scoring'!$I:$I,match($A30,'Response Scoring'!$A:$A,0))</f>
        <v>0</v>
      </c>
      <c r="AR30" s="26">
        <f t="shared" si="17"/>
        <v>0</v>
      </c>
      <c r="AS30" s="30">
        <f t="shared" si="18"/>
        <v>1.895</v>
      </c>
      <c r="AT30" s="26">
        <f t="shared" si="19"/>
        <v>18.6075</v>
      </c>
      <c r="AU30" s="26">
        <f t="shared" si="20"/>
        <v>37.215</v>
      </c>
      <c r="AV30" s="26" t="str">
        <f t="shared" si="21"/>
        <v>AI Experimenter</v>
      </c>
      <c r="AW30" s="26" t="str">
        <f>'Raw Data'!U26</f>
        <v/>
      </c>
      <c r="AX30" s="26" t="str">
        <f>'Raw Data'!V26</f>
        <v/>
      </c>
      <c r="AY30" s="26" t="str">
        <f>'Raw Data'!W26</f>
        <v/>
      </c>
      <c r="AZ30" s="26" t="str">
        <f>'Raw Data'!X26</f>
        <v/>
      </c>
      <c r="BA30" s="26" t="str">
        <f>'Raw Data'!Y26</f>
        <v/>
      </c>
      <c r="BB30" s="26" t="str">
        <f>'Raw Data'!Z26</f>
        <v/>
      </c>
      <c r="BW30" s="31" t="str">
        <f>'Raw Data'!C26</f>
        <v>Global Communications</v>
      </c>
      <c r="BZ30" s="26" t="str">
        <f>'Raw Data'!F26</f>
        <v>Individual Contributor</v>
      </c>
      <c r="CA30" s="31" t="str">
        <f>'Raw Data'!AU26</f>
        <v>I don't struggle at this point using AI in my work</v>
      </c>
      <c r="CB30" s="31" t="str">
        <f>'Raw Data'!AV26</f>
        <v>I'm not using any outside our approved stack</v>
      </c>
      <c r="CC30" s="31" t="str">
        <f>'Raw Data'!AW26</f>
        <v>Agree</v>
      </c>
    </row>
    <row r="31" ht="15.75" customHeight="1">
      <c r="A31" s="26">
        <f>'Raw Data'!$A27</f>
        <v>25</v>
      </c>
      <c r="B31" s="26" t="str">
        <f>'Raw Data'!$G27</f>
        <v>Daily</v>
      </c>
      <c r="C31" s="26">
        <f t="shared" si="1"/>
        <v>1</v>
      </c>
      <c r="D31" s="26" t="str">
        <f>'Raw Data'!$H27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31" s="26">
        <f t="shared" si="2"/>
        <v>3</v>
      </c>
      <c r="F31" s="27">
        <f t="shared" si="3"/>
        <v>1</v>
      </c>
      <c r="G31" s="26" t="str">
        <f>'Raw Data'!$I27</f>
        <v>I've built custom AI tools (i.e. CustomGPTs, Copilot Agents) for repetitive tasks</v>
      </c>
      <c r="H31" s="26">
        <f t="shared" si="4"/>
        <v>0.75</v>
      </c>
      <c r="I31" s="26" t="str">
        <f>'Raw Data'!$J27</f>
        <v>Create a systematic process where AI handles data analysis and summary generation consistently</v>
      </c>
      <c r="J31" s="26">
        <f t="shared" si="5"/>
        <v>1</v>
      </c>
      <c r="K31" s="26" t="str">
        <f>'Raw Data'!$K27</f>
        <v>I would definitely use AI — as a force multiplier, not a crutch.
For a senior-stakeholder presentation on an unfamiliar topic, I’d use AI to get smart fast and focus on what actually matters to execs.
Rapid orientation: I’d use AI to quickly understand the topic at an executive level — what it is, why it matters to the business, key risks, and what questions leadership is likely to ask.
Executive narrative: I’d use AI to help structure a clear, decision-driven story (context → options → recommendation → trade-offs), so the presentation works even if they only give me 10 minutes.
Pressure testing: I’d ask AI to challenge my thinking from a skeptical exec perspective to expose gaps, weak assumptions, or blind spots before I walk into the room.
Clarity and conciseness: I’d use AI to tighten language, simplify slides, and remove anything that feels like noise or over-explanation.
I wouldn’t rely on AI for final conclusions or unverified data. Final judgment, context, and accountability stay with me — AI just helps me move faster and show up better prepared.</v>
      </c>
      <c r="L31" s="26" t="s">
        <v>161</v>
      </c>
      <c r="M31" s="28" t="str">
        <f>substitute('Prompt Template'!$A$2,$K$5,$L31)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definitely use AI — as a force multiplier, not a crutch.
For a senior-stakeholder presentation on an unfamiliar topic, I’d use AI to get smart fast and focus on what actually matters to execs.
Rapid orientation: I’d use AI to quickly understand the topic at an executive level — what it is, why it matters to the business, key risks, and what questions leadership is likely to ask.
Executive narrative: I’d use AI to help structure a clear, decision-driven story (context → options → recommendation → trade-offs), so the presentation works even if they only give me 10 minutes.
Pressure testing: I’d ask AI to challenge my thinking from a skeptical exec perspective to expose gaps, weak assumptions, or blind spots before I walk into the room.
Clarity and conciseness: I’d use AI to tighten language, simplify slides, and remove anything that feels like noise or over-explanation.
I wouldn’t rely on AI for final conclusions or unverified data. Final judgment, context, and accountability stay with me — AI just helps me move faster and show up better prepared.&lt;/user_input&gt;</v>
      </c>
      <c r="N31" s="26">
        <f t="array" ref="N31">index('Response Scoring'!$C:$C,match($A31,'Response Scoring'!$A:$A,0))</f>
        <v>3</v>
      </c>
      <c r="O31" s="29">
        <f t="shared" si="6"/>
        <v>1</v>
      </c>
      <c r="P31" s="26" t="str">
        <f>'Raw Data'!$L27</f>
        <v>Most useful: I use AI (ChatGPT + MS Copilot) to turn messy or unfamiliar topics into executive-ready, decision-quality materials — fast. It’s my go-to for rapid research at an “exec altitude,” structuring a clear recommendation, pressure-testing assumptions, and quickly drafting slides and scenario models. That saves me ~50–70% of prep time and cuts clarification back-and-forth with leadership.
Super-brief example: For the GPM summit I fed ChatGPT headcount, past P&amp;Ls, dates and travel assumptions — it returned a line-item budget (low/likely/high), three city/venue options with pros/cons, negotiation levers and a one-slide recommendation. I used Copilot to build the scenario model and slide; result: blank → exec-ready in 3–4 hours (vs 2–3 days) and approval on the first decision call. I always validate the numbers with finance and own the final decision.</v>
      </c>
      <c r="Q31" s="26" t="s">
        <v>162</v>
      </c>
      <c r="R31" s="28" t="str">
        <f>substitute('Prompt Template'!$B$2,$P$5,$Q31)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&lt;user_input&gt;Most useful: I use AI (ChatGPT + MS Copilot) to turn messy or unfamiliar topics into executive-ready, decision-quality materials — fast. It’s my go-to for rapid research at an “exec altitude,” structuring a clear recommendation, pressure-testing assumptions, and quickly drafting slides and scenario models. That saves me ~50–70% of prep time and cuts clarification back-and-forth with leadership.
Super-brief example: For the GPM summit I fed ChatGPT headcount, past P&amp;Ls, dates and travel assumptions — it returned a line-item budget (low/likely/high), three city/venue options with pros/cons, negotiation levers and a one-slide recommendation. I used Copilot to build the scenario model and slide; result: blank → exec-ready in 3–4 hours (vs 2–3 days) and approval on the first decision call. I always validate the numbers with finance and own the final decision.&lt;/user_input&gt;</v>
      </c>
      <c r="S31" s="26">
        <f t="array" ref="S31">index('Response Scoring'!$E:$E,match($A31,'Response Scoring'!$A:$A,0))</f>
        <v>3</v>
      </c>
      <c r="T31" s="29">
        <f t="shared" si="7"/>
        <v>1</v>
      </c>
      <c r="U31" s="29">
        <f t="shared" si="8"/>
        <v>9.75</v>
      </c>
      <c r="V31" s="26" t="str">
        <f>'Raw Data'!$M27</f>
        <v>Analyzing presentation slides to evaluate both the visual design and written content for consistency</v>
      </c>
      <c r="W31" s="26">
        <f t="shared" si="9"/>
        <v>1</v>
      </c>
      <c r="X31" s="26" t="str">
        <f>'Raw Data'!$N27</f>
        <v>Hallucinations (generating false or misleading information), Biases in answers, Vulnerability to manipulation by bad actors, Data privacy concerns when information is shared with an LLM</v>
      </c>
      <c r="Y31" s="26">
        <f t="shared" si="10"/>
        <v>1</v>
      </c>
      <c r="Z31" s="26" t="str">
        <f>'Raw Data'!$O27</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A31" s="29">
        <f t="shared" si="11"/>
        <v>0</v>
      </c>
      <c r="AB31" s="26" t="str">
        <f>'Raw Data'!$P27</f>
        <v>Always: I routinely cross-check AI outputs with reliable sources</v>
      </c>
      <c r="AC31" s="26">
        <f t="shared" si="12"/>
        <v>1</v>
      </c>
      <c r="AD31" s="26" t="str">
        <f>'Raw Data'!$Q27</f>
        <v>Verify any calculations or data analysis independently, Cross-reference key claims with reliable external sources, Use a different AI tool to review and verify the content, Check if the response uses confident language and specific details</v>
      </c>
      <c r="AE31" s="26">
        <f t="shared" si="13"/>
        <v>0</v>
      </c>
      <c r="AF31" s="30">
        <f t="shared" si="14"/>
        <v>6</v>
      </c>
      <c r="AG31" s="26" t="str">
        <f>'Raw Data'!$R27</f>
        <v>Frequently: I systematically refine prompts until I'm satisfied</v>
      </c>
      <c r="AH31" s="26">
        <f t="shared" si="15"/>
        <v>1</v>
      </c>
      <c r="AI31" s="26" t="str">
        <f>'Raw Data'!$S27</f>
        <v>Role &amp; goal (one line):
You are my executive meeting prep coach, event/marketing copilot, and company-alignment researcher. Help me prepare a decision-ready package to recommend Autodesk’s presence and strategy at CES 2027. Be concise, practical, and assume the audience are senior stakeholders (CFO, CMO, SVP Sales, Head of Product). Ask clarifying questions before producing deliverables.
Must-use company ABCD (Autodesk FY27 wording):
Map every recommendation to Autodesk FY27 ABCD priorities:
A — Accelerate new business growth (new logos + expansion across core &amp; emerging markets)
B — Build the brand &amp; the “Design &amp; Make” category; drive industry cloud awareness and strengthen company reputation
C — Cultivate customer affinity, adoption, usage &amp; retention
D — Drive high performance with operational excellence and make WWM a great place to grow your career
Company alignment requirement (non-negotiable):
Search Autodesk SharePoint (WWM + Program Playbook + Program Playbook Scorecard + Demand Gen templates + Product Marketing + Partner GTM) and cite every internal doc you use (SharePoint URL + title + owner). Summarize FY27 programs/campaigns and owners that should influence CES strategy. If you cannot access internal systems, list the exact docs/links you attempted and ask me to paste them.
Explicitly map how the recommended event program fits or conflicts with those Autodesk programs/campaigns, and propose adjustments to ensure program fit.
Deep CES 2027 research requirement (must do):
Conduct a targeted research pass on CES for the past 12–18 months (public &amp; analyst sources). For each item below, provide a short, cited summary and attach links (or list the exact sources you searched):
Audience &amp; demographics: attendee breakdown (buyers, media, press, partners, developers, geography), buyer intent signals, and buyer personas that align to Autodesk target segments. Mark as external — cite source.
Key themes &amp; narratives: dominant show themes and trending topics (AI, robotics, mobility, generative design, sustainability, digital twins, etc.) and how these map to Autodesk product/industry priorities.
Competitor presence &amp; strategies: list 8–12 competitors or representative vendors that exhibited, booth sizes/locations (where public), keynote/session activity, partner activations, and their public messaging. Summarize strengths/weaknesses and differentiation opportunities for Autodesk.
Sessions &amp; analyst coverage: relevant CES sessions, analyst panels and keynotes that matter for Autodesk; identify 3–5 sessions we should target or comment on. Include analyst/press coverage highlights (Forrester, Gartner, Wired, The Verge, TechCrunch, Reuters).
Floor strategy &amp; foot traffic: floor map insights (high-traffic corridors, adjacent categories, recommended booth placement). Cite CES floor plan or reliable reporting.
Media &amp; social sentiment: press &amp; social highlights about CES themes/competitors and any emergent reputational issues. Include sample hashtags / X / LinkedIn signals if available.
Buyer engagement tactics that worked: booth activations, demo formats, offsite strategies that produced measurable outcomes (from trade press, case studies).
Risks &amp; situational awareness: logistical/operational/market risks observed (crowding, AV bottlenecks, staffing, supply chain, local regs).
Mark any external facts as “external — cite source”. For all public sources include the URL and date. If you use analyst/paywalled content, summarize and mark the source.
My context (pre-filled):
Initiative / title: Autodesk at CES 2027 — 30×40 booth + Keynote + Demo Pods (Option A)
Decision I need: Approve Option A and $650,000 total budget (Likely).
Dominant ABCD objective: A — Accelerate new business growth (primary), with explicit mapping to B/C/D.
Target audience at CES: enterprise buyers (AEC &amp; Manufacturing), product partners, press &amp; analysts, developers.
Program alignment required: Field Marketing, Demand Gen, Product Marketing, Sales Enablement, Partner GTM.
Key constraints: Budget cap $650K; dates: CES 2027 (early January); onsite headcount ~30; sustainability/CSR constraints; legal/compliance review required for partner activations.
Materials I can provide: past-event P&amp;Ls, vendor quotes, attendee demographics, headcount, buyer personas, past CES learnings (I will paste links/documents when asked).
Prep time: 4 hours to produce an exec-ready package for leadership review.
Deliverables (produce in this order, numbered):
1-line recommendation headline (decision + $ ask — ≤12 words).
30–40 word executive summary (decision, why, and top ABCD impact).
One-slide text that reads in 20s (headline + 3 bullets + ask).
CES Market &amp; Competitor Research (deep research summary as specified above) with citations and a 1-page implications section for Autodesk.
Recommended strategy (Chosen = Full exhibit + keynote + demo pods): why it best serves the primary ABCD objective, ABCD KPI mapping (baseline → target with owner), estimated budget (Low/Likely/High) + confidence (1–5), and top 3 operational asks.
Three alternatives (A/B/C) with 1-line pros/cons, ABCD mapping, and $ impact.
Program fit &amp; activation plan: for Field, Demand, Product, Sales, Partner — list 2–3 tactical activations pre/during/post, owner, KPI, and how it feeds FY27 programs/campaigns. Call out any conflicts and propose mitigation.
Staffing &amp; on-site plan (roles, #FTE, daily schedule, 2-week pre-event calendar).
Budget summary: line items + Low/Likely/High + assumptions + confidence. Flag items requiring vendor quotes.
Top 6 risks &amp; mitigations and overall program confidence (1–5).
10 tough SVP questions with 1-sentence model answers and which answers need finance/vendor/SME backup.
Validation checklist of internal docs &amp; owners I must verify prior to the meeting (list exact file names/owners or say “I couldn’t access X — please paste”).
Slide deck outline (up to 7 slides: title + 1-sentence purpose + suggested visual).
5-minute speaker notes (6 bullets) + 30s elevator pitch.
JSON object with core outputs: exec_summary, recommendation, options[], budget[], risks[], qna[], competitor_research[].
Behavior &amp; format rules:
Number every item; use short bullets. Keep exec summary first and deep backup last.
Cite every Autodesk internal doc you use (SharePoint URL + title + owner). If you can’t access SharePoint, list the exact docs you tried and ask me to paste them.
For every CES external fact, include the source URL and date and mark “external — cite source”.
Flag every assumption and give confidence (1–5) for numeric estimates.
For each ABCD KPI show baseline → target and the data source (internal doc or “assumption”).
If insufficient info, list specific clarifying questions instead of guessing.
End with a 90-minute action plan (who does what immediately).
Role-play + pressure test:
After deliverables, act as a skeptical CFO, CMO, and CRO (two hard questions each, total 6). Ask the questions, then provide concise model responses I can use in the meeting and mark which answers require backup data.
Start here: Confirm you can access Autodesk SharePoint (WWM and Program Playbook). If you cannot, list exactly which internal docs you need (FY27 Integrated Marketing Planning page, Program Playbook Scorecard, recent event P&amp;Ls, past CES learnings, Program owners) and then proceed to the public CES research.
Tone: Executive, direct, no fluff. Practical and slightly ironic if it helps land the point.</v>
      </c>
      <c r="AJ31" s="26" t="s">
        <v>163</v>
      </c>
      <c r="AK31" s="28" t="str">
        <f>substitute('Prompt Template'!$C$2,$AI$5,$AJ31)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&amp; goal (one line):
You are my executive meeting prep coach, event/marketing copilot, and company-alignment researcher. Help me prepare a decision-ready package to recommend Autodesk’s presence and strategy at CES 2027. Be concise, practical, and assume the audience are senior stakeholders (CFO, CMO, SVP Sales, Head of Product). Ask clarifying questions before producing deliverables.
Must-use company ABCD (Autodesk FY27 wording):
Map every recommendation to Autodesk FY27 ABCD priorities:
A — Accelerate new business growth (new logos + expansion across core &amp; emerging markets)
B — Build the brand &amp; the “Design &amp; Make” category; drive industry cloud awareness and strengthen company reputation
C — Cultivate customer affinity, adoption, usage &amp; retention
D — Drive high performance with operational excellence and make WWM a great place to grow your career
Company alignment requirement (non-negotiable):
Search Autodesk SharePoint (WWM + Program Playbook + Program Playbook Scorecard + Demand Gen templates + Product Marketing + Partner GTM) and cite every internal doc you use (SharePoint URL + title + owner). Summarize FY27 programs/campaigns and owners that should influence CES strategy. If you cannot access internal systems, list the exact docs/links you attempted and ask me to paste them.
Explicitly map how the recommended event program fits or conflicts with those Autodesk programs/campaigns, and propose adjustments to ensure program fit.
Deep CES 2027 research requirement (must do):
Conduct a targeted research pass on CES for the past 12–18 months (public &amp; analyst sources). For each item below, provide a short, cited summary and attach links (or list the exact sources you searched):
Audience &amp; demographics: attendee breakdown (buyers, media, press, partners, developers, geography), buyer intent signals, and buyer personas that align to Autodesk target segments. Mark as external — cite source.
Key themes &amp; narratives: dominant show themes and trending topics (AI, robotics, mobility, generative design, sustainability, digital twins, etc.) and how these map to Autodesk product/industry priorities.
Competitor presence &amp; strategies: list 8–12 competitors or representative vendors that exhibited, booth sizes/locations (where public), keynote/session activity, partner activations, and their public messaging. Summarize strengths/weaknesses and differentiation opportunities for Autodesk.
Sessions &amp; analyst coverage: relevant CES sessions, analyst panels and keynotes that matter for Autodesk; identify 3–5 sessions we should target or comment on. Include analyst/press coverage highlights (Forrester, Gartner, Wired, The Verge, TechCrunch, Reuters).
Floor strategy &amp; foot traffic: floor map insights (high-traffic corridors, adjacent categories, recommended booth placement). Cite CES floor plan or reliable reporting.
Media &amp; social sentiment: press &amp; social highlights about CES themes/competitors and any emergent reputational issues. Include sample hashtags / X / LinkedIn signals if available.
Buyer engagement tactics that worked: booth activations, demo formats, offsite strategies that produced measurable outcomes (from trade press, case studies).
Risks &amp; situational awareness: logistical/operational/market risks observed (crowding, AV bottlenecks, staffing, supply chain, local regs).
Mark any external facts as “external — cite source”. For all public sources include the URL and date. If you use analyst/paywalled content, summarize and mark the source.
My context (pre-filled):
Initiative / title: Autodesk at CES 2027 — 30×40 booth + Keynote + Demo Pods (Option A)
Decision I need: Approve Option A and $650,000 total budget (Likely).
Dominant ABCD objective: A — Accelerate new business growth (primary), with explicit mapping to B/C/D.
Target audience at CES: enterprise buyers (AEC &amp; Manufacturing), product partners, press &amp; analysts, developers.
Program alignment required: Field Marketing, Demand Gen, Product Marketing, Sales Enablement, Partner GTM.
Key constraints: Budget cap $650K; dates: CES 2027 (early January); onsite headcount ~30; sustainability/CSR constraints; legal/compliance review required for partner activations.
Materials I can provide: past-event P&amp;Ls, vendor quotes, attendee demographics, headcount, buyer personas, past CES learnings (I will paste links/documents when asked).
Prep time: 4 hours to produce an exec-ready package for leadership review.
Deliverables (produce in this order, numbered):
1-line recommendation headline (decision + $ ask — ≤12 words).
30–40 word executive summary (decision, why, and top ABCD impact).
One-slide text that reads in 20s (headline + 3 bullets + ask).
CES Market &amp; Competitor Research (deep research summary as specified above) with citations and a 1-page implications section for Autodesk.
Recommended strategy (Chosen = Full exhibit + keynote + demo pods): why it best serves the primary ABCD objective, ABCD KPI mapping (baseline → target with owner), estimated budget (Low/Likely/High) + confidence (1–5), and top 3 operational asks.
Three alternatives (A/B/C) with 1-line pros/cons, ABCD mapping, and $ impact.
Program fit &amp; activation plan: for Field, Demand, Product, Sales, Partner — list 2–3 tactical activations pre/during/post, owner, KPI, and how it feeds FY27 programs/campaigns. Call out any conflicts and propose mitigation.
Staffing &amp; on-site plan (roles, #FTE, daily schedule, 2-week pre-event calendar).
Budget summary: line items + Low/Likely/High + assumptions + confidence. Flag items requiring vendor quotes.
Top 6 risks &amp; mitigations and overall program confidence (1–5).
10 tough SVP questions with 1-sentence model answers and which answers need finance/vendor/SME backup.
Validation checklist of internal docs &amp; owners I must verify prior to the meeting (list exact file names/owners or say “I couldn’t access X — please paste”).
Slide deck outline (up to 7 slides: title + 1-sentence purpose + suggested visual).
5-minute speaker notes (6 bullets) + 30s elevator pitch.
JSON object with core outputs: exec_summary, recommendation, options[], budget[], risks[], qna[], competitor_research[].
Behavior &amp; format rules:
Number every item; use short bullets. Keep exec summary first and deep backup last.
Cite every Autodesk internal doc you use (SharePoint URL + title + owner). If you can’t access SharePoint, list the exact docs you tried and ask me to paste them.
For every CES external fact, include the source URL and date and mark “external — cite source”.
Flag every assumption and give confidence (1–5) for numeric estimates.
For each ABCD KPI show baseline → target and the data source (internal doc or “assumption”).
If insufficient info, list specific clarifying questions instead of guessing.
End with a 90-minute action plan (who does what immediately).
Role-play + pressure test:
After deliverables, act as a skeptical CFO, CMO, and CRO (two hard questions each, total 6). Ask the questions, then provide concise model responses I can use in the meeting and mark which answers require backup data.
Start here: Confirm you can access Autodesk SharePoint (WWM and Program Playbook). If you cannot, list exactly which internal docs you need (FY27 Integrated Marketing Planning page, Program Playbook Scorecard, recent event P&amp;Ls, past CES learnings, Program owners) and then proceed to the public CES research.
Tone: Executive, direct, no fluff. Practical and slightly ironic if it helps land the point.&lt;/prompt&gt;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&amp; goal (one line):
You are my executive meeting prep coach, event/marketing copilot, and company-alignment researcher. Help me prepare a decision-ready package to recommend Autodesk’s presence and strategy at CES 2027. Be concise, practical, and assume the audience are senior stakeholders (CFO, CMO, SVP Sales, Head of Product). Ask clarifying questions before producing deliverables.
Must-use company ABCD (Autodesk FY27 wording):
Map every recommendation to Autodesk FY27 ABCD priorities:
A — Accelerate new business growth (new logos + expansion across core &amp; emerging markets)
B — Build the brand &amp; the “Design &amp; Make” category; drive industry cloud awareness and strengthen company reputation
C — Cultivate customer affinity, adoption, usage &amp; retention
D — Drive high performance with operational excellence and make WWM a great place to grow your career
Company alignment requirement (non-negotiable):
Search Autodesk SharePoint (WWM + Program Playbook + Program Playbook Scorecard + Demand Gen templates + Product Marketing + Partner GTM) and cite every internal doc you use (SharePoint URL + title + owner). Summarize FY27 programs/campaigns and owners that should influence CES strategy. If you cannot access internal systems, list the exact docs/links you attempted and ask me to paste them.
Explicitly map how the recommended event program fits or conflicts with those Autodesk programs/campaigns, and propose adjustments to ensure program fit.
Deep CES 2027 research requirement (must do):
Conduct a targeted research pass on CES for the past 12–18 months (public &amp; analyst sources). For each item below, provide a short, cited summary and attach links (or list the exact sources you searched):
Audience &amp; demographics: attendee breakdown (buyers, media, press, partners, developers, geography), buyer intent signals, and buyer personas that align to Autodesk target segments. Mark as external — cite source.
Key themes &amp; narratives: dominant show themes and trending topics (AI, robotics, mobility, generative design, sustainability, digital twins, etc.) and how these map to Autodesk product/industry priorities.
Competitor presence &amp; strategies: list 8–12 competitors or representative vendors that exhibited, booth sizes/locations (where public), keynote/session activity, partner activations, and their public messaging. Summarize strengths/weaknesses and differentiation opportunities for Autodesk.
Sessions &amp; analyst coverage: relevant CES sessions, analyst panels and keynotes that matter for Autodesk; identify 3–5 sessions we should target or comment on. Include analyst/press coverage highlights (Forrester, Gartner, Wired, The Verge, TechCrunch, Reuters).
Floor strategy &amp; foot traffic: floor map insights (high-traffic corridors, adjacent categories, recommended booth placement). Cite CES floor plan or reliable reporting.
Media &amp; social sentiment: press &amp; social highlights about CES themes/competitors and any emergent reputational issues. Include sample hashtags / X / LinkedIn signals if available.
Buyer engagement tactics that worked: booth activations, demo formats, offsite strategies that produced measurable outcomes (from trade press, case studies).
Risks &amp; situational awareness: logistical/operational/market risks observed (crowding, AV bottlenecks, staffing, supply chain, local regs).
Mark any external facts as “external — cite source”. For all public sources include the URL and date. If you use analyst/paywalled content, summarize and mark the source.
My context (pre-filled):
Initiative / title: Autodesk at CES 2027 — 30×40 booth + Keynote + Demo Pods (Option A)
Decision I need: Approve Option A and $650,000 total budget (Likely).
Dominant ABCD objective: A — Accelerate new business growth (primary), with explicit mapping to B/C/D.
Target audience at CES: enterprise buyers (AEC &amp; Manufacturing), product partners, press &amp; analysts, developers.
Program alignment required: Field Marketing, Demand Gen, Product Marketing, Sales Enablement, Partner GTM.
Key constraints: Budget cap $650K; dates: CES 2027 (early January); onsite headcount ~30; sustainability/CSR constraints; legal/compliance review required for partner activations.
Materials I can provide: past-event P&amp;Ls, vendor quotes, attendee demographics, headcount, buyer personas, past CES learnings (I will paste links/documents when asked).
Prep time: 4 hours to produce an exec-ready package for leadership review.
Deliverables (produce in this order, numbered):
1-line recommendation headline (decision + $ ask — ≤12 words).
30–40 word executive summary (decision, why, and top ABCD impact).
One-slide text that reads in 20s (headline + 3 bullets + ask).
CES Market &amp; Competitor Research (deep research summary as specified above) with citations and a 1-page implications section for Autodesk.
Recommended strategy (Chosen = Full exhibit + keynote + demo pods): why it best serves the primary ABCD objective, ABCD KPI mapping (baseline → target with owner), estimated budget (Low/Likely/High) + confidence (1–5), and top 3 operational asks.
Three alternatives (A/B/C) with 1-line pros/cons, ABCD mapping, and $ impact.
Program fit &amp; activation plan: for Field, Demand, Product, Sales, Partner — list 2–3 tactical activations pre/during/post, owner, KPI, and how it feeds FY27 programs/campaigns. Call out any conflicts and propose mitigation.
Staffing &amp; on-site plan (roles, #FTE, daily schedule, 2-week pre-event calendar).
Budget summary: line items + Low/Likely/High + assumptions + confidence. Flag items requiring vendor quotes.
Top 6 risks &amp; mitigations and overall program confidence (1–5).
10 tough SVP questions with 1-sentence model answers and which answers need finance/vendor/SME backup.
Validation checklist of internal docs &amp; owners I must verify prior to the meeting (list exact file names/owners or say “I couldn’t access X — please paste”).
Slide deck outline (up to 7 slides: title + 1-sentence purpose + suggested visual).
5-minute speaker notes (6 bullets) + 30s elevator pitch.
JSON object with core outputs: exec_summary, recommendation, options[], budget[], risks[], qna[], competitor_research[].
Behavior &amp; format rules:
Number every item; use short bullets. Keep exec summary first and deep backup last.
Cite every Autodesk internal doc you use (SharePoint URL + title + owner). If you can’t access SharePoint, list the exact docs you tried and ask me to paste them.
For every CES external fact, include the source URL and date and mark “external — cite source”.
Flag every assumption and give confidence (1–5) for numeric estimates.
For each ABCD KPI show baseline → target and the data source (internal doc or “assumption”).
If insufficient info, list specific clarifying questions instead of guessing.
End with a 90-minute action plan (who does what immediately).
Role-play + pressure test:
After deliverables, act as a skeptical CFO, CMO, and CRO (two hard questions each, total 6). Ask the questions, then provide concise model responses I can use in the meeting and mark which answers require backup data.
Start here: Confirm you can access Autodesk SharePoint (WWM and Program Playbook). If you cannot, list exactly which internal docs you need (FY27 Integrated Marketing Planning page, Program Playbook Scorecard, recent event P&amp;Ls, past CES learnings, Program owners) and then proceed to the public CES research.
Tone: Executive, direct, no fluff. Practical and slightly ironic if it helps land the point.&lt;/user_input&gt;</v>
      </c>
      <c r="AL31" s="26">
        <f t="array" ref="AL31">index('Response Scoring'!$G:$G,match($A31,'Response Scoring'!$A:$A,0))</f>
        <v>5</v>
      </c>
      <c r="AM31" s="26">
        <f t="shared" si="16"/>
        <v>1</v>
      </c>
      <c r="AN31" s="26" t="str">
        <f>'Raw Data'!$T27</f>
        <v>You are a Competitive Intelligence Analyst for Product &amp; Audience Marketing.
Your role is to help Product Marketing and Audience Marketing teams consistently research competitors’ products, pricing, positioning, and audience targeting, and translate that information into clear GTM and messaging implications.
Your output must be structured, repeatable, and grounded in verifiable sources so insights can be reused across campaigns, launches, and regions.
Operating Principles
Be factual, neutral, and analytical.
Prioritize structure over narrative.
Separate facts from interpretation.
Cite sources for all factual claims.
Clearly label:
Vendor-stated claims
Analyst or third-party perspectives
Your own analysis
If information is missing or unclear, state “Unknown” or “Not publicly disclosed.”
Before You Begin
If any of the following are unclear, ask a clarification question before proceeding:
Competitor name
Product(s) or solution area
Target audience (persona, role, industry)
Market segment (SMB, Mid-Market, Enterprise)
Geography
Required Research Workflow
Always follow this order and include all sections.
1. Competitor &amp; Audience Scope
State clearly:
Competitor name
Product(s)
Target industries
Target personas (role + seniority)
Market segment
Geography
2. Product &amp; Use Case Overview
Include:
Product name(s)
Core use cases
Primary problems being solved
Jobs-to-be-done (if stated or inferred)
Use bullets or tables only.
3. Pricing &amp; Packaging (GTM Impact)
If pricing is public:
Pricing tiers and list prices
Billing model
Packaging logic (good / better / best, modular, usage-based)
Free tier or trial
If pricing is not public:
State “Pricing not publicly disclosed”
Provide sourced estimates only
Always highlight:
Entry price signals
Upsell/cross-sell mechanics
Barriers to adoption
4. Positioning &amp; Messaging Analysis
Analyze:
Homepage headlines
Product page language
Campaign or launch messaging
Summarize:
Core value proposition
Primary emotional hooks
Rational proof points
Differentiation claims
Clearly separate:
Competitor-stated positioning
Your analytical interpretation
5. Audience Targeting &amp; Go-to-Market Signals
Identify:
Who they are speaking to most directly
Industry vertical focus (if any)
Buying triggers they emphasize
Language complexity (technical vs business)
Call out:
Primary vs secondary audiences
Gaps or over-focus in their targeting
6. Competitive Implications for Product &amp; Audience Marketing
Provide insights on:
Messaging white space
Overused or commoditized claims
Where Autodesk can:
Reframe the problem
Target a different audience
Lead with a different value angle
Avoid sales tactics — focus on story, audience, and narrative advantage.
7. Risks, Gaps &amp; Watch-Outs
Explicitly state:
Missing or outdated information
Assumptions made
Signals to monitor (pricing changes, messaging shifts, new vertical focus)
Mandatory Output Structure
Every response must include:
Executive Summary (maximum 5 bullets)
All sections above, in order
At least one table (pricing, positioning, or audience comparison)
Source list with URLs or document references
“Last updated” date
Restrictions
You must not:
Invent features, audiences, or pricing
Present analysis as fact
Default to Autodesk-centric bias
Write sales enablement or objection-handling content
Default Tone
Analytical
Direct
Marketing-savvy
Written for Product Marketing and Audience Marketing leaders</v>
      </c>
      <c r="AO31" s="26" t="s">
        <v>164</v>
      </c>
      <c r="AP31" s="28" t="str">
        <f>substitute('Prompt Template'!$D$2,$AN$5,$AO31)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for Product &amp; Audience Marketing.
Your role is to help Product Marketing and Audience Marketing teams consistently research competitors’ products, pricing, positioning, and audience targeting, and translate that information into clear GTM and messaging implications.
Your output must be structured, repeatable, and grounded in verifiable sources so insights can be reused across campaigns, launches, and regions.
Operating Principles
Be factual, neutral, and analytical.
Prioritize structure over narrative.
Separate facts from interpretation.
Cite sources for all factual claims.
Clearly label:
Vendor-stated claims
Analyst or third-party perspectives
Your own analysis
If information is missing or unclear, state “Unknown” or “Not publicly disclosed.”
Before You Begin
If any of the following are unclear, ask a clarification question before proceeding:
Competitor name
Product(s) or solution area
Target audience (persona, role, industry)
Market segment (SMB, Mid-Market, Enterprise)
Geography
Required Research Workflow
Always follow this order and include all sections.
1. Competitor &amp; Audience Scope
State clearly:
Competitor name
Product(s)
Target industries
Target personas (role + seniority)
Market segment
Geography
2. Product &amp; Use Case Overview
Include:
Product name(s)
Core use cases
Primary problems being solved
Jobs-to-be-done (if stated or inferred)
Use bullets or tables only.
3. Pricing &amp; Packaging (GTM Impact)
If pricing is public:
Pricing tiers and list prices
Billing model
Packaging logic (good / better / best, modular, usage-based)
Free tier or trial
If pricing is not public:
State “Pricing not publicly disclosed”
Provide sourced estimates only
Always highlight:
Entry price signals
Upsell/cross-sell mechanics
Barriers to adoption
4. Positioning &amp; Messaging Analysis
Analyze:
Homepage headlines
Product page language
Campaign or launch messaging
Summarize:
Core value proposition
Primary emotional hooks
Rational proof points
Differentiation claims
Clearly separate:
Competitor-stated positioning
Your analytical interpretation
5. Audience Targeting &amp; Go-to-Market Signals
Identify:
Who they are speaking to most directly
Industry vertical focus (if any)
Buying triggers they emphasize
Language complexity (technical vs business)
Call out:
Primary vs secondary audiences
Gaps or over-focus in their targeting
6. Competitive Implications for Product &amp; Audience Marketing
Provide insights on:
Messaging white space
Overused or commoditized claims
Where Autodesk can:
Reframe the problem
Target a different audience
Lead with a different value angle
Avoid sales tactics — focus on story, audience, and narrative advantage.
7. Risks, Gaps &amp; Watch-Outs
Explicitly state:
Missing or outdated information
Assumptions made
Signals to monitor (pricing changes, messaging shifts, new vertical focus)
Mandatory Output Structure
Every response must include:
Executive Summary (maximum 5 bullets)
All sections above, in order
At least one table (pricing, positioning, or audience comparison)
Source list with URLs or document references
“Last updated” date
Restrictions
You must not:
Invent features, audiences, or pricing
Present analysis as fact
Default to Autodesk-centric bias
Write sales enablement or objection-handling content
Default Tone
Analytical
Direct
Marketing-savvy
Written for Product Marketing and Audience Marketing leaders&lt;/user_input&gt;
</v>
      </c>
      <c r="AQ31" s="26">
        <f t="array" ref="AQ31">index('Response Scoring'!$I:$I,match($A31,'Response Scoring'!$A:$A,0))</f>
        <v>5</v>
      </c>
      <c r="AR31" s="26">
        <f t="shared" si="17"/>
        <v>1</v>
      </c>
      <c r="AS31" s="30">
        <f t="shared" si="18"/>
        <v>10</v>
      </c>
      <c r="AT31" s="26">
        <f t="shared" si="19"/>
        <v>43.625</v>
      </c>
      <c r="AU31" s="26">
        <f t="shared" si="20"/>
        <v>87.25</v>
      </c>
      <c r="AV31" s="26" t="str">
        <f t="shared" si="21"/>
        <v>AI Expert</v>
      </c>
      <c r="AW31" s="26" t="str">
        <f>'Raw Data'!U27</f>
        <v/>
      </c>
      <c r="AX31" s="26" t="str">
        <f>'Raw Data'!V27</f>
        <v/>
      </c>
      <c r="AY31" s="26" t="str">
        <f>'Raw Data'!W27</f>
        <v/>
      </c>
      <c r="AZ31" s="26" t="str">
        <f>'Raw Data'!X27</f>
        <v/>
      </c>
      <c r="BA31" s="26" t="str">
        <f>'Raw Data'!Y27</f>
        <v/>
      </c>
      <c r="BB31" s="26" t="str">
        <f>'Raw Data'!Z27</f>
        <v/>
      </c>
      <c r="BW31" s="31" t="str">
        <f>'Raw Data'!C27</f>
        <v>Growth &amp; Partner Marketing</v>
      </c>
      <c r="BZ31" s="26" t="str">
        <f>'Raw Data'!F27</f>
        <v>Director or senior Director</v>
      </c>
      <c r="CA31" s="31" t="str">
        <f>'Raw Data'!AU27</f>
        <v>The main struggle is time. there is a lot to do, and the fact that there are no AI built solution that addresses use cases from our work that are built and delivered to us in WWM. We have to build all the AI GPT's, and, this leads to a potential of many marketers and employees building the same GPT or similar over and over. Instead of a clear central repository for all GPT's based on Use cases, that we can all search via perhaps a GPT to search all GPT at Autodesk.</v>
      </c>
      <c r="CB31" s="31" t="str">
        <f>'Raw Data'!AV27</f>
        <v>no other tools for work-related use cases.</v>
      </c>
      <c r="CC31" s="31" t="str">
        <f>'Raw Data'!AW27</f>
        <v>Strongly agree</v>
      </c>
    </row>
    <row r="32" ht="15.75" customHeight="1">
      <c r="A32" s="26">
        <f>'Raw Data'!$A28</f>
        <v>26</v>
      </c>
      <c r="B32" s="26" t="str">
        <f>'Raw Data'!$G28</f>
        <v>Several times a week</v>
      </c>
      <c r="C32" s="26">
        <f t="shared" si="1"/>
        <v>0.75</v>
      </c>
      <c r="D32" s="26" t="str">
        <f>'Raw Data'!$H28</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Getting quick answers to specific questions or looking up information</v>
      </c>
      <c r="E32" s="26">
        <f t="shared" si="2"/>
        <v>2</v>
      </c>
      <c r="F32" s="27">
        <f t="shared" si="3"/>
        <v>0.6666666667</v>
      </c>
      <c r="G32" s="26" t="str">
        <f>'Raw Data'!$I28</f>
        <v>I create fresh prompts each time I use AI</v>
      </c>
      <c r="H32" s="26">
        <f t="shared" si="4"/>
        <v>0.25</v>
      </c>
      <c r="I32" s="26" t="str">
        <f>'Raw Data'!$J28</f>
        <v>Create a systematic process where AI handles data analysis and summary generation consistently</v>
      </c>
      <c r="J32" s="26">
        <f t="shared" si="5"/>
        <v>1</v>
      </c>
      <c r="K32" s="26" t="str">
        <f>'Raw Data'!$K28</f>
        <v>I would give the AI tool a the role of someone who is an experienced and effective presenters to senior stakeholders in the name of the org. In the prompt,  I would ask it to pull data from respected sources like the BBC, New York Times, Wall Street Journal for an explanation of the unfamiliar topic(s) in a way that very smart college students can understand and to provide sources. If I have the titles of the stakeholders I am presenting too, I would add those titles. If I know the geographies of the stakeholders, I would include those as well because I'd like the presentation to be received well by a variety of geographies -- not just the US, because I the presenter am based here.
For context I would explain that I need to present basic information first, and then link those insights to the strategy of our org / business so that we can take informed action. 
The expectation for this output is one that is professional and polished. If I have previous decks or spreadsheets with data and content, I would ask the AI tool to reference those. I also will ask it to ASK me questions to test my knowledge of the topic and help prepare me for questions that my senior level stakeholder audience might ask me during Q&amp;A. Once I'm satisfied with the outputs/results -- I would then ask the tool to use the final presentation content to create an executive summary, a strong opening, key bullet points as a Take Away, recommended next steps and a strong close to the presentation.  
Once I am pleased with my presentation content, I would like to practice giving my presentation with AI as a coach. But I don't know how to do that yet.</v>
      </c>
      <c r="L32" s="26" t="s">
        <v>165</v>
      </c>
      <c r="M32" s="28" t="str">
        <f>substitute('Prompt Template'!$A$2,$K$5,$L32)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the AI tool a the role of someone who is an experienced and effective presenters to senior stakeholders in the name of the org. In the prompt,  I would ask it to pull data from respected sources like the BBC, New York Times, Wall Street Journal for an explanation of the unfamiliar topic(s) in a way that very smart college students can understand and to provide sources. If I have the titles of the stakeholders I am presenting too, I would add those titles. If I know the geographies of the stakeholders, I would include those as well because I'd like the presentation to be received well by a variety of geographies -- not just the US, because I the presenter am based here.
For context I would explain that I need to present basic information first, and then link those insights to the strategy of our org / business so that we can take informed action. 
The expectation for this output is one that is professional and polished. If I have previous decks or spreadsheets with data and content, I would ask the AI tool to reference those. I also will ask it to ASK me questions to test my knowledge of the topic and help prepare me for questions that my senior level stakeholder audience might ask me during Q&amp;A. Once I'm satisfied with the outputs/results -- I would then ask the tool to use the final presentation content to create an executive summary, a strong opening, key bullet points as a Take Away, recommended next steps and a strong close to the presentation.  
Once I am pleased with my presentation content, I would like to practice giving my presentation with AI as a coach. But I don't know how to do that yet.&lt;/user_input&gt;</v>
      </c>
      <c r="N32" s="26">
        <f t="array" ref="N32">index('Response Scoring'!$C:$C,match($A32,'Response Scoring'!$A:$A,0))</f>
        <v>3</v>
      </c>
      <c r="O32" s="29">
        <f t="shared" si="6"/>
        <v>1</v>
      </c>
      <c r="P32" s="26" t="str">
        <f>'Raw Data'!$L28</f>
        <v>I've certainly used AI in the manner of the above example! Last week I used our enterprise ChatGPT to research a company based in Brazil to see if they were currently using our tools or had influence in the industries where our tools could have impact. After checking to see if the requesting group was represented in Salesforce (they were not), I moved forward to quickly pull information on this prospective account. I had the names and titles of the professionals in the group. My research helped inform the LATAM account managers and a more impactful decision was made to host a meeting in Brazil instead flying the sales team out from Brazil to greet the group for a 30 minute Gallery tour. The tour request was very last minute for a tour date in 2 days! 
Another example of where I am using AI:  I built a customer GPT -- Dynamic Tour Script Generator . Thanks to the Hackathon (led by Marcus Stallworth) I got to create something new and relevant for our team
The Autodesk Gallery and Technology Center tour programs team, has a real need to tailor our brand-forward tour scripts to specific visitor audiences (executives, partners, engineers, students, mixed groups, etc.).We want to ensure the Design and Make tour scripts explain Gallery exhibits and Technology Center industrial equipment and research artifacts in ways that resonate with the audience’s interests and goals.</v>
      </c>
      <c r="Q32" s="26" t="s">
        <v>166</v>
      </c>
      <c r="R32" s="28" t="str">
        <f>substitute('Prompt Template'!$B$2,$P$5,$Q32)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certainly used AI in the manner of the above example! Last week I used our enterprise ChatGPT to research a company based in Brazil to see if they were currently using our tools or had influence in the industries where our tools could have impact. After checking to see if the requesting group was represented in Salesforce (they were not), I moved forward to quickly pull information on this prospective account. I had the names and titles of the professionals in the group. My research helped inform the LATAM account managers and a more impactful decision was made to host a meeting in Brazil instead flying the sales team out from Brazil to greet the group for a 30 minute Gallery tour. The tour request was very last minute for a tour date in 2 days! 
Another example of where I am using AI:  I built a customer GPT -- Dynamic Tour Script Generator . Thanks to the Hackathon (led by Marcus Stallworth) I got to create something new and relevant for our team
The Autodesk Gallery and Technology Center tour programs team, has a real need to tailor our brand-forward tour scripts to specific visitor audiences (executives, partners, engineers, students, mixed groups, etc.).We want to ensure the Design and Make tour scripts explain Gallery exhibits and Technology Center industrial equipment and research artifacts in ways that resonate with the audience’s interests and goals.&lt;/user_input&gt;</v>
      </c>
      <c r="S32" s="26">
        <f t="array" ref="S32">index('Response Scoring'!$E:$E,match($A32,'Response Scoring'!$A:$A,0))</f>
        <v>2</v>
      </c>
      <c r="T32" s="29">
        <f t="shared" si="7"/>
        <v>0.6666666667</v>
      </c>
      <c r="U32" s="29">
        <f t="shared" si="8"/>
        <v>7.291666667</v>
      </c>
      <c r="V32" s="26" t="str">
        <f>'Raw Data'!$M28</f>
        <v>Analyzing presentation slides to evaluate both the visual design and written content for consistency</v>
      </c>
      <c r="W32" s="26">
        <f t="shared" si="9"/>
        <v>1</v>
      </c>
      <c r="X32" s="26" t="str">
        <f>'Raw Data'!$N28</f>
        <v>Vulnerability to manipulation by bad actors, Data privacy concerns when information is shared with an LLM, Biases in answers, Hallucinations (generating false or misleading information)</v>
      </c>
      <c r="Y32" s="26">
        <f t="shared" si="10"/>
        <v>1</v>
      </c>
      <c r="Z32" s="26" t="str">
        <f>'Raw Data'!$O28</f>
        <v>Anonymize information by removing identifying details, Use secure company instances or enterprise plans when available</v>
      </c>
      <c r="AA32" s="29">
        <f t="shared" si="11"/>
        <v>1</v>
      </c>
      <c r="AB32" s="26" t="str">
        <f>'Raw Data'!$P28</f>
        <v>Always: I routinely cross-check AI outputs with reliable sources</v>
      </c>
      <c r="AC32" s="26">
        <f t="shared" si="12"/>
        <v>1</v>
      </c>
      <c r="AD32" s="26" t="str">
        <f>'Raw Data'!$Q28</f>
        <v>Use a different AI tool to review and verify the content, Cross-reference key claims with reliable external sources, Verify any calculations or data analysis independently, Ask the same AI tool to double-check its work for accuracy</v>
      </c>
      <c r="AE32" s="26">
        <f t="shared" si="13"/>
        <v>1</v>
      </c>
      <c r="AF32" s="30">
        <f t="shared" si="14"/>
        <v>10</v>
      </c>
      <c r="AG32" s="26" t="str">
        <f>'Raw Data'!$R28</f>
        <v>Frequently: I systematically refine prompts until I'm satisfied</v>
      </c>
      <c r="AH32" s="26">
        <f t="shared" si="15"/>
        <v>1</v>
      </c>
      <c r="AI32" s="26" t="str">
        <f>'Raw Data'!$S28</f>
        <v>You said:
 You are an experienced presenter of new ideas and proposals to senior leadership of the marketing department at a Technology software company. Please provide a workflow example and questions to ask my colleagues on the Account Based Marketing teams to learn more about what they do and to reveal where in the customer relationship journey, a Design and Make Tour would have the most impact. I am preparing a presentation for a proposal for a new way to engage with prospective customers by leveraging the existing outreach of Account Based Marketing teams. Please provide customer examples, an overview of which team(s) are the point of contact for a customer looking to buy our software. Please reference and provide Sharepoint links from WWS and WWM, if available. Please focus on prospective customers and territories based in or within a 50 mile radius of these cities San Francisco, CA, Boston, MA, Birmingham, UK and Las Vegas, NV</v>
      </c>
      <c r="AJ32" s="26" t="s">
        <v>167</v>
      </c>
      <c r="AK32" s="28" t="str">
        <f>substitute('Prompt Template'!$C$2,$AI$5,$AJ32)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said:
 You are an experienced presenter of new ideas and proposals to senior leadership of the marketing department at a Technology software company. Please provide a workflow example and questions to ask my colleagues on the Account Based Marketing teams to learn more about what they do and to reveal where in the customer relationship journey, a Design and Make Tour would have the most impact. I am preparing a presentation for a proposal for a new way to engage with prospective customers by leveraging the existing outreach of Account Based Marketing teams. Please provide customer examples, an overview of which team(s) are the point of contact for a customer looking to buy our software. Please reference and provide Sharepoint links from WWS and WWM, if available. Please focus on prospective customers and territories based in or within a 50 mile radius of these cities San Francisco, CA, Boston, MA, Birmingham, UK and Las Vegas, NV&lt;/prompt&gt;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said:
 You are an experienced presenter of new ideas and proposals to senior leadership of the marketing department at a Technology software company. Please provide a workflow example and questions to ask my colleagues on the Account Based Marketing teams to learn more about what they do and to reveal where in the customer relationship journey, a Design and Make Tour would have the most impact. I am preparing a presentation for a proposal for a new way to engage with prospective customers by leveraging the existing outreach of Account Based Marketing teams. Please provide customer examples, an overview of which team(s) are the point of contact for a customer looking to buy our software. Please reference and provide Sharepoint links from WWS and WWM, if available. Please focus on prospective customers and territories based in or within a 50 mile radius of these cities San Francisco, CA, Boston, MA, Birmingham, UK and Las Vegas, NV&lt;/user_input&gt;</v>
      </c>
      <c r="AL32" s="26">
        <f t="array" ref="AL32">index('Response Scoring'!$G:$G,match($A32,'Response Scoring'!$A:$A,0))</f>
        <v>4</v>
      </c>
      <c r="AM32" s="26">
        <f t="shared" si="16"/>
        <v>0.8</v>
      </c>
      <c r="AN32" s="26" t="str">
        <f>'Raw Data'!$T28</f>
        <v>I created a Custom GPT for this task by writing a prompt using natural language and used GPT Pro. If I had any related files for it to reference too.  Here's my instructions "My team frequently researches competitors' products, pricing, and positioning. Please create a custom GPT to allow team members to gather competitive intelligence consistently. Provide geography of where customer is based/operates, links (customer websites, articles from respected industry-related journals, etc.) which I can reference, suggestions on what to look for in the data insights pulled, reveal any non-obvious insights and treads. Also, when doing math calculations, please provide the formulas to your work."</v>
      </c>
      <c r="AO32" s="26" t="s">
        <v>168</v>
      </c>
      <c r="AP32" s="28" t="str">
        <f>substitute('Prompt Template'!$D$2,$AN$5,$AO32)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created a Custom GPT for this task by writing a prompt using natural language and used GPT Pro. If I had any related files for it to reference too.  Here's my instructions "My team frequently researches competitors' products, pricing, and positioning. Please create a custom GPT to allow team members to gather competitive intelligence consistently. Provide geography of where customer is based/operates, links (customer websites, articles from respected industry-related journals, etc.) which I can reference, suggestions on what to look for in the data insights pulled, reveal any non-obvious insights and treads. Also, when doing math calculations, please provide the formulas to your work."&lt;/user_input&gt;
</v>
      </c>
      <c r="AQ32" s="26">
        <f t="array" ref="AQ32">index('Response Scoring'!$I:$I,match($A32,'Response Scoring'!$A:$A,0))</f>
        <v>2</v>
      </c>
      <c r="AR32" s="26">
        <f t="shared" si="17"/>
        <v>0.4</v>
      </c>
      <c r="AS32" s="30">
        <f t="shared" si="18"/>
        <v>6.3</v>
      </c>
      <c r="AT32" s="26">
        <f t="shared" si="19"/>
        <v>38.5375</v>
      </c>
      <c r="AU32" s="26">
        <f t="shared" si="20"/>
        <v>77.075</v>
      </c>
      <c r="AV32" s="26" t="str">
        <f t="shared" si="21"/>
        <v>AI Practitioner</v>
      </c>
      <c r="AW32" s="26" t="str">
        <f>'Raw Data'!U28</f>
        <v/>
      </c>
      <c r="AX32" s="26" t="str">
        <f>'Raw Data'!V28</f>
        <v/>
      </c>
      <c r="AY32" s="26" t="str">
        <f>'Raw Data'!W28</f>
        <v/>
      </c>
      <c r="AZ32" s="26" t="str">
        <f>'Raw Data'!X28</f>
        <v/>
      </c>
      <c r="BA32" s="26" t="str">
        <f>'Raw Data'!Y28</f>
        <v/>
      </c>
      <c r="BB32" s="26" t="str">
        <f>'Raw Data'!Z28</f>
        <v/>
      </c>
      <c r="BW32" s="31" t="str">
        <f>'Raw Data'!C28</f>
        <v>Brand &amp; Creative</v>
      </c>
      <c r="BZ32" s="26" t="str">
        <f>'Raw Data'!F28</f>
        <v>Manager or Senior Manager</v>
      </c>
      <c r="CA32" s="31" t="str">
        <f>'Raw Data'!AU28</f>
        <v>What questions to ask. Like the first step in identifying what is needed and the related instructions for helping get what I need done.</v>
      </c>
      <c r="CB32" s="31" t="str">
        <f>'Raw Data'!AV28</f>
        <v>For all non-work related tasks, my preferred thought partner is Claude.ai -- I'm a subscriber. Perplexity and Gemini I use to cross compare output from Claude.ai. For Perplexity and Gemini, I have free versions.</v>
      </c>
      <c r="CC32" s="31" t="str">
        <f>'Raw Data'!AW28</f>
        <v>Agree</v>
      </c>
    </row>
    <row r="33" ht="15.75" customHeight="1">
      <c r="A33" s="26">
        <f>'Raw Data'!$A29</f>
        <v>27</v>
      </c>
      <c r="B33" s="26" t="str">
        <f>'Raw Data'!$G29</f>
        <v>Several times a week</v>
      </c>
      <c r="C33" s="26">
        <f t="shared" si="1"/>
        <v>0.75</v>
      </c>
      <c r="D33" s="26" t="str">
        <f>'Raw Data'!$H29</f>
        <v>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v>
      </c>
      <c r="E33" s="26">
        <f t="shared" si="2"/>
        <v>3</v>
      </c>
      <c r="F33" s="27">
        <f t="shared" si="3"/>
        <v>1</v>
      </c>
      <c r="G33" s="26" t="str">
        <f>'Raw Data'!$I29</f>
        <v>I've built custom AI tools (i.e. CustomGPTs, Copilot Agents) for repetitive tasks</v>
      </c>
      <c r="H33" s="26">
        <f t="shared" si="4"/>
        <v>0.75</v>
      </c>
      <c r="I33" s="26" t="str">
        <f>'Raw Data'!$J29</f>
        <v>Create a systematic process where AI handles data analysis and summary generation consistently</v>
      </c>
      <c r="J33" s="26">
        <f t="shared" si="5"/>
        <v>1</v>
      </c>
      <c r="K33" s="26" t="str">
        <f>'Raw Data'!$K29</f>
        <v>I would first ask ChatGPT to make me an expert on the subject. I would reach anything and everything it gave me, and explore the source material it provides to ensure accuracy and go deeper into subject matter I had questions about. I would ask it questions to help deepen my understanding. I would also ask it for a first draft of a presentation, based on the guidelines for the task. I would then manually build the deck with a combination of its suggestions and my own understanding. I would use CoPilot in PowerPoint to review and provide recommendations to make it better.  I would follow or decline based on what I wanted the presentation to be.</v>
      </c>
      <c r="L33" s="26" t="s">
        <v>169</v>
      </c>
      <c r="M33" s="28" t="str">
        <f>substitute('Prompt Template'!$A$2,$K$5,$L33)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ask ChatGPT to make me an expert on the subject. I would reach anything and everything it gave me, and explore the source material it provides to ensure accuracy and go deeper into subject matter I had questions about. I would ask it questions to help deepen my understanding. I would also ask it for a first draft of a presentation, based on the guidelines for the task. I would then manually build the deck with a combination of its suggestions and my own understanding. I would use CoPilot in PowerPoint to review and provide recommendations to make it better.  I would follow or decline based on what I wanted the presentation to be.&lt;/user_input&gt;</v>
      </c>
      <c r="N33" s="26">
        <f t="array" ref="N33">index('Response Scoring'!$C:$C,match($A33,'Response Scoring'!$A:$A,0))</f>
        <v>3</v>
      </c>
      <c r="O33" s="29">
        <f t="shared" si="6"/>
        <v>1</v>
      </c>
      <c r="P33" s="26" t="str">
        <f>'Raw Data'!$L29</f>
        <v>I used it recently to analyze data that would have taken me ages to figure out. It was able to pull the highlights and trends in minutes, so I could put together a report in just a couple of hours. I did rebuild most graphs in PPT so I could easily change (vs importing from ChatGPT), but it was able to provide the talking points and the slide content in much easier fashion than I could have without it. 
I also use it to take complicated and technical content and break down into more approachable language, so I can better understand some of the complexities that would normally go over my head and integrate that into the content I am writing.</v>
      </c>
      <c r="Q33" s="26" t="s">
        <v>170</v>
      </c>
      <c r="R33" s="28" t="str">
        <f>substitute('Prompt Template'!$B$2,$P$5,$Q33)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it recently to analyze data that would have taken me ages to figure out. It was able to pull the highlights and trends in minutes, so I could put together a report in just a couple of hours. I did rebuild most graphs in PPT so I could easily change (vs importing from ChatGPT), but it was able to provide the talking points and the slide content in much easier fashion than I could have without it. 
I also use it to take complicated and technical content and break down into more approachable language, so I can better understand some of the complexities that would normally go over my head and integrate that into the content I am writing.&lt;/user_input&gt;</v>
      </c>
      <c r="S33" s="26">
        <f t="array" ref="S33">index('Response Scoring'!$E:$E,match($A33,'Response Scoring'!$A:$A,0))</f>
        <v>2</v>
      </c>
      <c r="T33" s="29">
        <f t="shared" si="7"/>
        <v>0.6666666667</v>
      </c>
      <c r="U33" s="29">
        <f t="shared" si="8"/>
        <v>8.291666667</v>
      </c>
      <c r="V33" s="26" t="str">
        <f>'Raw Data'!$M29</f>
        <v>Analyzing presentation slides to evaluate both the visual design and written content for consistency</v>
      </c>
      <c r="W33" s="26">
        <f t="shared" si="9"/>
        <v>1</v>
      </c>
      <c r="X33" s="26" t="str">
        <f>'Raw Data'!$N29</f>
        <v>Hallucinations (generating false or misleading information), Biases in answers</v>
      </c>
      <c r="Y33" s="26">
        <f t="shared" si="10"/>
        <v>0.5</v>
      </c>
      <c r="Z33" s="26" t="str">
        <f>'Raw Data'!$O29</f>
        <v>Avoid using AI tools for anything work-related, Only share information that you would be comfortable sharing internally with a colleague, Use secure company instances or enterprise plans when available</v>
      </c>
      <c r="AA33" s="29">
        <f t="shared" si="11"/>
        <v>0</v>
      </c>
      <c r="AB33" s="26" t="str">
        <f>'Raw Data'!$P29</f>
        <v>Always: I routinely cross-check AI outputs with reliable sources</v>
      </c>
      <c r="AC33" s="26">
        <f t="shared" si="12"/>
        <v>1</v>
      </c>
      <c r="AD33" s="26" t="str">
        <f>'Raw Data'!$Q29</f>
        <v>Cross-reference key claims with reliable external sources, Ask the same AI tool to double-check its work for accuracy</v>
      </c>
      <c r="AE33" s="26">
        <f t="shared" si="13"/>
        <v>0.5</v>
      </c>
      <c r="AF33" s="30">
        <f t="shared" si="14"/>
        <v>6</v>
      </c>
      <c r="AG33" s="26" t="str">
        <f>'Raw Data'!$R29</f>
        <v>Sometimes: I iterate 2-3 times to reach a good result</v>
      </c>
      <c r="AH33" s="26">
        <f t="shared" si="15"/>
        <v>0.67</v>
      </c>
      <c r="AI33" s="26" t="str">
        <f>'Raw Data'!$S29</f>
        <v>Assuming I am not running the meeting or owning the new initiative and just attending/participating, I would run two searches, tweakingas I need to in order to get the info I would need to feel prepared. 
For the web-related ChatGPT:
I am invited to a meeting tomorrow on [subject matter]. Act as a [subject matter] expert and help prepare me for the meeting. Provide content in easy to read bullets and link out to your sources so I can read more if I want to. Give a high-level overview of the [subject] and then deep dive into what might come up in the meeting. 
I would then switch to 'company knowledge' and start a new search asking it to tell me everything it knows about [initiative name] and help me get up to speed ahead of the tmeeting tomorrow.</v>
      </c>
      <c r="AJ33" s="26" t="s">
        <v>171</v>
      </c>
      <c r="AK33" s="28" t="str">
        <f>substitute('Prompt Template'!$C$2,$AI$5,$AJ33)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&lt;prompt&gt;Assuming I am not running the meeting or owning the new initiative and just attending/participating, I would run two searches, tweakingas I need to in order to get the info I would need to feel prepared. 
For the web-related ChatGPT:
I am invited to a meeting tomorrow on [subject matter]. Act as a [subject matter] expert and help prepare me for the meeting. Provide content in easy to read bullets and link out to your sources so I can read more if I want to. Give a high-level overview of the [subject] and then deep dive into what might come up in the meeting. 
I would then switch to 'company knowledge' and start a new search asking it to tell me everything it knows about [initiative name] and help me get up to speed ahead of the tmeeting tomorrow.&lt;/prompt&gt;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&lt;user_input&gt;Assuming I am not running the meeting or owning the new initiative and just attending/participating, I would run two searches, tweakingas I need to in order to get the info I would need to feel prepared. 
For the web-related ChatGPT:
I am invited to a meeting tomorrow on [subject matter]. Act as a [subject matter] expert and help prepare me for the meeting. Provide content in easy to read bullets and link out to your sources so I can read more if I want to. Give a high-level overview of the [subject] and then deep dive into what might come up in the meeting. 
I would then switch to 'company knowledge' and start a new search asking it to tell me everything it knows about [initiative name] and help me get up to speed ahead of the tmeeting tomorrow.&lt;/user_input&gt;</v>
      </c>
      <c r="AL33" s="26">
        <f t="array" ref="AL33">index('Response Scoring'!$G:$G,match($A33,'Response Scoring'!$A:$A,0))</f>
        <v>4</v>
      </c>
      <c r="AM33" s="26">
        <f t="shared" si="16"/>
        <v>0.8</v>
      </c>
      <c r="AN33" s="26" t="str">
        <f>'Raw Data'!$T29</f>
        <v>I would ask ChatGPT: "Help me create custom GPT instructions for a GPT that will research competitors products, pricing, and positioning. I want users to input the name of a competitor, and it would spit out its products and current pricing. I want it to share any and all news related to these products and conduct an analysis of the competitor compared to Autodesk. Based on what you know, what else should I make sure my custom GPT has?
and then I would factor in any of the suggestions it provided, and once I was good with what the output would be, I would ask it to provide the instructions in markdown language and paste into a new GPT.</v>
      </c>
      <c r="AO33" s="26" t="s">
        <v>172</v>
      </c>
      <c r="AP33" s="28" t="str">
        <f>substitute('Prompt Template'!$D$2,$AN$5,$AO33)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ask ChatGPT: "Help me create custom GPT instructions for a GPT that will research competitors products, pricing, and positioning. I want users to input the name of a competitor, and it would spit out its products and current pricing. I want it to share any and all news related to these products and conduct an analysis of the competitor compared to Autodesk. Based on what you know, what else should I make sure my custom GPT has?
and then I would factor in any of the suggestions it provided, and once I was good with what the output would be, I would ask it to provide the instructions in markdown language and paste into a new GPT.&lt;/user_input&gt;
</v>
      </c>
      <c r="AQ33" s="26">
        <f t="array" ref="AQ33">index('Response Scoring'!$I:$I,match($A33,'Response Scoring'!$A:$A,0))</f>
        <v>1</v>
      </c>
      <c r="AR33" s="26">
        <f t="shared" si="17"/>
        <v>0.2</v>
      </c>
      <c r="AS33" s="30">
        <f t="shared" si="18"/>
        <v>4.805</v>
      </c>
      <c r="AT33" s="26">
        <f t="shared" si="19"/>
        <v>31.0475</v>
      </c>
      <c r="AU33" s="26">
        <f t="shared" si="20"/>
        <v>62.095</v>
      </c>
      <c r="AV33" s="26" t="str">
        <f t="shared" si="21"/>
        <v>AI Practitioner</v>
      </c>
      <c r="AW33" s="26" t="str">
        <f>'Raw Data'!U29</f>
        <v/>
      </c>
      <c r="AX33" s="26" t="str">
        <f>'Raw Data'!V29</f>
        <v/>
      </c>
      <c r="AY33" s="26" t="str">
        <f>'Raw Data'!W29</f>
        <v/>
      </c>
      <c r="AZ33" s="26" t="str">
        <f>'Raw Data'!X29</f>
        <v/>
      </c>
      <c r="BA33" s="26" t="str">
        <f>'Raw Data'!Y29</f>
        <v/>
      </c>
      <c r="BB33" s="26" t="str">
        <f>'Raw Data'!Z29</f>
        <v/>
      </c>
      <c r="BW33" s="31" t="str">
        <f>'Raw Data'!C29</f>
        <v>Global Communications</v>
      </c>
      <c r="BZ33" s="26" t="str">
        <f>'Raw Data'!F29</f>
        <v>Individual Contributor</v>
      </c>
      <c r="CA33" s="31" t="str">
        <f>'Raw Data'!AU29</f>
        <v>I think I struggle most with getting all the information I need back without a lot of back and forth with the model. I find that I often have to tweak my prompt, or go back and keep asking it questions, to make sure I feel confident in what I have.</v>
      </c>
      <c r="CB33" s="31" t="str">
        <f>'Raw Data'!AV29</f>
        <v>none</v>
      </c>
      <c r="CC33" s="31" t="str">
        <f>'Raw Data'!AW29</f>
        <v>Agree</v>
      </c>
    </row>
    <row r="34" ht="15.75" customHeight="1">
      <c r="A34" s="26">
        <f>'Raw Data'!$A30</f>
        <v>28</v>
      </c>
      <c r="B34" s="26" t="str">
        <f>'Raw Data'!$G30</f>
        <v>Weekly</v>
      </c>
      <c r="C34" s="26">
        <f t="shared" si="1"/>
        <v>0.5</v>
      </c>
      <c r="D34" s="26" t="str">
        <f>'Raw Data'!$H30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34" s="26">
        <f t="shared" si="2"/>
        <v>3</v>
      </c>
      <c r="F34" s="27">
        <f t="shared" si="3"/>
        <v>1</v>
      </c>
      <c r="G34" s="26" t="str">
        <f>'Raw Data'!$I30</f>
        <v>I create fresh prompts each time I use AI</v>
      </c>
      <c r="H34" s="26">
        <f t="shared" si="4"/>
        <v>0.25</v>
      </c>
      <c r="I34" s="26" t="str">
        <f>'Raw Data'!$J30</f>
        <v>Create a systematic process where AI handles data analysis and summary generation consistently</v>
      </c>
      <c r="J34" s="26">
        <f t="shared" si="5"/>
        <v>1</v>
      </c>
      <c r="K34" s="26" t="str">
        <f>'Raw Data'!$K30</f>
        <v>research, outline, drafting slides</v>
      </c>
      <c r="L34" s="26" t="s">
        <v>173</v>
      </c>
      <c r="M34" s="28" t="str">
        <f>substitute('Prompt Template'!$A$2,$K$5,$L34)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outline, drafting slides&lt;/user_input&gt;</v>
      </c>
      <c r="N34" s="26">
        <f t="array" ref="N34">index('Response Scoring'!$C:$C,match($A34,'Response Scoring'!$A:$A,0))</f>
        <v>2</v>
      </c>
      <c r="O34" s="29">
        <f t="shared" si="6"/>
        <v>0.6666666667</v>
      </c>
      <c r="P34" s="26" t="str">
        <f>'Raw Data'!$L30</f>
        <v>Research, data analysis, and drafting for content creation</v>
      </c>
      <c r="Q34" s="26" t="s">
        <v>174</v>
      </c>
      <c r="R34" s="28" t="str">
        <f>substitute('Prompt Template'!$B$2,$P$5,$Q34)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data analysis, and drafting for content creation&lt;/user_input&gt;</v>
      </c>
      <c r="S34" s="26">
        <f t="array" ref="S34">index('Response Scoring'!$E:$E,match($A34,'Response Scoring'!$A:$A,0))</f>
        <v>1</v>
      </c>
      <c r="T34" s="29">
        <f t="shared" si="7"/>
        <v>0.3333333333</v>
      </c>
      <c r="U34" s="29">
        <f t="shared" si="8"/>
        <v>5.666666667</v>
      </c>
      <c r="V34" s="26" t="str">
        <f>'Raw Data'!$M30</f>
        <v>Analyzing presentation slides to evaluate both the visual design and written content for consistency</v>
      </c>
      <c r="W34" s="26">
        <f t="shared" si="9"/>
        <v>1</v>
      </c>
      <c r="X34" s="26" t="str">
        <f>'Raw Data'!$N30</f>
        <v>Hallucinations (generating false or misleading information), Biases in answers, Vulnerability to manipulation by bad actors</v>
      </c>
      <c r="Y34" s="26">
        <f t="shared" si="10"/>
        <v>0.75</v>
      </c>
      <c r="Z34" s="26" t="str">
        <f>'Raw Data'!$O30</f>
        <v>Verify that the AI tool has SSL/HTTPS encryption before using it, Anonymize information by removing identifying details, Use secure company instances or enterprise plans when available</v>
      </c>
      <c r="AA34" s="29">
        <f t="shared" si="11"/>
        <v>0</v>
      </c>
      <c r="AB34" s="26" t="str">
        <f>'Raw Data'!$P30</f>
        <v>Always: I routinely cross-check AI outputs with reliable sources</v>
      </c>
      <c r="AC34" s="26">
        <f t="shared" si="12"/>
        <v>1</v>
      </c>
      <c r="AD34" s="26" t="str">
        <f>'Raw Data'!$Q30</f>
        <v>Look for professional formatting and proper grammar, Cross-reference key claims with reliable external sources, Ask the same AI tool to double-check its work for accuracy, Use a different AI tool to review and verify the content</v>
      </c>
      <c r="AE34" s="26">
        <f t="shared" si="13"/>
        <v>0</v>
      </c>
      <c r="AF34" s="30">
        <f t="shared" si="14"/>
        <v>5.5</v>
      </c>
      <c r="AG34" s="26" t="str">
        <f>'Raw Data'!$R30</f>
        <v>Sometimes: I iterate 2-3 times to reach a good result</v>
      </c>
      <c r="AH34" s="26">
        <f t="shared" si="15"/>
        <v>0.67</v>
      </c>
      <c r="AI34" s="26" t="str">
        <f>'Raw Data'!$S30</f>
        <v>I need to prepare for a work meeting to discuss a new content initiative to support our account-based marketing campaigns. This is an internal meeting. I work for Autodesk and my role is content manager. The meeting is aimed to present the initiative, consolidate stakeholders' feedback, and finalise a plan. My stakeholders are account-based marketing team. Can you please create a meeting agenda including the key discussion points, and a process of collaboration?</v>
      </c>
      <c r="AJ34" s="26" t="s">
        <v>175</v>
      </c>
      <c r="AK34" s="28" t="str">
        <f>substitute('Prompt Template'!$C$2,$AI$5,$AJ34)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work meeting to discuss a new content initiative to support our account-based marketing campaigns. This is an internal meeting. I work for Autodesk and my role is content manager. The meeting is aimed to present the initiative, consolidate stakeholders' feedback, and finalise a plan. My stakeholders are account-based marketing team. Can you please create a meeting agenda including the key discussion points, and a process of collaboration?&lt;/prompt&gt;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work meeting to discuss a new content initiative to support our account-based marketing campaigns. This is an internal meeting. I work for Autodesk and my role is content manager. The meeting is aimed to present the initiative, consolidate stakeholders' feedback, and finalise a plan. My stakeholders are account-based marketing team. Can you please create a meeting agenda including the key discussion points, and a process of collaboration?&lt;/user_input&gt;</v>
      </c>
      <c r="AL34" s="26">
        <f t="array" ref="AL34">index('Response Scoring'!$G:$G,match($A34,'Response Scoring'!$A:$A,0))</f>
        <v>4</v>
      </c>
      <c r="AM34" s="26">
        <f t="shared" si="16"/>
        <v>0.8</v>
      </c>
      <c r="AN34" s="26" t="str">
        <f>'Raw Data'!$T30</f>
        <v>I don't know how to create custom AI instructions for this particular task</v>
      </c>
      <c r="AO34" s="26" t="s">
        <v>176</v>
      </c>
      <c r="AP34" s="28" t="str">
        <f>substitute('Prompt Template'!$D$2,$AN$5,$AO34)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for this particular task&lt;/user_input&gt;
</v>
      </c>
      <c r="AQ34" s="26">
        <f t="array" ref="AQ34">index('Response Scoring'!$I:$I,match($A34,'Response Scoring'!$A:$A,0))</f>
        <v>0</v>
      </c>
      <c r="AR34" s="26">
        <f t="shared" si="17"/>
        <v>0</v>
      </c>
      <c r="AS34" s="30">
        <f t="shared" si="18"/>
        <v>3.805</v>
      </c>
      <c r="AT34" s="26">
        <f t="shared" si="19"/>
        <v>24.36</v>
      </c>
      <c r="AU34" s="26">
        <f t="shared" si="20"/>
        <v>48.72</v>
      </c>
      <c r="AV34" s="26" t="str">
        <f t="shared" si="21"/>
        <v>AI Experimenter</v>
      </c>
      <c r="AW34" s="26" t="str">
        <f>'Raw Data'!U30</f>
        <v/>
      </c>
      <c r="AX34" s="26" t="str">
        <f>'Raw Data'!V30</f>
        <v/>
      </c>
      <c r="AY34" s="26" t="str">
        <f>'Raw Data'!W30</f>
        <v/>
      </c>
      <c r="AZ34" s="26" t="str">
        <f>'Raw Data'!X30</f>
        <v/>
      </c>
      <c r="BA34" s="26" t="str">
        <f>'Raw Data'!Y30</f>
        <v/>
      </c>
      <c r="BB34" s="26" t="str">
        <f>'Raw Data'!Z30</f>
        <v/>
      </c>
      <c r="BW34" s="31" t="str">
        <f>'Raw Data'!C30</f>
        <v>Industry Portfolio &amp; Emerging Marketing</v>
      </c>
      <c r="BZ34" s="26" t="str">
        <f>'Raw Data'!F30</f>
        <v>Individual Contributor</v>
      </c>
      <c r="CA34" s="31" t="str">
        <f>'Raw Data'!AU30</f>
        <v>Create good prompts and agents</v>
      </c>
      <c r="CB34" s="31" t="str">
        <f>'Raw Data'!AV30</f>
        <v>Gemini</v>
      </c>
      <c r="CC34" s="31" t="str">
        <f>'Raw Data'!AW30</f>
        <v>Agree</v>
      </c>
    </row>
    <row r="35" ht="15.75" customHeight="1">
      <c r="A35" s="26">
        <f>'Raw Data'!$A31</f>
        <v>29</v>
      </c>
      <c r="B35" s="26" t="str">
        <f>'Raw Data'!$G31</f>
        <v>Daily</v>
      </c>
      <c r="C35" s="26">
        <f t="shared" si="1"/>
        <v>1</v>
      </c>
      <c r="D35" s="26" t="str">
        <f>'Raw Data'!$H31</f>
        <v>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v>
      </c>
      <c r="E35" s="26">
        <f t="shared" si="2"/>
        <v>3</v>
      </c>
      <c r="F35" s="27">
        <f t="shared" si="3"/>
        <v>1</v>
      </c>
      <c r="G35" s="26" t="str">
        <f>'Raw Data'!$I31</f>
        <v>I create fresh prompts each time I use AI</v>
      </c>
      <c r="H35" s="26">
        <f t="shared" si="4"/>
        <v>0.25</v>
      </c>
      <c r="I35" s="26" t="str">
        <f>'Raw Data'!$J31</f>
        <v>Create a systematic process where AI handles data analysis and summary generation consistently</v>
      </c>
      <c r="J35" s="26">
        <f t="shared" si="5"/>
        <v>1</v>
      </c>
      <c r="K35" s="26" t="str">
        <f>'Raw Data'!$K31</f>
        <v>I will use AI to help polish the final deliverable by improving consistency, clarity, headlines, and visuals, while I remain accountable for the final review. As the topic is unfamiliar, I'd start by asking AI to bring me up to speed on the understading of the topic at a high level and then deep dive into the topic's priorities. Overall, it acts as a strategic thought partner—speeding up understanding, enhancing clarity, and allowing me to focus on higher‑level judgment, stakeholder alignment, and delivering an accurate, impactful presentation.</v>
      </c>
      <c r="L35" s="26" t="s">
        <v>177</v>
      </c>
      <c r="M35" s="28" t="str">
        <f>substitute('Prompt Template'!$A$2,$K$5,$L35)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help polish the final deliverable by improving consistency, clarity, headlines, and visuals, while I remain accountable for the final review. As the topic is unfamiliar, I'd start by asking AI to bring me up to speed on the understading of the topic at a high level and then deep dive into the topic's priorities. Overall, it acts as a strategic thought partner—speeding up understanding, enhancing clarity, and allowing me to focus on higher‑level judgment, stakeholder alignment, and delivering an accurate, impactful presentation.&lt;/user_input&gt;</v>
      </c>
      <c r="N35" s="26">
        <f t="array" ref="N35">index('Response Scoring'!$C:$C,match($A35,'Response Scoring'!$A:$A,0))</f>
        <v>2</v>
      </c>
      <c r="O35" s="29">
        <f t="shared" si="6"/>
        <v>0.6666666667</v>
      </c>
      <c r="P35" s="26" t="str">
        <f>'Raw Data'!$L31</f>
        <v>AI helps me accelerate data analysis, sharpen communications, and rapidly explore solutions to recurring operational issues, freeing me to focus on higher‑value decision‑making.</v>
      </c>
      <c r="Q35" s="26" t="s">
        <v>178</v>
      </c>
      <c r="R35" s="28" t="str">
        <f>substitute('Prompt Template'!$B$2,$P$5,$Q35)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helps me accelerate data analysis, sharpen communications, and rapidly explore solutions to recurring operational issues, freeing me to focus on higher‑value decision‑making.&lt;/user_input&gt;</v>
      </c>
      <c r="S35" s="26">
        <f t="array" ref="S35">index('Response Scoring'!$E:$E,match($A35,'Response Scoring'!$A:$A,0))</f>
        <v>2</v>
      </c>
      <c r="T35" s="29">
        <f t="shared" si="7"/>
        <v>0.6666666667</v>
      </c>
      <c r="U35" s="29">
        <f t="shared" si="8"/>
        <v>7.25</v>
      </c>
      <c r="V35" s="26" t="str">
        <f>'Raw Data'!$M31</f>
        <v>Analyzing presentation slides to evaluate both the visual design and written content for consistency</v>
      </c>
      <c r="W35" s="26">
        <f t="shared" si="9"/>
        <v>1</v>
      </c>
      <c r="X35" s="26" t="str">
        <f>'Raw Data'!$N31</f>
        <v>Hallucinations (generating false or misleading information), Data privacy concerns when information is shared with an LLM</v>
      </c>
      <c r="Y35" s="26">
        <f t="shared" si="10"/>
        <v>0.5</v>
      </c>
      <c r="Z35" s="26" t="str">
        <f>'Raw Data'!$O31</f>
        <v>Use secure company instances or enterprise plans when available, Anonymize information by removing identifying details, Verify that the AI tool has SSL/HTTPS encryption before using it</v>
      </c>
      <c r="AA35" s="29">
        <f t="shared" si="11"/>
        <v>0</v>
      </c>
      <c r="AB35" s="26" t="str">
        <f>'Raw Data'!$P31</f>
        <v>Sometimes: I do a quick check against known data or references</v>
      </c>
      <c r="AC35" s="26">
        <f t="shared" si="12"/>
        <v>0.67</v>
      </c>
      <c r="AD35" s="26" t="str">
        <f>'Raw Data'!$Q31</f>
        <v>Use a different AI tool to review and verify the content, Look for professional formatting and proper grammar, Verify any calculations or data analysis independently, Cross-reference key claims with reliable external sources</v>
      </c>
      <c r="AE35" s="26">
        <f t="shared" si="13"/>
        <v>0</v>
      </c>
      <c r="AF35" s="30">
        <f t="shared" si="14"/>
        <v>4.34</v>
      </c>
      <c r="AG35" s="26" t="str">
        <f>'Raw Data'!$R31</f>
        <v>Sometimes: I iterate 2-3 times to reach a good result</v>
      </c>
      <c r="AH35" s="26">
        <f t="shared" si="15"/>
        <v>0.67</v>
      </c>
      <c r="AI35" s="26" t="str">
        <f>'Raw Data'!$S31</f>
        <v>I’m preparing for a meeting to discuss a new initiative. Help me get ready by:
1. Summarizing the core problem this initiative addresses,
2. Clarifying the value, expected outcomes, and risks,
3. Suggesting the key questions stakeholders are likely to ask,
4. Proposing a clear and compelling storyline I can use to explain the initiative (including the ‘what’, ‘why’, and ‘how’), and
5. Identifying any data, examples, or success metrics I should bring to strengthen the proposal.
6. Anything else on the topic above [ ] that you might believe is worth exploring on the call.</v>
      </c>
      <c r="AJ35" s="26" t="s">
        <v>179</v>
      </c>
      <c r="AK35" s="28" t="str">
        <f>substitute('Prompt Template'!$C$2,$AI$5,$AJ35)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 Help me get ready by:
1. Summarizing the core problem this initiative addresses,
2. Clarifying the value, expected outcomes, and risks,
3. Suggesting the key questions stakeholders are likely to ask,
4. Proposing a clear and compelling storyline I can use to explain the initiative (including the ‘what’, ‘why’, and ‘how’), and
5. Identifying any data, examples, or success metrics I should bring to strengthen the proposal.
6. Anything else on the topic above [ ] that you might believe is worth exploring on the call.&lt;/prompt&gt;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 Help me get ready by:
1. Summarizing the core problem this initiative addresses,
2. Clarifying the value, expected outcomes, and risks,
3. Suggesting the key questions stakeholders are likely to ask,
4. Proposing a clear and compelling storyline I can use to explain the initiative (including the ‘what’, ‘why’, and ‘how’), and
5. Identifying any data, examples, or success metrics I should bring to strengthen the proposal.
6. Anything else on the topic above [ ] that you might believe is worth exploring on the call.&lt;/user_input&gt;</v>
      </c>
      <c r="AL35" s="26">
        <f t="array" ref="AL35">index('Response Scoring'!$G:$G,match($A35,'Response Scoring'!$A:$A,0))</f>
        <v>3</v>
      </c>
      <c r="AM35" s="26">
        <f t="shared" si="16"/>
        <v>0.6</v>
      </c>
      <c r="AN35" s="26" t="str">
        <f>'Raw Data'!$T31</f>
        <v>Side‑by‑side comparison of {Competitor A} vs {Competitor B} for AEC enterprise: capabilities, packaging, publicly posted prices, ICP, and 3 takeaways.</v>
      </c>
      <c r="AO35" s="26" t="s">
        <v>180</v>
      </c>
      <c r="AP35" s="28" t="str">
        <f>substitute('Prompt Template'!$D$2,$AN$5,$AO35)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&lt;user_input&gt;Side‑by‑side comparison of {Competitor A} vs {Competitor B} for AEC enterprise: capabilities, packaging, publicly posted prices, ICP, and 3 takeaways.&lt;/user_input&gt;
</v>
      </c>
      <c r="AQ35" s="26">
        <f t="array" ref="AQ35">index('Response Scoring'!$I:$I,match($A35,'Response Scoring'!$A:$A,0))</f>
        <v>2</v>
      </c>
      <c r="AR35" s="26">
        <f t="shared" si="17"/>
        <v>0.4</v>
      </c>
      <c r="AS35" s="30">
        <f t="shared" si="18"/>
        <v>5.105</v>
      </c>
      <c r="AT35" s="26">
        <f t="shared" si="19"/>
        <v>27.595</v>
      </c>
      <c r="AU35" s="26">
        <f t="shared" si="20"/>
        <v>55.19</v>
      </c>
      <c r="AV35" s="26" t="str">
        <f t="shared" si="21"/>
        <v>AI Experimenter</v>
      </c>
      <c r="AW35" s="26" t="str">
        <f>'Raw Data'!U31</f>
        <v/>
      </c>
      <c r="AX35" s="26" t="str">
        <f>'Raw Data'!V31</f>
        <v/>
      </c>
      <c r="AY35" s="26" t="str">
        <f>'Raw Data'!W31</f>
        <v/>
      </c>
      <c r="AZ35" s="26" t="str">
        <f>'Raw Data'!X31</f>
        <v/>
      </c>
      <c r="BA35" s="26" t="str">
        <f>'Raw Data'!Y31</f>
        <v/>
      </c>
      <c r="BB35" s="26" t="str">
        <f>'Raw Data'!Z31</f>
        <v/>
      </c>
      <c r="BW35" s="31" t="str">
        <f>'Raw Data'!C31</f>
        <v>Digital &amp; eCommerce</v>
      </c>
      <c r="BZ35" s="26" t="str">
        <f>'Raw Data'!F31</f>
        <v>Individual Contributor</v>
      </c>
      <c r="CA35" s="31" t="str">
        <f>'Raw Data'!AU31</f>
        <v>The bandwidth to dedicate to training and creating agents.</v>
      </c>
      <c r="CB35" s="31" t="str">
        <f>'Raw Data'!AV31</f>
        <v>None for work, as I only use the approved LLMs Copilot and GPT. On personal stuff, Gemini</v>
      </c>
      <c r="CC35" s="31" t="str">
        <f>'Raw Data'!AW31</f>
        <v>Neutral</v>
      </c>
    </row>
    <row r="36" ht="15.75" customHeight="1">
      <c r="A36" s="26">
        <f>'Raw Data'!$A32</f>
        <v>30</v>
      </c>
      <c r="B36" s="26" t="str">
        <f>'Raw Data'!$G32</f>
        <v>Several times a week</v>
      </c>
      <c r="C36" s="26">
        <f t="shared" si="1"/>
        <v>0.75</v>
      </c>
      <c r="D36" s="26" t="str">
        <f>'Raw Data'!$H32</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36" s="26">
        <f t="shared" si="2"/>
        <v>2</v>
      </c>
      <c r="F36" s="27">
        <f t="shared" si="3"/>
        <v>0.6666666667</v>
      </c>
      <c r="G36" s="26" t="str">
        <f>'Raw Data'!$I32</f>
        <v>I create fresh prompts each time I use AI</v>
      </c>
      <c r="H36" s="26">
        <f t="shared" si="4"/>
        <v>0.25</v>
      </c>
      <c r="I36" s="26" t="str">
        <f>'Raw Data'!$J32</f>
        <v>Use AI to help analyze each data source, then compile results manually</v>
      </c>
      <c r="J36" s="26">
        <f t="shared" si="5"/>
        <v>0.67</v>
      </c>
      <c r="K36" s="26" t="str">
        <f>'Raw Data'!$K32</f>
        <v>I start by having an ADSK AI summarize relevant institutional knowledge from company documents to quickly establish context and reduce discovery time. I then use AI to generate and refine key talking points aligned to the presentation objective and the stakeholder organization’s strategic priorities, including outlining a clear narrative arc and recommended presentation techniques.
I apply iterative prompting to pressure-test the storyline, tighten the message, and role-play critical stakeholders to ensure clarity, relevance, and executive-level concision. I also use AI to structure content for presentation formats (e.g., slide outlines and headlines), which speeds up content development, even though final visual design and brand execution remain a human-led step.
In parallel, I use AI-supported research and light stakeholder profiling to anticipate priorities, decision styles, and potential objections, allowing me to position the presentation more effectively. The final presentation is then socialized with peers for feedback and refinement before delivery. This approach significantly reduces preparation time while improving strategic alignment, message discipline, and stakeholder impact.</v>
      </c>
      <c r="L36" s="26" t="s">
        <v>181</v>
      </c>
      <c r="M36" s="28" t="str">
        <f>substitute('Prompt Template'!$A$2,$K$5,$L36)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start by having an ADSK AI summarize relevant institutional knowledge from company documents to quickly establish context and reduce discovery time. I then use AI to generate and refine key talking points aligned to the presentation objective and the stakeholder organization’s strategic priorities, including outlining a clear narrative arc and recommended presentation techniques.
I apply iterative prompting to pressure-test the storyline, tighten the message, and role-play critical stakeholders to ensure clarity, relevance, and executive-level concision. I also use AI to structure content for presentation formats (e.g., slide outlines and headlines), which speeds up content development, even though final visual design and brand execution remain a human-led step.
In parallel, I use AI-supported research and light stakeholder profiling to anticipate priorities, decision styles, and potential objections, allowing me to position the presentation more effectively. The final presentation is then socialized with peers for feedback and refinement before delivery. This approach significantly reduces preparation time while improving strategic alignment, message discipline, and stakeholder impact.&lt;/user_input&gt;</v>
      </c>
      <c r="N36" s="26">
        <f t="array" ref="N36">index('Response Scoring'!$C:$C,match($A36,'Response Scoring'!$A:$A,0))</f>
        <v>3</v>
      </c>
      <c r="O36" s="29">
        <f t="shared" si="6"/>
        <v>1</v>
      </c>
      <c r="P36" s="26" t="str">
        <f>'Raw Data'!$L32</f>
        <v>I used AI to analyze a spreadsheet of historical event data to identify usage patterns, including internal vs. external events, audience size, and frequency. This enabled a data-backed assessment of operational scope and informed planning conversations with a workplace team. The work took 1 hour instead of a full day and revealed patterns and trends I would not have surfaced through manual analysis alone.</v>
      </c>
      <c r="Q36" s="26" t="s">
        <v>182</v>
      </c>
      <c r="R36" s="28" t="str">
        <f>substitute('Prompt Template'!$B$2,$P$5,$Q36)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analyze a spreadsheet of historical event data to identify usage patterns, including internal vs. external events, audience size, and frequency. This enabled a data-backed assessment of operational scope and informed planning conversations with a workplace team. The work took 1 hour instead of a full day and revealed patterns and trends I would not have surfaced through manual analysis alone.&lt;/user_input&gt;</v>
      </c>
      <c r="S36" s="26">
        <f t="array" ref="S36">index('Response Scoring'!$E:$E,match($A36,'Response Scoring'!$A:$A,0))</f>
        <v>2</v>
      </c>
      <c r="T36" s="29">
        <f t="shared" si="7"/>
        <v>0.6666666667</v>
      </c>
      <c r="U36" s="29">
        <f t="shared" si="8"/>
        <v>6.961666667</v>
      </c>
      <c r="V36" s="26" t="str">
        <f>'Raw Data'!$M32</f>
        <v>Analyzing presentation slides to evaluate both the visual design and written content for consistency</v>
      </c>
      <c r="W36" s="26">
        <f t="shared" si="9"/>
        <v>1</v>
      </c>
      <c r="X36" s="26" t="str">
        <f>'Raw Data'!$N32</f>
        <v>Hallucinations (generating false or misleading information), Data privacy concerns when information is shared with an LLM, Biases in answers</v>
      </c>
      <c r="Y36" s="26">
        <f t="shared" si="10"/>
        <v>0.75</v>
      </c>
      <c r="Z36" s="26" t="str">
        <f>'Raw Data'!$O32</f>
        <v>Anonymize information by removing identifying details, Use secure company instances or enterprise plans when available, Avoid using AI tools for anything work-related</v>
      </c>
      <c r="AA36" s="29">
        <f t="shared" si="11"/>
        <v>0</v>
      </c>
      <c r="AB36" s="26" t="str">
        <f>'Raw Data'!$P32</f>
        <v>Sometimes: I do a quick check against known data or references</v>
      </c>
      <c r="AC36" s="26">
        <f t="shared" si="12"/>
        <v>0.67</v>
      </c>
      <c r="AD36" s="26" t="str">
        <f>'Raw Data'!$Q32</f>
        <v>Cross-reference key claims with reliable external sources, Verify any calculations or data analysis independently</v>
      </c>
      <c r="AE36" s="26">
        <f t="shared" si="13"/>
        <v>0.5</v>
      </c>
      <c r="AF36" s="30">
        <f t="shared" si="14"/>
        <v>5.84</v>
      </c>
      <c r="AG36" s="26" t="str">
        <f>'Raw Data'!$R32</f>
        <v>Frequently: I systematically refine prompts until I'm satisfied</v>
      </c>
      <c r="AH36" s="26">
        <f t="shared" si="15"/>
        <v>1</v>
      </c>
      <c r="AI36" s="26" t="str">
        <f>'Raw Data'!$S32</f>
        <v>I am a [my title] creating an new initiative that I will be discussing with my [stakeholder title]. This [stakeholder title]'s input is critical to get to the next step and green light this initiative. I want to get this stakeholder excited about this initiative making a specific tie to business goals. You are my brainstorm partner but also business/finance pressure tester thinking from [stakeholder title] perspective. Generate 3 talking points that would be persuasive, directionally aligned with the orgs strategic initiatives X,Y,Z. [I would attach any relevant documents to the prompt] and have an unexpected twist of humor to help engage the human element of the conversation. Also include what I am missing or suggest a stronger approach. Tell me why each bullet is strategic and how it can be improved.</v>
      </c>
      <c r="AJ36" s="26" t="s">
        <v>183</v>
      </c>
      <c r="AK36" s="28" t="str">
        <f>substitute('Prompt Template'!$C$2,$AI$5,$AJ36)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[my title] creating an new initiative that I will be discussing with my [stakeholder title]. This [stakeholder title]'s input is critical to get to the next step and green light this initiative. I want to get this stakeholder excited about this initiative making a specific tie to business goals. You are my brainstorm partner but also business/finance pressure tester thinking from [stakeholder title] perspective. Generate 3 talking points that would be persuasive, directionally aligned with the orgs strategic initiatives X,Y,Z. [I would attach any relevant documents to the prompt] and have an unexpected twist of humor to help engage the human element of the conversation. Also include what I am missing or suggest a stronger approach. Tell me why each bullet is strategic and how it can be improved.&lt;/prompt&gt;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[my title] creating an new initiative that I will be discussing with my [stakeholder title]. This [stakeholder title]'s input is critical to get to the next step and green light this initiative. I want to get this stakeholder excited about this initiative making a specific tie to business goals. You are my brainstorm partner but also business/finance pressure tester thinking from [stakeholder title] perspective. Generate 3 talking points that would be persuasive, directionally aligned with the orgs strategic initiatives X,Y,Z. [I would attach any relevant documents to the prompt] and have an unexpected twist of humor to help engage the human element of the conversation. Also include what I am missing or suggest a stronger approach. Tell me why each bullet is strategic and how it can be improved.&lt;/user_input&gt;</v>
      </c>
      <c r="AL36" s="26">
        <f t="array" ref="AL36">index('Response Scoring'!$G:$G,match($A36,'Response Scoring'!$A:$A,0))</f>
        <v>4</v>
      </c>
      <c r="AM36" s="26">
        <f t="shared" si="16"/>
        <v>0.8</v>
      </c>
      <c r="AN36" s="26" t="str">
        <f>'Raw Data'!$T32</f>
        <v>I need to go back and review the session that was provided on this topic. I attended online but need to go back and review slowly. I don't know how to create a custom AI Agent yet.</v>
      </c>
      <c r="AO36" s="26" t="s">
        <v>184</v>
      </c>
      <c r="AP36" s="28" t="str">
        <f>substitute('Prompt Template'!$D$2,$AN$5,$AO36)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to go back and review the session that was provided on this topic. I attended online but need to go back and review slowly. I don't know how to create a custom AI Agent yet.&lt;/user_input&gt;
</v>
      </c>
      <c r="AQ36" s="26">
        <f t="array" ref="AQ36">index('Response Scoring'!$I:$I,match($A36,'Response Scoring'!$A:$A,0))</f>
        <v>0</v>
      </c>
      <c r="AR36" s="26">
        <f t="shared" si="17"/>
        <v>0</v>
      </c>
      <c r="AS36" s="30">
        <f t="shared" si="18"/>
        <v>4.3</v>
      </c>
      <c r="AT36" s="26">
        <f t="shared" si="19"/>
        <v>27.8025</v>
      </c>
      <c r="AU36" s="26">
        <f t="shared" si="20"/>
        <v>55.605</v>
      </c>
      <c r="AV36" s="26" t="str">
        <f t="shared" si="21"/>
        <v>AI Experimenter</v>
      </c>
      <c r="AW36" s="26" t="str">
        <f>'Raw Data'!U32</f>
        <v/>
      </c>
      <c r="AX36" s="26" t="str">
        <f>'Raw Data'!V32</f>
        <v/>
      </c>
      <c r="AY36" s="26" t="str">
        <f>'Raw Data'!W32</f>
        <v/>
      </c>
      <c r="AZ36" s="26" t="str">
        <f>'Raw Data'!X32</f>
        <v/>
      </c>
      <c r="BA36" s="26" t="str">
        <f>'Raw Data'!Y32</f>
        <v/>
      </c>
      <c r="BB36" s="26" t="str">
        <f>'Raw Data'!Z32</f>
        <v/>
      </c>
      <c r="BW36" s="31" t="str">
        <f>'Raw Data'!C32</f>
        <v>Brand &amp; Creative</v>
      </c>
      <c r="BZ36" s="26" t="str">
        <f>'Raw Data'!F32</f>
        <v>Manager or Senior Manager</v>
      </c>
      <c r="CA36" s="31" t="str">
        <f>'Raw Data'!AU32</f>
        <v>#1 MY OSP CONTINGENT WORKER IS NOT ALLOWED ON THE INTERNAL CHAT GPT AND THIS SLOWS HER WORK DOWN, THIS BY FAR IS THE MOST FRUSTRATING  struggle. I've submitted several tickets with no follow up. WHO CAN I TALK TO???  #2 It takes me a long time to create a cute ppt slide. Sometimes it's the visual design (not content) that takes longer than I would like.  Is there a tool that uses brand guidelines and the PPT deck?   #3 I also don't use it for coding or formulas. Generally my work does not require either of those use cases.</v>
      </c>
      <c r="CB36" s="31" t="str">
        <f>'Raw Data'!AV32</f>
        <v>Claude, Dali</v>
      </c>
      <c r="CC36" s="31" t="str">
        <f>'Raw Data'!AW32</f>
        <v>Strongly agree</v>
      </c>
    </row>
    <row r="37" ht="15.75" customHeight="1">
      <c r="A37" s="26">
        <f>'Raw Data'!$A33</f>
        <v>31</v>
      </c>
      <c r="B37" s="26" t="str">
        <f>'Raw Data'!$G33</f>
        <v>Daily</v>
      </c>
      <c r="C37" s="26">
        <f t="shared" si="1"/>
        <v>1</v>
      </c>
      <c r="D37" s="26" t="str">
        <f>'Raw Data'!$H33</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 Building custom prompts, templates, or workflows that I reuse regularly</v>
      </c>
      <c r="E37" s="26">
        <f t="shared" si="2"/>
        <v>3</v>
      </c>
      <c r="F37" s="27">
        <f t="shared" si="3"/>
        <v>1</v>
      </c>
      <c r="G37" s="26" t="str">
        <f>'Raw Data'!$I33</f>
        <v>I've built custom AI tools (i.e. CustomGPTs, Copilot Agents) for repetitive tasks</v>
      </c>
      <c r="H37" s="26">
        <f t="shared" si="4"/>
        <v>0.75</v>
      </c>
      <c r="I37" s="26" t="str">
        <f>'Raw Data'!$J33</f>
        <v>Ask AI to write the summary after you've analyzed all the data</v>
      </c>
      <c r="J37" s="26">
        <f t="shared" si="5"/>
        <v>0.33</v>
      </c>
      <c r="K37" s="26" t="str">
        <f>'Raw Data'!$K33</f>
        <v>Day 1 — Rapid orientation &amp; scope: Understand the topic, stakeholders, goals, constraints.
Day 2 — Research synthesis: Gather and condense high-quality sources; create an evidence map.
Day 3 — Story &amp; slide outline: Turn insights into a clear narrative and slide plan.
Day 4 — Draft slides &amp; speaker notes: Generate slide text, visuals ideas, and speaker notes.
Day 5 — Data verification &amp; polish: Fact-check, cite, refine visuals and messaging.
Day 6 — Rehearse &amp; iterate: Practice delivery, refine timing and answers to tough questions.
Day 7 — Finalize &amp; prep handouts: Export slides, prepare one-page summary, and Q&amp;A cheat sheet.</v>
      </c>
      <c r="L37" s="26" t="s">
        <v>185</v>
      </c>
      <c r="M37" s="28" t="str">
        <f>substitute('Prompt Template'!$A$2,$K$5,$L37)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&lt;user_input&gt;Day 1 — Rapid orientation &amp; scope: Understand the topic, stakeholders, goals, constraints.
Day 2 — Research synthesis: Gather and condense high-quality sources; create an evidence map.
Day 3 — Story &amp; slide outline: Turn insights into a clear narrative and slide plan.
Day 4 — Draft slides &amp; speaker notes: Generate slide text, visuals ideas, and speaker notes.
Day 5 — Data verification &amp; polish: Fact-check, cite, refine visuals and messaging.
Day 6 — Rehearse &amp; iterate: Practice delivery, refine timing and answers to tough questions.
Day 7 — Finalize &amp; prep handouts: Export slides, prepare one-page summary, and Q&amp;A cheat sheet.&lt;/user_input&gt;</v>
      </c>
      <c r="N37" s="26">
        <f t="array" ref="N37">index('Response Scoring'!$C:$C,match($A37,'Response Scoring'!$A:$A,0))</f>
        <v>3</v>
      </c>
      <c r="O37" s="29">
        <f t="shared" si="6"/>
        <v>1</v>
      </c>
      <c r="P37" s="26" t="str">
        <f>'Raw Data'!$L33</f>
        <v>From my own personal use cases, it's my assistant when it comes to meeting recordings, agenda creation, approach to calls, and follow ups/action items capture. I use it for brain storming for presentations, workshops, and strategic brief creation. For my larger team, I've created custom agents and GPTs to answer general Brand questions &amp; brief creation, evaluation Brand Partnership RFPs and rate them on a predetermined rubric with negotiation recommendations to counter with, as well as general document and excel formatting and synthesis. All saving tons and tons of hours of manual effort each week.</v>
      </c>
      <c r="Q37" s="26" t="s">
        <v>186</v>
      </c>
      <c r="R37" s="28" t="str">
        <f>substitute('Prompt Template'!$B$2,$P$5,$Q37)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&lt;user_input&gt;From my own personal use cases, it's my assistant when it comes to meeting recordings, agenda creation, approach to calls, and follow ups/action items capture. I use it for brain storming for presentations, workshops, and strategic brief creation. For my larger team, I've created custom agents and GPTs to answer general Brand questions &amp; brief creation, evaluation Brand Partnership RFPs and rate them on a predetermined rubric with negotiation recommendations to counter with, as well as general document and excel formatting and synthesis. All saving tons and tons of hours of manual effort each week.&lt;/user_input&gt;</v>
      </c>
      <c r="S37" s="26">
        <f t="array" ref="S37">index('Response Scoring'!$E:$E,match($A37,'Response Scoring'!$A:$A,0))</f>
        <v>3</v>
      </c>
      <c r="T37" s="29">
        <f t="shared" si="7"/>
        <v>1</v>
      </c>
      <c r="U37" s="29">
        <f t="shared" si="8"/>
        <v>9.08</v>
      </c>
      <c r="V37" s="26" t="str">
        <f>'Raw Data'!$M33</f>
        <v>Analyzing presentation slides to evaluate both the visual design and written content for consistency</v>
      </c>
      <c r="W37" s="26">
        <f t="shared" si="9"/>
        <v>1</v>
      </c>
      <c r="X37" s="26" t="str">
        <f>'Raw Data'!$N33</f>
        <v>Data privacy concerns when information is shared with an LLM, Hallucinations (generating false or misleading information), Biases in answers, Vulnerability to manipulation by bad actors</v>
      </c>
      <c r="Y37" s="26">
        <f t="shared" si="10"/>
        <v>1</v>
      </c>
      <c r="Z37" s="26" t="str">
        <f>'Raw Data'!$O33</f>
        <v>Anonymize information by removing identifying details, Use secure company instances or enterprise plans when available</v>
      </c>
      <c r="AA37" s="29">
        <f t="shared" si="11"/>
        <v>1</v>
      </c>
      <c r="AB37" s="26" t="str">
        <f>'Raw Data'!$P33</f>
        <v>Always: I routinely cross-check AI outputs with reliable sources</v>
      </c>
      <c r="AC37" s="26">
        <f t="shared" si="12"/>
        <v>1</v>
      </c>
      <c r="AD37" s="26" t="str">
        <f>'Raw Data'!$Q33</f>
        <v>Cross-reference key claims with reliable external sources, Verify any calculations or data analysis independently, Ask the same AI tool to double-check its work for accuracy</v>
      </c>
      <c r="AE37" s="26">
        <f t="shared" si="13"/>
        <v>0.75</v>
      </c>
      <c r="AF37" s="30">
        <f t="shared" si="14"/>
        <v>9.5</v>
      </c>
      <c r="AG37" s="26" t="str">
        <f>'Raw Data'!$R33</f>
        <v>Frequently: I systematically refine prompts until I'm satisfied</v>
      </c>
      <c r="AH37" s="26">
        <f t="shared" si="15"/>
        <v>1</v>
      </c>
      <c r="AI37" s="26" t="str">
        <f>'Raw Data'!$S33</f>
        <v>You are a senior strategy advisor and communication coach.
I am preparing for an upcoming work meeting to discuss a new initiative/proposal.
Context:
Initiative/Proposal name: B2D Measurement KPIs for FY27
Organization / team context: Autodesk Marketing, with the stakeholder teams being Brand, Paid Media, Industry Marketing, and Analytics
Purpose of the meeting: Align on the key KPIs we will measure and report to leadership for our upcoming FY27 campaigns
Audience: the audience will all be decision makers from each team represented
Time allotted: 45 minutes
My role in the meeting: presenter &amp; facilitator
What I need help with:
A clear, executive-level summary of the initiative (problem, solution, value).
Key talking points tailored to this audience.
Likely questions, objections, or concerns—and strong, concise responses.
Data, metrics, or evidence I should reference to strengthen credibility.
A suggested meeting flow or agenda to keep the discussion focused.
A short closing statement or call to action.
Constraints &amp; preferences:
Tone: collaborative
Level of detail: high-level
Any sensitivities or risks to be mindful of: this will be a change in KPIs, having to balance legacy KPIs that are favored by different teams with newer, forward looking metrics that can bring in AIO and more down-funnel measurement.
Please structure your response clearly with headings and bullet points, prioritize clarity and impact, and assume the audience is busy and outcome-driven.</v>
      </c>
      <c r="AJ37" s="26" t="s">
        <v>187</v>
      </c>
      <c r="AK37" s="28" t="str">
        <f>substitute('Prompt Template'!$C$2,$AI$5,$AJ37)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strategy advisor and communication coach.
I am preparing for an upcoming work meeting to discuss a new initiative/proposal.
Context:
Initiative/Proposal name: B2D Measurement KPIs for FY27
Organization / team context: Autodesk Marketing, with the stakeholder teams being Brand, Paid Media, Industry Marketing, and Analytics
Purpose of the meeting: Align on the key KPIs we will measure and report to leadership for our upcoming FY27 campaigns
Audience: the audience will all be decision makers from each team represented
Time allotted: 45 minutes
My role in the meeting: presenter &amp; facilitator
What I need help with:
A clear, executive-level summary of the initiative (problem, solution, value).
Key talking points tailored to this audience.
Likely questions, objections, or concerns—and strong, concise responses.
Data, metrics, or evidence I should reference to strengthen credibility.
A suggested meeting flow or agenda to keep the discussion focused.
A short closing statement or call to action.
Constraints &amp; preferences:
Tone: collaborative
Level of detail: high-level
Any sensitivities or risks to be mindful of: this will be a change in KPIs, having to balance legacy KPIs that are favored by different teams with newer, forward looking metrics that can bring in AIO and more down-funnel measurement.
Please structure your response clearly with headings and bullet points, prioritize clarity and impact, and assume the audience is busy and outcome-driven.&lt;/prompt&gt;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strategy advisor and communication coach.
I am preparing for an upcoming work meeting to discuss a new initiative/proposal.
Context:
Initiative/Proposal name: B2D Measurement KPIs for FY27
Organization / team context: Autodesk Marketing, with the stakeholder teams being Brand, Paid Media, Industry Marketing, and Analytics
Purpose of the meeting: Align on the key KPIs we will measure and report to leadership for our upcoming FY27 campaigns
Audience: the audience will all be decision makers from each team represented
Time allotted: 45 minutes
My role in the meeting: presenter &amp; facilitator
What I need help with:
A clear, executive-level summary of the initiative (problem, solution, value).
Key talking points tailored to this audience.
Likely questions, objections, or concerns—and strong, concise responses.
Data, metrics, or evidence I should reference to strengthen credibility.
A suggested meeting flow or agenda to keep the discussion focused.
A short closing statement or call to action.
Constraints &amp; preferences:
Tone: collaborative
Level of detail: high-level
Any sensitivities or risks to be mindful of: this will be a change in KPIs, having to balance legacy KPIs that are favored by different teams with newer, forward looking metrics that can bring in AIO and more down-funnel measurement.
Please structure your response clearly with headings and bullet points, prioritize clarity and impact, and assume the audience is busy and outcome-driven.&lt;/user_input&gt;</v>
      </c>
      <c r="AL37" s="26">
        <f t="array" ref="AL37">index('Response Scoring'!$G:$G,match($A37,'Response Scoring'!$A:$A,0))</f>
        <v>5</v>
      </c>
      <c r="AM37" s="26">
        <f t="shared" si="16"/>
        <v>1</v>
      </c>
      <c r="AN37" s="26" t="str">
        <f>'Raw Data'!$T33</f>
        <v>Competitive Intelligence Assistant 
Purpose
Assist team members in consistently gathering actionable competitive intelligence on products, pricing, and positioning. Produce repeatable, source-traceable outputs (profiles, pricing tables, feature matrices, positioning notes, and short executive briefs) usable by Product, GTM, and Sales.
Voice &amp; core rules
Be factual, concise, neutral. Lead with a 3-bullet executive summary.
Always cite sources (internal doc references or public URLs) and include the date captured.
State confidence (High / Medium / Low) for key claims with a short justification.
Never invent facts; report gaps and how to fill them.
Follow legal/ethical guardrails — do not access or suggest accessing non-public competitor data improperly.
Source priority
Internal first — canonical CI templates, prior CI reports, CRM notes, team chats.
Public official — competitor product/pricing pages, press releases, filings.
Third-party — analyst reports, review sites, news.
Signals/social — job posts, forums, social posts, user reviews.
Sales/customer evidence — public case studies or authorized CRM items.
Always start with internal templates; expand outward only to fill gaps.
Search &amp; capture practice
Use concise keyword queries and synonyms; apply recency filters (e.g., last 12 months) unless historical context is needed.
For product/pricing pages capture the URL, capture date/time, and a snapshot or PDF when possible.
Record conflicting data with source + date and reconcile with a confidence rating.
For pricing capture: tier names, list prices (monthly/annual), billing cadence, per-unit metric, add-ons, typical discounts, trial/freemium info.
Core extraction fields (per competitor/product)
Identity: company, business unit, public/private, recent funding/financial highlights (if public).
Product: names, release dates, core capabilities, integrations/APIs, supported platforms.
Pricing/Packaging: tiers/SKUs, list price(s), billing, seat model, add-ons, professional services, promotions.
Positioning: taglines, value props, target segments, differentiators, customer pain points.
GTM: sales motion (direct/channel), partners, key logos or references.
Signals: launches, layoffs, M&amp;A, job postings, partnerships.
Evidence log: full citations (internal doc ref or URL + date) and short supporting extracts.
Deliverables (order &amp; brief)
Executive summary — 3 bullets.
Snapshot — one-line summary.
Key facts table — extraction fields in one page.
Pricing comparison table (CSV-ready) — rows = tiers, columns = competitors + price fields. Example CSV header:
competitor,product,tier,price_currency,price_amount,billing,per_unit,notes,source_url,date_accessed
Feature matrix — features × competitors (yes/no/notes).
Positioning note — suggested 2-axis placement.
Evidence log — sources with dates.
Confidence &amp; gaps — call out missing items and confidence levels.
Recommended actions — 3–5 next steps.
Format: include “last updated” timestamp; provide CSV/JSON/PPTX on request; use consistent filenames like CI_[competitor]_[product]_[YYYYMMDD]_v1. Save final outputs to the company shared CI folder and include the link.
Verification &amp; QA
Triangulate claims with ≥2 independent sources for High confidence.
Timestamp every pricing capture.
Flag contradictions and show both sides.
Sanity-check pricing math (monthly ↔ annual).
If internal contract/customer data is used, ensure user authorization and mark it internal-only.
Monitoring &amp; alerts
For product/pricing pages capture a snapshot hash; on detected change produce a short alert: what changed, where, date, implication.
Suggested cadence: pricing = daily, messaging/roadmap signals = weekly.
Interaction patterns (how to ask)
Good: “Create a CI profile for Competitor X’s cloud CAD product focusing on pricing and packaging. Include a CSV.”
Ask one clarifying scope question only when necessary (market, region, timeframe).
Legal / Ethical guardrails (brief)
Do not retrieve non-public competitor data unlawfully or recommend social engineering.
Do not advise methods to bypass paywalls or access restricted systems; suggest legal alternatives (request access, use public statements).
Quick preflight checklist
 Consulted internal CI templates &amp; prior reports?
 Captured direct evidence for pricing claims?
 Indicated confidence &amp; gaps?
 Saved output to shared CI folder and included link?
 Legal/ethical check passed?</v>
      </c>
      <c r="AO37" s="26" t="s">
        <v>188</v>
      </c>
      <c r="AP37" s="28" t="str">
        <f>substitute('Prompt Template'!$D$2,$AN$5,$AO37)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&lt;user_input&gt;Competitive Intelligence Assistant 
Purpose
Assist team members in consistently gathering actionable competitive intelligence on products, pricing, and positioning. Produce repeatable, source-traceable outputs (profiles, pricing tables, feature matrices, positioning notes, and short executive briefs) usable by Product, GTM, and Sales.
Voice &amp; core rules
Be factual, concise, neutral. Lead with a 3-bullet executive summary.
Always cite sources (internal doc references or public URLs) and include the date captured.
State confidence (High / Medium / Low) for key claims with a short justification.
Never invent facts; report gaps and how to fill them.
Follow legal/ethical guardrails — do not access or suggest accessing non-public competitor data improperly.
Source priority
Internal first — canonical CI templates, prior CI reports, CRM notes, team chats.
Public official — competitor product/pricing pages, press releases, filings.
Third-party — analyst reports, review sites, news.
Signals/social — job posts, forums, social posts, user reviews.
Sales/customer evidence — public case studies or authorized CRM items.
Always start with internal templates; expand outward only to fill gaps.
Search &amp; capture practice
Use concise keyword queries and synonyms; apply recency filters (e.g., last 12 months) unless historical context is needed.
For product/pricing pages capture the URL, capture date/time, and a snapshot or PDF when possible.
Record conflicting data with source + date and reconcile with a confidence rating.
For pricing capture: tier names, list prices (monthly/annual), billing cadence, per-unit metric, add-ons, typical discounts, trial/freemium info.
Core extraction fields (per competitor/product)
Identity: company, business unit, public/private, recent funding/financial highlights (if public).
Product: names, release dates, core capabilities, integrations/APIs, supported platforms.
Pricing/Packaging: tiers/SKUs, list price(s), billing, seat model, add-ons, professional services, promotions.
Positioning: taglines, value props, target segments, differentiators, customer pain points.
GTM: sales motion (direct/channel), partners, key logos or references.
Signals: launches, layoffs, M&amp;A, job postings, partnerships.
Evidence log: full citations (internal doc ref or URL + date) and short supporting extracts.
Deliverables (order &amp; brief)
Executive summary — 3 bullets.
Snapshot — one-line summary.
Key facts table — extraction fields in one page.
Pricing comparison table (CSV-ready) — rows = tiers, columns = competitors + price fields. Example CSV header:
competitor,product,tier,price_currency,price_amount,billing,per_unit,notes,source_url,date_accessed
Feature matrix — features × competitors (yes/no/notes).
Positioning note — suggested 2-axis placement.
Evidence log — sources with dates.
Confidence &amp; gaps — call out missing items and confidence levels.
Recommended actions — 3–5 next steps.
Format: include “last updated” timestamp; provide CSV/JSON/PPTX on request; use consistent filenames like CI_[competitor]_[product]_[YYYYMMDD]_v1. Save final outputs to the company shared CI folder and include the link.
Verification &amp; QA
Triangulate claims with ≥2 independent sources for High confidence.
Timestamp every pricing capture.
Flag contradictions and show both sides.
Sanity-check pricing math (monthly ↔ annual).
If internal contract/customer data is used, ensure user authorization and mark it internal-only.
Monitoring &amp; alerts
For product/pricing pages capture a snapshot hash; on detected change produce a short alert: what changed, where, date, implication.
Suggested cadence: pricing = daily, messaging/roadmap signals = weekly.
Interaction patterns (how to ask)
Good: “Create a CI profile for Competitor X’s cloud CAD product focusing on pricing and packaging. Include a CSV.”
Ask one clarifying scope question only when necessary (market, region, timeframe).
Legal / Ethical guardrails (brief)
Do not retrieve non-public competitor data unlawfully or recommend social engineering.
Do not advise methods to bypass paywalls or access restricted systems; suggest legal alternatives (request access, use public statements).
Quick preflight checklist
 Consulted internal CI templates &amp; prior reports?
 Captured direct evidence for pricing claims?
 Indicated confidence &amp; gaps?
 Saved output to shared CI folder and included link?
 Legal/ethical check passed?&lt;/user_input&gt;
</v>
      </c>
      <c r="AQ37" s="26">
        <f t="array" ref="AQ37">index('Response Scoring'!$I:$I,match($A37,'Response Scoring'!$A:$A,0))</f>
        <v>5</v>
      </c>
      <c r="AR37" s="26">
        <f t="shared" si="17"/>
        <v>1</v>
      </c>
      <c r="AS37" s="30">
        <f t="shared" si="18"/>
        <v>10</v>
      </c>
      <c r="AT37" s="26">
        <f t="shared" si="19"/>
        <v>47.87</v>
      </c>
      <c r="AU37" s="26">
        <f t="shared" si="20"/>
        <v>95.74</v>
      </c>
      <c r="AV37" s="26" t="str">
        <f t="shared" si="21"/>
        <v>AI Expert</v>
      </c>
      <c r="AW37" s="26" t="str">
        <f>'Raw Data'!U33</f>
        <v/>
      </c>
      <c r="AX37" s="26" t="str">
        <f>'Raw Data'!V33</f>
        <v/>
      </c>
      <c r="AY37" s="26" t="str">
        <f>'Raw Data'!W33</f>
        <v/>
      </c>
      <c r="AZ37" s="26" t="str">
        <f>'Raw Data'!X33</f>
        <v/>
      </c>
      <c r="BA37" s="26" t="str">
        <f>'Raw Data'!Y33</f>
        <v/>
      </c>
      <c r="BB37" s="26" t="str">
        <f>'Raw Data'!Z33</f>
        <v/>
      </c>
      <c r="BW37" s="31" t="str">
        <f>'Raw Data'!C33</f>
        <v>Brand &amp; Creative</v>
      </c>
      <c r="BZ37" s="26" t="str">
        <f>'Raw Data'!F33</f>
        <v>Individual Contributor</v>
      </c>
      <c r="CA37" s="31" t="str">
        <f>'Raw Data'!AU33</f>
        <v>Connecting the workflows across enterprise applications</v>
      </c>
      <c r="CB37" s="31" t="str">
        <f>'Raw Data'!AV33</f>
        <v>None</v>
      </c>
      <c r="CC37" s="31" t="str">
        <f>'Raw Data'!AW33</f>
        <v>Agree</v>
      </c>
    </row>
    <row r="38" ht="15.75" customHeight="1">
      <c r="A38" s="26">
        <f>'Raw Data'!$A34</f>
        <v>32</v>
      </c>
      <c r="B38" s="26" t="str">
        <f>'Raw Data'!$G34</f>
        <v>Weekly</v>
      </c>
      <c r="C38" s="26">
        <f t="shared" si="1"/>
        <v>0.5</v>
      </c>
      <c r="D38" s="26" t="str">
        <f>'Raw Data'!$H34</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Using AI for vibe coding to prototype solutions, apps, or products</v>
      </c>
      <c r="E38" s="26">
        <f t="shared" si="2"/>
        <v>3</v>
      </c>
      <c r="F38" s="27">
        <f t="shared" si="3"/>
        <v>1</v>
      </c>
      <c r="G38" s="26" t="str">
        <f>'Raw Data'!$I34</f>
        <v>I've built custom AI tools (i.e. CustomGPTs, Copilot Agents) for repetitive tasks</v>
      </c>
      <c r="H38" s="26">
        <f t="shared" si="4"/>
        <v>0.75</v>
      </c>
      <c r="I38" s="26" t="str">
        <f>'Raw Data'!$J34</f>
        <v>Create a systematic process where AI handles data analysis and summary generation consistently</v>
      </c>
      <c r="J38" s="26">
        <f t="shared" si="5"/>
        <v>1</v>
      </c>
      <c r="K38" s="26" t="str">
        <f>'Raw Data'!$K34</f>
        <v>The groundwork research followed by a human fact check, then a slide deck proposition for the content (finish with manual tweaks in the ppt deck) sadly most of it is still unusable straight from our corporate ppt template.</v>
      </c>
      <c r="L38" s="26" t="s">
        <v>189</v>
      </c>
      <c r="M38" s="28" t="str">
        <f>substitute('Prompt Template'!$A$2,$K$5,$L38)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&lt;user_input&gt;The groundwork research followed by a human fact check, then a slide deck proposition for the content (finish with manual tweaks in the ppt deck) sadly most of it is still unusable straight from our corporate ppt template.&lt;/user_input&gt;</v>
      </c>
      <c r="N38" s="26">
        <f t="array" ref="N38">index('Response Scoring'!$C:$C,match($A38,'Response Scoring'!$A:$A,0))</f>
        <v>2</v>
      </c>
      <c r="O38" s="29">
        <f t="shared" si="6"/>
        <v>0.6666666667</v>
      </c>
      <c r="P38" s="26" t="str">
        <f>'Raw Data'!$L34</f>
        <v>It's a mix of internal corporate research and content creation ( business cases, exec summary, data analysis). Depending on which AI tool or LLM in use it's mixed results.</v>
      </c>
      <c r="Q38" s="26" t="s">
        <v>190</v>
      </c>
      <c r="R38" s="28" t="str">
        <f>substitute('Prompt Template'!$B$2,$P$5,$Q38)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a mix of internal corporate research and content creation ( business cases, exec summary, data analysis). Depending on which AI tool or LLM in use it's mixed results.&lt;/user_input&gt;</v>
      </c>
      <c r="S38" s="26">
        <f t="array" ref="S38">index('Response Scoring'!$E:$E,match($A38,'Response Scoring'!$A:$A,0))</f>
        <v>1</v>
      </c>
      <c r="T38" s="29">
        <f t="shared" si="7"/>
        <v>0.3333333333</v>
      </c>
      <c r="U38" s="29">
        <f t="shared" si="8"/>
        <v>6.166666667</v>
      </c>
      <c r="V38" s="26" t="str">
        <f>'Raw Data'!$M34</f>
        <v>Analyzing presentation slides to evaluate both the visual design and written content for consistency</v>
      </c>
      <c r="W38" s="26">
        <f t="shared" si="9"/>
        <v>1</v>
      </c>
      <c r="X38" s="26" t="str">
        <f>'Raw Data'!$N34</f>
        <v>Data privacy concerns when information is shared with an LLM, Hallucinations (generating false or misleading information), Biases in answers</v>
      </c>
      <c r="Y38" s="26">
        <f t="shared" si="10"/>
        <v>0.75</v>
      </c>
      <c r="Z38" s="26" t="str">
        <f>'Raw Data'!$O34</f>
        <v>Anonymize information by removing identifying details, Use secure company instances or enterprise plans when available</v>
      </c>
      <c r="AA38" s="29">
        <f t="shared" si="11"/>
        <v>1</v>
      </c>
      <c r="AB38" s="26" t="str">
        <f>'Raw Data'!$P34</f>
        <v>Always: I routinely cross-check AI outputs with reliable sources</v>
      </c>
      <c r="AC38" s="26">
        <f t="shared" si="12"/>
        <v>1</v>
      </c>
      <c r="AD38" s="26" t="str">
        <f>'Raw Data'!$Q34</f>
        <v>Cross-reference key claims with reliable external sources, Verify any calculations or data analysis independently</v>
      </c>
      <c r="AE38" s="26">
        <f t="shared" si="13"/>
        <v>0.5</v>
      </c>
      <c r="AF38" s="30">
        <f t="shared" si="14"/>
        <v>8.5</v>
      </c>
      <c r="AG38" s="26" t="str">
        <f>'Raw Data'!$R34</f>
        <v>Frequently: I systematically refine prompts until I'm satisfied</v>
      </c>
      <c r="AH38" s="26">
        <f t="shared" si="15"/>
        <v>1</v>
      </c>
      <c r="AI38" s="26" t="str">
        <f>'Raw Data'!$S34</f>
        <v>Help me to prepare for meeting X where I will present this project, here is my presentation and references for context. The audience is upper leadership.</v>
      </c>
      <c r="AJ38" s="26" t="s">
        <v>191</v>
      </c>
      <c r="AK38" s="28" t="str">
        <f>substitute('Prompt Template'!$C$2,$AI$5,$AJ38)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to prepare for meeting X where I will present this project, here is my presentation and references for context. The audience is upper leadership.&lt;/prompt&gt;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to prepare for meeting X where I will present this project, here is my presentation and references for context. The audience is upper leadership.&lt;/user_input&gt;</v>
      </c>
      <c r="AL38" s="26">
        <f t="array" ref="AL38">index('Response Scoring'!$G:$G,match($A38,'Response Scoring'!$A:$A,0))</f>
        <v>2</v>
      </c>
      <c r="AM38" s="26">
        <f t="shared" si="16"/>
        <v>0.4</v>
      </c>
      <c r="AN38" s="26" t="str">
        <f>'Raw Data'!$T34</f>
        <v>Skip</v>
      </c>
      <c r="AO38" s="26" t="s">
        <v>192</v>
      </c>
      <c r="AP38" s="28" t="str">
        <f>substitute('Prompt Template'!$D$2,$AN$5,$AO38)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&lt;user_input&gt;Skip&lt;/user_input&gt;
</v>
      </c>
      <c r="AQ38" s="26">
        <f t="array" ref="AQ38">index('Response Scoring'!$I:$I,match($A38,'Response Scoring'!$A:$A,0))</f>
        <v>0</v>
      </c>
      <c r="AR38" s="26">
        <f t="shared" si="17"/>
        <v>0</v>
      </c>
      <c r="AS38" s="30">
        <f t="shared" si="18"/>
        <v>2.9</v>
      </c>
      <c r="AT38" s="26">
        <f t="shared" si="19"/>
        <v>27.8</v>
      </c>
      <c r="AU38" s="26">
        <f t="shared" si="20"/>
        <v>55.6</v>
      </c>
      <c r="AV38" s="26" t="str">
        <f t="shared" si="21"/>
        <v>AI Experimenter</v>
      </c>
      <c r="AW38" s="26" t="str">
        <f>'Raw Data'!U34</f>
        <v/>
      </c>
      <c r="AX38" s="26" t="str">
        <f>'Raw Data'!V34</f>
        <v/>
      </c>
      <c r="AY38" s="26" t="str">
        <f>'Raw Data'!W34</f>
        <v/>
      </c>
      <c r="AZ38" s="26" t="str">
        <f>'Raw Data'!X34</f>
        <v/>
      </c>
      <c r="BA38" s="26" t="str">
        <f>'Raw Data'!Y34</f>
        <v/>
      </c>
      <c r="BB38" s="26" t="str">
        <f>'Raw Data'!Z34</f>
        <v/>
      </c>
      <c r="BW38" s="31" t="str">
        <f>'Raw Data'!C34</f>
        <v>Digital &amp; eCommerce</v>
      </c>
      <c r="BZ38" s="26" t="str">
        <f>'Raw Data'!F34</f>
        <v>Manager or Senior Manager</v>
      </c>
      <c r="CA38" s="31" t="str">
        <f>'Raw Data'!AU34</f>
        <v>Chatgpt crashing or getting sidetracked</v>
      </c>
      <c r="CB38" s="31" t="str">
        <f>'Raw Data'!AV34</f>
        <v>Copilot outside of work context for personal use</v>
      </c>
      <c r="CC38" s="31" t="str">
        <f>'Raw Data'!AW34</f>
        <v>Agree</v>
      </c>
    </row>
    <row r="39" ht="15.75" customHeight="1">
      <c r="A39" s="26">
        <f>'Raw Data'!$A35</f>
        <v>33</v>
      </c>
      <c r="B39" s="26" t="str">
        <f>'Raw Data'!$G35</f>
        <v>Daily</v>
      </c>
      <c r="C39" s="26">
        <f t="shared" si="1"/>
        <v>1</v>
      </c>
      <c r="D39" s="26" t="str">
        <f>'Raw Data'!$H35</f>
        <v>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v>
      </c>
      <c r="E39" s="26">
        <f t="shared" si="2"/>
        <v>2</v>
      </c>
      <c r="F39" s="27">
        <f t="shared" si="3"/>
        <v>0.6666666667</v>
      </c>
      <c r="G39" s="26" t="str">
        <f>'Raw Data'!$I35</f>
        <v>I create fresh prompts each time I use AI</v>
      </c>
      <c r="H39" s="26">
        <f t="shared" si="4"/>
        <v>0.25</v>
      </c>
      <c r="I39" s="26" t="str">
        <f>'Raw Data'!$J35</f>
        <v>Ask AI to write the summary after you've analyzed all the data</v>
      </c>
      <c r="J39" s="26">
        <f t="shared" si="5"/>
        <v>0.33</v>
      </c>
      <c r="K39" s="26" t="str">
        <f>'Raw Data'!$K35</f>
        <v>Research primarily</v>
      </c>
      <c r="L39" s="26" t="s">
        <v>193</v>
      </c>
      <c r="M39" s="28" t="str">
        <f>substitute('Prompt Template'!$A$2,$K$5,$L39)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primarily&lt;/user_input&gt;</v>
      </c>
      <c r="N39" s="26">
        <f t="array" ref="N39">index('Response Scoring'!$C:$C,match($A39,'Response Scoring'!$A:$A,0))</f>
        <v>1</v>
      </c>
      <c r="O39" s="29">
        <f t="shared" si="6"/>
        <v>0.3333333333</v>
      </c>
      <c r="P39" s="26" t="str">
        <f>'Raw Data'!$L35</f>
        <v>Research on internal docs, external knowledge</v>
      </c>
      <c r="Q39" s="26" t="s">
        <v>194</v>
      </c>
      <c r="R39" s="28" t="str">
        <f>substitute('Prompt Template'!$B$2,$P$5,$Q39)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on internal docs, external knowledge&lt;/user_input&gt;</v>
      </c>
      <c r="S39" s="26">
        <f t="array" ref="S39">index('Response Scoring'!$E:$E,match($A39,'Response Scoring'!$A:$A,0))</f>
        <v>1</v>
      </c>
      <c r="T39" s="29">
        <f t="shared" si="7"/>
        <v>0.3333333333</v>
      </c>
      <c r="U39" s="29">
        <f t="shared" si="8"/>
        <v>4.08</v>
      </c>
      <c r="V39" s="26" t="str">
        <f>'Raw Data'!$M35</f>
        <v>Analyzing presentation slides to evaluate both the visual design and written content for consistency</v>
      </c>
      <c r="W39" s="26">
        <f t="shared" si="9"/>
        <v>1</v>
      </c>
      <c r="X39" s="26" t="str">
        <f>'Raw Data'!$N35</f>
        <v>Data privacy concerns when information is shared with an LLM, Hallucinations (generating false or misleading information), Biases in answers</v>
      </c>
      <c r="Y39" s="26">
        <f t="shared" si="10"/>
        <v>0.75</v>
      </c>
      <c r="Z39" s="26" t="str">
        <f>'Raw Data'!$O35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39" s="29">
        <f t="shared" si="11"/>
        <v>0</v>
      </c>
      <c r="AB39" s="26" t="str">
        <f>'Raw Data'!$P35</f>
        <v>Always: I routinely cross-check AI outputs with reliable sources</v>
      </c>
      <c r="AC39" s="26">
        <f t="shared" si="12"/>
        <v>1</v>
      </c>
      <c r="AD39" s="26" t="str">
        <f>'Raw Data'!$Q35</f>
        <v>Cross-reference key claims with reliable external sources, Verify any calculations or data analysis independently, Check if the response uses confident language and specific details, Ask the same AI tool to double-check its work for accuracy</v>
      </c>
      <c r="AE39" s="26">
        <f t="shared" si="13"/>
        <v>0</v>
      </c>
      <c r="AF39" s="30">
        <f t="shared" si="14"/>
        <v>5.5</v>
      </c>
      <c r="AG39" s="26" t="str">
        <f>'Raw Data'!$R35</f>
        <v>Sometimes: I iterate 2-3 times to reach a good result</v>
      </c>
      <c r="AH39" s="26">
        <f t="shared" si="15"/>
        <v>0.67</v>
      </c>
      <c r="AI39" s="26" t="str">
        <f>'Raw Data'!$S35</f>
        <v>Describe what meeting is about, what is objective, key content to present/share, support discussion and outcomes, prepare talk track etc</v>
      </c>
      <c r="AJ39" s="26" t="s">
        <v>195</v>
      </c>
      <c r="AK39" s="28" t="str">
        <f>substitute('Prompt Template'!$C$2,$AI$5,$AJ39)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&lt;prompt&gt;Describe what meeting is about, what is objective, key content to present/share, support discussion and outcomes, prepare talk track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&lt;user_input&gt;Describe what meeting is about, what is objective, key content to present/share, support discussion and outcomes, prepare talk track etc&lt;/user_input&gt;</v>
      </c>
      <c r="AL39" s="26">
        <f t="array" ref="AL39">index('Response Scoring'!$G:$G,match($A39,'Response Scoring'!$A:$A,0))</f>
        <v>2</v>
      </c>
      <c r="AM39" s="26">
        <f t="shared" si="16"/>
        <v>0.4</v>
      </c>
      <c r="AN39" s="26" t="str">
        <f>'Raw Data'!$T35</f>
        <v>I don't know how to create custom AI instructions</v>
      </c>
      <c r="AO39" s="26" t="s">
        <v>101</v>
      </c>
      <c r="AP39" s="28" t="str">
        <f>substitute('Prompt Template'!$D$2,$AN$5,$AO39)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39" s="26">
        <f t="array" ref="AQ39">index('Response Scoring'!$I:$I,match($A39,'Response Scoring'!$A:$A,0))</f>
        <v>0</v>
      </c>
      <c r="AR39" s="26">
        <f t="shared" si="17"/>
        <v>0</v>
      </c>
      <c r="AS39" s="30">
        <f t="shared" si="18"/>
        <v>2.405</v>
      </c>
      <c r="AT39" s="26">
        <f t="shared" si="19"/>
        <v>19.18</v>
      </c>
      <c r="AU39" s="26">
        <f t="shared" si="20"/>
        <v>38.36</v>
      </c>
      <c r="AV39" s="26" t="str">
        <f t="shared" si="21"/>
        <v>AI Experimenter</v>
      </c>
      <c r="AW39" s="26" t="str">
        <f>'Raw Data'!U35</f>
        <v/>
      </c>
      <c r="AX39" s="26" t="str">
        <f>'Raw Data'!V35</f>
        <v/>
      </c>
      <c r="AY39" s="26" t="str">
        <f>'Raw Data'!W35</f>
        <v/>
      </c>
      <c r="AZ39" s="26" t="str">
        <f>'Raw Data'!X35</f>
        <v/>
      </c>
      <c r="BA39" s="26" t="str">
        <f>'Raw Data'!Y35</f>
        <v/>
      </c>
      <c r="BB39" s="26" t="str">
        <f>'Raw Data'!Z35</f>
        <v/>
      </c>
      <c r="BW39" s="31" t="str">
        <f>'Raw Data'!C35</f>
        <v>Industry Portfolio &amp; Emerging Marketing</v>
      </c>
      <c r="BZ39" s="26" t="str">
        <f>'Raw Data'!F35</f>
        <v>Individual Contributor</v>
      </c>
      <c r="CA39" s="31" t="str">
        <f>'Raw Data'!AU35</f>
        <v>To understand what existing internal data our Internal ChatGPT does or does not have access to</v>
      </c>
      <c r="CB39" s="31" t="str">
        <f>'Raw Data'!AV35</f>
        <v>None not approved</v>
      </c>
      <c r="CC39" s="31" t="str">
        <f>'Raw Data'!AW35</f>
        <v>Neutral</v>
      </c>
    </row>
    <row r="40" ht="15.75" customHeight="1">
      <c r="A40" s="26">
        <f>'Raw Data'!$A36</f>
        <v>34</v>
      </c>
      <c r="B40" s="26" t="str">
        <f>'Raw Data'!$G36</f>
        <v>Daily</v>
      </c>
      <c r="C40" s="26">
        <f t="shared" si="1"/>
        <v>1</v>
      </c>
      <c r="D40" s="26" t="str">
        <f>'Raw Data'!$H36</f>
        <v>Editing or improving text I've already written (emails, documents, presentations), Creating first drafts of content from scratch (reports, proposals, marketing copy), Brainstorming ideas, testing concepts, or getting feedback on my thinking, Getting quick answers to specific questions or looking up information, Building custom prompts, templates, or workflows that I reuse regularly</v>
      </c>
      <c r="E40" s="26">
        <f t="shared" si="2"/>
        <v>3</v>
      </c>
      <c r="F40" s="27">
        <f t="shared" si="3"/>
        <v>1</v>
      </c>
      <c r="G40" s="26" t="str">
        <f>'Raw Data'!$I36</f>
        <v>I maintain a library of prompts that I reuse frequently</v>
      </c>
      <c r="H40" s="26">
        <f t="shared" si="4"/>
        <v>0.5</v>
      </c>
      <c r="I40" s="26" t="str">
        <f>'Raw Data'!$J36</f>
        <v>Use AI to help analyze each data source, then compile results manually</v>
      </c>
      <c r="J40" s="26">
        <f t="shared" si="5"/>
        <v>0.67</v>
      </c>
      <c r="K40" s="26" t="str">
        <f>'Raw Data'!$K36</f>
        <v>I would utilize ChatGPT to inform them of my situation and what I need. My prompt would include these details and then I would continue the conversation to refine until complete</v>
      </c>
      <c r="L40" s="26" t="s">
        <v>196</v>
      </c>
      <c r="M40" s="28" t="str">
        <f>substitute('Prompt Template'!$A$2,$K$5,$L40)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utilize ChatGPT to inform them of my situation and what I need. My prompt would include these details and then I would continue the conversation to refine until complete&lt;/user_input&gt;</v>
      </c>
      <c r="N40" s="26">
        <f t="array" ref="N40">index('Response Scoring'!$C:$C,match($A40,'Response Scoring'!$A:$A,0))</f>
        <v>1</v>
      </c>
      <c r="O40" s="29">
        <f t="shared" si="6"/>
        <v>0.3333333333</v>
      </c>
      <c r="P40" s="26" t="str">
        <f>'Raw Data'!$L36</f>
        <v>I have been holding weekly meetings that I need to share out the details of after. However, the details are different depending on who I share with from a peer, to a leader. I have created a project in ChatGPT where I plug in the meeting summary and then it creates the versions I need to share.</v>
      </c>
      <c r="Q40" s="26" t="s">
        <v>197</v>
      </c>
      <c r="R40" s="28" t="str">
        <f>substitute('Prompt Template'!$B$2,$P$5,$Q40)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holding weekly meetings that I need to share out the details of after. However, the details are different depending on who I share with from a peer, to a leader. I have created a project in ChatGPT where I plug in the meeting summary and then it creates the versions I need to share.&lt;/user_input&gt;</v>
      </c>
      <c r="S40" s="26">
        <f t="array" ref="S40">index('Response Scoring'!$E:$E,match($A40,'Response Scoring'!$A:$A,0))</f>
        <v>3</v>
      </c>
      <c r="T40" s="29">
        <f t="shared" si="7"/>
        <v>1</v>
      </c>
      <c r="U40" s="29">
        <f t="shared" si="8"/>
        <v>7.836666667</v>
      </c>
      <c r="V40" s="26" t="str">
        <f>'Raw Data'!$M36</f>
        <v>Creating a complete slide deck with visual design for an important client presentation</v>
      </c>
      <c r="W40" s="26">
        <f t="shared" si="9"/>
        <v>0</v>
      </c>
      <c r="X40" s="26" t="str">
        <f>'Raw Data'!$N36</f>
        <v>Hallucinations (generating false or misleading information), Biases in answers, Data privacy concerns when information is shared with an LLM</v>
      </c>
      <c r="Y40" s="26">
        <f t="shared" si="10"/>
        <v>0.75</v>
      </c>
      <c r="Z40" s="26" t="str">
        <f>'Raw Data'!$O36</f>
        <v>Anonymize information by removing identifying details, Use secure company instances or enterprise plans when available</v>
      </c>
      <c r="AA40" s="29">
        <f t="shared" si="11"/>
        <v>1</v>
      </c>
      <c r="AB40" s="26" t="str">
        <f>'Raw Data'!$P36</f>
        <v>Sometimes: I do a quick check against known data or references</v>
      </c>
      <c r="AC40" s="26">
        <f t="shared" si="12"/>
        <v>0.67</v>
      </c>
      <c r="AD40" s="26" t="str">
        <f>'Raw Data'!$Q36</f>
        <v>Ask the same AI tool to double-check its work for accuracy, Use a different AI tool to review and verify the content, Look for professional formatting and proper grammar</v>
      </c>
      <c r="AE40" s="26">
        <f t="shared" si="13"/>
        <v>0</v>
      </c>
      <c r="AF40" s="30">
        <f t="shared" si="14"/>
        <v>4.84</v>
      </c>
      <c r="AG40" s="26" t="str">
        <f>'Raw Data'!$R36</f>
        <v>Sometimes: I iterate 2-3 times to reach a good result</v>
      </c>
      <c r="AH40" s="26">
        <f t="shared" si="15"/>
        <v>0.67</v>
      </c>
      <c r="AI40" s="26" t="str">
        <f>'Raw Data'!$S36</f>
        <v>You are a senior level contributor that is a SME on an upcoming initiative. I want you to help me prepare discussing this initiative by going through a few options. First, lets role play how this conversation goes. From there, I want you to review my answers and help me identify opportunities that I can include in my answers. Second, I want you to come up with a list of questions that I may be asked during this initiative and how I should answer them. Lastly, I want you to help me feel prepared and confident for this meeting, please create an agenda and talking points.</v>
      </c>
      <c r="AJ40" s="26" t="s">
        <v>198</v>
      </c>
      <c r="AK40" s="28" t="str">
        <f>substitute('Prompt Template'!$C$2,$AI$5,$AJ40)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level contributor that is a SME on an upcoming initiative. I want you to help me prepare discussing this initiative by going through a few options. First, lets role play how this conversation goes. From there, I want you to review my answers and help me identify opportunities that I can include in my answers. Second, I want you to come up with a list of questions that I may be asked during this initiative and how I should answer them. Lastly, I want you to help me feel prepared and confident for this meeting, please create an agenda and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level contributor that is a SME on an upcoming initiative. I want you to help me prepare discussing this initiative by going through a few options. First, lets role play how this conversation goes. From there, I want you to review my answers and help me identify opportunities that I can include in my answers. Second, I want you to come up with a list of questions that I may be asked during this initiative and how I should answer them. Lastly, I want you to help me feel prepared and confident for this meeting, please create an agenda and talking points.&lt;/user_input&gt;</v>
      </c>
      <c r="AL40" s="26">
        <f t="array" ref="AL40">index('Response Scoring'!$G:$G,match($A40,'Response Scoring'!$A:$A,0))</f>
        <v>3</v>
      </c>
      <c r="AM40" s="26">
        <f t="shared" si="16"/>
        <v>0.6</v>
      </c>
      <c r="AN40" s="26" t="str">
        <f>'Raw Data'!$T36</f>
        <v>I  don't know how to create custom AI instructions</v>
      </c>
      <c r="AO40" s="26" t="s">
        <v>199</v>
      </c>
      <c r="AP40" s="28" t="str">
        <f>substitute('Prompt Template'!$D$2,$AN$5,$AO40)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0" s="26">
        <f t="array" ref="AQ40">index('Response Scoring'!$I:$I,match($A40,'Response Scoring'!$A:$A,0))</f>
        <v>0</v>
      </c>
      <c r="AR40" s="26">
        <f t="shared" si="17"/>
        <v>0</v>
      </c>
      <c r="AS40" s="30">
        <f t="shared" si="18"/>
        <v>3.105</v>
      </c>
      <c r="AT40" s="26">
        <f t="shared" si="19"/>
        <v>25.225</v>
      </c>
      <c r="AU40" s="26">
        <f t="shared" si="20"/>
        <v>50.45</v>
      </c>
      <c r="AV40" s="26" t="str">
        <f t="shared" si="21"/>
        <v>AI Experimenter</v>
      </c>
      <c r="AW40" s="26" t="str">
        <f>'Raw Data'!U36</f>
        <v/>
      </c>
      <c r="AX40" s="26" t="str">
        <f>'Raw Data'!V36</f>
        <v/>
      </c>
      <c r="AY40" s="26" t="str">
        <f>'Raw Data'!W36</f>
        <v/>
      </c>
      <c r="AZ40" s="26" t="str">
        <f>'Raw Data'!X36</f>
        <v/>
      </c>
      <c r="BA40" s="26" t="str">
        <f>'Raw Data'!Y36</f>
        <v/>
      </c>
      <c r="BB40" s="26" t="str">
        <f>'Raw Data'!Z36</f>
        <v/>
      </c>
      <c r="BW40" s="31" t="str">
        <f>'Raw Data'!C36</f>
        <v>Digital &amp; eCommerce</v>
      </c>
      <c r="BZ40" s="26" t="str">
        <f>'Raw Data'!F36</f>
        <v>Individual Contributor</v>
      </c>
      <c r="CA40" s="31" t="str">
        <f>'Raw Data'!AU36</f>
        <v>Understanding how to make everything connect. From tools to my daily tasks, I struggle to identify where we can connect.</v>
      </c>
      <c r="CB40" s="31" t="str">
        <f>'Raw Data'!AV36</f>
        <v>None</v>
      </c>
      <c r="CC40" s="31" t="str">
        <f>'Raw Data'!AW36</f>
        <v>Strongly agree</v>
      </c>
    </row>
    <row r="41" ht="15.75" customHeight="1">
      <c r="A41" s="26">
        <f>'Raw Data'!$A37</f>
        <v>35</v>
      </c>
      <c r="B41" s="26" t="str">
        <f>'Raw Data'!$G37</f>
        <v>Weekly</v>
      </c>
      <c r="C41" s="26">
        <f t="shared" si="1"/>
        <v>0.5</v>
      </c>
      <c r="D41" s="26" t="str">
        <f>'Raw Data'!$H37</f>
        <v>Getting quick answers to specific questions or looking up information, Editing or improving text I've already written (emails, documents, presentations), Writing or debugging code, scripts, or formulas, Analyzing data or documents to extract insights or summaries</v>
      </c>
      <c r="E41" s="26">
        <f t="shared" si="2"/>
        <v>2</v>
      </c>
      <c r="F41" s="27">
        <f t="shared" si="3"/>
        <v>0.6666666667</v>
      </c>
      <c r="G41" s="26" t="str">
        <f>'Raw Data'!$I37</f>
        <v>I create fresh prompts each time I use AI</v>
      </c>
      <c r="H41" s="26">
        <f t="shared" si="4"/>
        <v>0.25</v>
      </c>
      <c r="I41" s="26" t="str">
        <f>'Raw Data'!$J37</f>
        <v>Create a systematic process where AI handles data analysis and summary generation consistently</v>
      </c>
      <c r="J41" s="26">
        <f t="shared" si="5"/>
        <v>1</v>
      </c>
      <c r="K41" s="26" t="str">
        <f>'Raw Data'!$K37</f>
        <v>Research the topic probably using chatGPT, using the data collected write a draftr of the presentation and then use AI to tweak it</v>
      </c>
      <c r="L41" s="26" t="s">
        <v>200</v>
      </c>
      <c r="M41" s="28" t="str">
        <f>substitute('Prompt Template'!$A$2,$K$5,$L41)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probably using chatGPT, using the data collected write a draftr of the presentation and then use AI to tweak it&lt;/user_input&gt;</v>
      </c>
      <c r="N41" s="26">
        <f t="array" ref="N41">index('Response Scoring'!$C:$C,match($A41,'Response Scoring'!$A:$A,0))</f>
        <v>2</v>
      </c>
      <c r="O41" s="29">
        <f t="shared" si="6"/>
        <v>0.6666666667</v>
      </c>
      <c r="P41" s="26" t="str">
        <f>'Raw Data'!$L37</f>
        <v>I use it to quickly create code, or clean up code. I also use it to write better comments, emails and messages. Analyze data from airtable spreadsheets</v>
      </c>
      <c r="Q41" s="26" t="s">
        <v>201</v>
      </c>
      <c r="R41" s="28" t="str">
        <f>substitute('Prompt Template'!$B$2,$P$5,$Q41)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quickly create code, or clean up code. I also use it to write better comments, emails and messages. Analyze data from airtable spreadsheets&lt;/user_input&gt;</v>
      </c>
      <c r="S41" s="26">
        <f t="array" ref="S41">index('Response Scoring'!$E:$E,match($A41,'Response Scoring'!$A:$A,0))</f>
        <v>1</v>
      </c>
      <c r="T41" s="29">
        <f t="shared" si="7"/>
        <v>0.3333333333</v>
      </c>
      <c r="U41" s="29">
        <f t="shared" si="8"/>
        <v>5.166666667</v>
      </c>
      <c r="V41" s="26" t="str">
        <f>'Raw Data'!$M37</f>
        <v>Creating a complete slide deck with visual design for an important client presentation</v>
      </c>
      <c r="W41" s="26">
        <f t="shared" si="9"/>
        <v>0</v>
      </c>
      <c r="X41" s="26" t="str">
        <f>'Raw Data'!$N37</f>
        <v>Hallucinations (generating false or misleading information), Biases in answers, Data privacy concerns when information is shared with an LLM, Vulnerability to manipulation by bad actors</v>
      </c>
      <c r="Y41" s="26">
        <f t="shared" si="10"/>
        <v>1</v>
      </c>
      <c r="Z41" s="26" t="str">
        <f>'Raw Data'!$O37</f>
        <v>Only share information that you would be comfortable sharing internally with a colleague, Use secure company instances or enterprise plans when available, Verify that the AI tool has SSL/HTTPS encryption before using it, Anonymize information by removing identifying details</v>
      </c>
      <c r="AA41" s="29">
        <f t="shared" si="11"/>
        <v>0</v>
      </c>
      <c r="AB41" s="26" t="str">
        <f>'Raw Data'!$P37</f>
        <v>Always: I routinely cross-check AI outputs with reliable sources</v>
      </c>
      <c r="AC41" s="26">
        <f t="shared" si="12"/>
        <v>1</v>
      </c>
      <c r="AD41" s="26" t="str">
        <f>'Raw Data'!$Q37</f>
        <v>Use a different AI tool to review and verify the content, Cross-reference key claims with reliable external sources, Check if the response uses confident language and specific details, Look for professional formatting and proper grammar, Verify any calculations or data analysis independently</v>
      </c>
      <c r="AE41" s="26">
        <f t="shared" si="13"/>
        <v>0</v>
      </c>
      <c r="AF41" s="30">
        <f t="shared" si="14"/>
        <v>4</v>
      </c>
      <c r="AG41" s="26" t="str">
        <f>'Raw Data'!$R37</f>
        <v>Frequently: I systematically refine prompts until I'm satisfied</v>
      </c>
      <c r="AH41" s="26">
        <f t="shared" si="15"/>
        <v>1</v>
      </c>
      <c r="AI41" s="26" t="str">
        <f>'Raw Data'!$S37</f>
        <v>You are [insert role] and you need to prepare for a meeting to discuss a new initiative. Provide an outline for the meeting, notes and a slide deck.
Depending on the results then I would refine the prompt</v>
      </c>
      <c r="AJ41" s="26" t="s">
        <v>202</v>
      </c>
      <c r="AK41" s="28" t="str">
        <f>substitute('Prompt Template'!$C$2,$AI$5,$AJ41)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[insert role] and you need to prepare for a meeting to discuss a new initiative. Provide an outline for the meeting, notes and a slide deck.
Depending on the results then I would refine the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[insert role] and you need to prepare for a meeting to discuss a new initiative. Provide an outline for the meeting, notes and a slide deck.
Depending on the results then I would refine the prompt&lt;/user_input&gt;</v>
      </c>
      <c r="AL41" s="26">
        <f t="array" ref="AL41">index('Response Scoring'!$G:$G,match($A41,'Response Scoring'!$A:$A,0))</f>
        <v>2</v>
      </c>
      <c r="AM41" s="26">
        <f t="shared" si="16"/>
        <v>0.4</v>
      </c>
      <c r="AN41" s="26" t="str">
        <f>'Raw Data'!$T37</f>
        <v>I don't know how to create custom AI instructions</v>
      </c>
      <c r="AO41" s="26" t="s">
        <v>101</v>
      </c>
      <c r="AP41" s="28" t="str">
        <f>substitute('Prompt Template'!$D$2,$AN$5,$AO41)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1" s="26">
        <f t="array" ref="AQ41">index('Response Scoring'!$I:$I,match($A41,'Response Scoring'!$A:$A,0))</f>
        <v>0</v>
      </c>
      <c r="AR41" s="26">
        <f t="shared" si="17"/>
        <v>0</v>
      </c>
      <c r="AS41" s="30">
        <f t="shared" si="18"/>
        <v>2.9</v>
      </c>
      <c r="AT41" s="26">
        <f t="shared" si="19"/>
        <v>19.55</v>
      </c>
      <c r="AU41" s="26">
        <f t="shared" si="20"/>
        <v>39.1</v>
      </c>
      <c r="AV41" s="26" t="str">
        <f t="shared" si="21"/>
        <v>AI Experimenter</v>
      </c>
      <c r="AW41" s="26" t="str">
        <f>'Raw Data'!U37</f>
        <v/>
      </c>
      <c r="AX41" s="26" t="str">
        <f>'Raw Data'!V37</f>
        <v/>
      </c>
      <c r="AY41" s="26" t="str">
        <f>'Raw Data'!W37</f>
        <v/>
      </c>
      <c r="AZ41" s="26" t="str">
        <f>'Raw Data'!X37</f>
        <v/>
      </c>
      <c r="BA41" s="26" t="str">
        <f>'Raw Data'!Y37</f>
        <v/>
      </c>
      <c r="BB41" s="26" t="str">
        <f>'Raw Data'!Z37</f>
        <v/>
      </c>
      <c r="BW41" s="31" t="str">
        <f>'Raw Data'!C37</f>
        <v>Marketing Strategy &amp; Planning</v>
      </c>
      <c r="BZ41" s="26" t="str">
        <f>'Raw Data'!F37</f>
        <v>Individual Contributor</v>
      </c>
      <c r="CA41" s="31" t="str">
        <f>'Raw Data'!AU37</f>
        <v>analyzing spreadsheets</v>
      </c>
      <c r="CB41" s="31" t="str">
        <f>'Raw Data'!AV37</f>
        <v>Claude, perplexity</v>
      </c>
      <c r="CC41" s="31" t="str">
        <f>'Raw Data'!AW37</f>
        <v>Neutral</v>
      </c>
    </row>
    <row r="42" ht="15.75" customHeight="1">
      <c r="A42" s="26">
        <f>'Raw Data'!$A38</f>
        <v>36</v>
      </c>
      <c r="B42" s="26" t="str">
        <f>'Raw Data'!$G38</f>
        <v>Several times a week</v>
      </c>
      <c r="C42" s="26">
        <f t="shared" si="1"/>
        <v>0.75</v>
      </c>
      <c r="D42" s="26" t="str">
        <f>'Raw Data'!$H38</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v>
      </c>
      <c r="E42" s="26">
        <f t="shared" si="2"/>
        <v>2</v>
      </c>
      <c r="F42" s="27">
        <f t="shared" si="3"/>
        <v>0.6666666667</v>
      </c>
      <c r="G42" s="26" t="str">
        <f>'Raw Data'!$I38</f>
        <v>I create fresh prompts each time I use AI</v>
      </c>
      <c r="H42" s="26">
        <f t="shared" si="4"/>
        <v>0.25</v>
      </c>
      <c r="I42" s="26" t="str">
        <f>'Raw Data'!$J38</f>
        <v>Create a systematic process where AI handles data analysis and summary generation consistently</v>
      </c>
      <c r="J42" s="26">
        <f t="shared" si="5"/>
        <v>1</v>
      </c>
      <c r="K42" s="26" t="str">
        <f>'Raw Data'!$K38</f>
        <v>give AI the context about the topic of my presentation, explain the audience, assign the AI a role and boundaries on how to go about exploring the topic and ask it to build me a starter prototype of the slides</v>
      </c>
      <c r="L42" s="26" t="s">
        <v>203</v>
      </c>
      <c r="M42" s="28" t="str">
        <f>substitute('Prompt Template'!$A$2,$K$5,$L42)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&lt;user_input&gt;give AI the context about the topic of my presentation, explain the audience, assign the AI a role and boundaries on how to go about exploring the topic and ask it to build me a starter prototype of the slides&lt;/user_input&gt;</v>
      </c>
      <c r="N42" s="26">
        <f t="array" ref="N42">index('Response Scoring'!$C:$C,match($A42,'Response Scoring'!$A:$A,0))</f>
        <v>2</v>
      </c>
      <c r="O42" s="29">
        <f t="shared" si="6"/>
        <v>0.6666666667</v>
      </c>
      <c r="P42" s="26" t="str">
        <f>'Raw Data'!$L38</f>
        <v>I generally use it to help optimize my data analysis code in SQL - to help run queries faster, and save processing time and $</v>
      </c>
      <c r="Q42" s="26" t="s">
        <v>204</v>
      </c>
      <c r="R42" s="28" t="str">
        <f>substitute('Prompt Template'!$B$2,$P$5,$Q42)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generally use it to help optimize my data analysis code in SQL - to help run queries faster, and save processing time and $&lt;/user_input&gt;</v>
      </c>
      <c r="S42" s="26">
        <f t="array" ref="S42">index('Response Scoring'!$E:$E,match($A42,'Response Scoring'!$A:$A,0))</f>
        <v>2</v>
      </c>
      <c r="T42" s="29">
        <f t="shared" si="7"/>
        <v>0.6666666667</v>
      </c>
      <c r="U42" s="29">
        <f t="shared" si="8"/>
        <v>6.625</v>
      </c>
      <c r="V42" s="26" t="str">
        <f>'Raw Data'!$M38</f>
        <v>Analyzing presentation slides to evaluate both the visual design and written content for consistency</v>
      </c>
      <c r="W42" s="26">
        <f t="shared" si="9"/>
        <v>1</v>
      </c>
      <c r="X42" s="26" t="str">
        <f>'Raw Data'!$N38</f>
        <v>Hallucinations (generating false or misleading information), Biases in answers, Data privacy concerns when information is shared with an LLM, Vulnerability to manipulation by bad actors</v>
      </c>
      <c r="Y42" s="26">
        <f t="shared" si="10"/>
        <v>1</v>
      </c>
      <c r="Z42" s="26" t="str">
        <f>'Raw Data'!$O38</f>
        <v>Use secure company instances or enterprise plans when available, Anonymize information by removing identifying details, Verify that the AI tool has SSL/HTTPS encryption before using it</v>
      </c>
      <c r="AA42" s="29">
        <f t="shared" si="11"/>
        <v>0</v>
      </c>
      <c r="AB42" s="26" t="str">
        <f>'Raw Data'!$P38</f>
        <v>Always: I routinely cross-check AI outputs with reliable sources</v>
      </c>
      <c r="AC42" s="26">
        <f t="shared" si="12"/>
        <v>1</v>
      </c>
      <c r="AD42" s="26" t="str">
        <f>'Raw Data'!$Q38</f>
        <v>Cross-reference key claims with reliable external sources, Verify any calculations or data analysis independently, Ask the same AI tool to double-check its work for accuracy, Look for professional formatting and proper grammar</v>
      </c>
      <c r="AE42" s="26">
        <f t="shared" si="13"/>
        <v>0</v>
      </c>
      <c r="AF42" s="30">
        <f t="shared" si="14"/>
        <v>6</v>
      </c>
      <c r="AG42" s="26" t="str">
        <f>'Raw Data'!$R38</f>
        <v>Frequently: I systematically refine prompts until I'm satisfied</v>
      </c>
      <c r="AH42" s="26">
        <f t="shared" si="15"/>
        <v>1</v>
      </c>
      <c r="AI42" s="26" t="str">
        <f>'Raw Data'!$S38</f>
        <v>I am attending a meeting, to propose X to our leadership team; Help me prepare for this meeting, by reviewing my slides. Assume you are a member of the leadership team and let me know if there are gaps/critiques/considerations I should make, that the leaders may point out during my presentation. DO not worry about slide formatting.</v>
      </c>
      <c r="AJ42" s="26" t="s">
        <v>205</v>
      </c>
      <c r="AK42" s="28" t="str">
        <f>substitute('Prompt Template'!$C$2,$AI$5,$AJ42)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attending a meeting, to propose X to our leadership team; Help me prepare for this meeting, by reviewing my slides. Assume you are a member of the leadership team and let me know if there are gaps/critiques/considerations I should make, that the leaders may point out during my presentation. DO not worry about slide formatting.&lt;/prompt&gt;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attending a meeting, to propose X to our leadership team; Help me prepare for this meeting, by reviewing my slides. Assume you are a member of the leadership team and let me know if there are gaps/critiques/considerations I should make, that the leaders may point out during my presentation. DO not worry about slide formatting.&lt;/user_input&gt;</v>
      </c>
      <c r="AL42" s="26">
        <f t="array" ref="AL42">index('Response Scoring'!$G:$G,match($A42,'Response Scoring'!$A:$A,0))</f>
        <v>3</v>
      </c>
      <c r="AM42" s="26">
        <f t="shared" si="16"/>
        <v>0.6</v>
      </c>
      <c r="AN42" s="26" t="str">
        <f>'Raw Data'!$T38</f>
        <v>I actually did something similar for our Education Competitive Intelligence : see instructions below : You are the “Autodesk Education Competitor Analyst.”
Your role is to research and analyze public information about Autodesk’s competitors in education, particularly their free and discounted student/educator offerings.
1. Competitor Scope:
Direct: Dassault Systèmes (SolidWorks, CATIA), PTC (Creo, Onshape), Bentley Systems (MicroStation), Trimble (SketchUp), Siemens Digital Industries (NX, Solid Edge).
Indirect: Adobe (Creative Cloud for Education), Unity Technologies (Unity Student Plan), Epic Games (Unreal Engine for Education), Rhino (McNeel), Blender, FreeCAD.
2. Core Responsibilities:
Track Public Updates: Identify new education programs, licensing changes, partnerships with schools/universities, marketing campaigns, curriculum integrations, and certifications.
Compare Competitor Offerings: Gather details on education pricing, license terms, eligibility, scope of access, learning resources, partnerships, and restrictions.
Summarize Monthly Competitive Landscape: Provide a SWOT analysis for major competitors, highlighting strengths, weaknesses, opportunities, and threats relative to Autodesk Education.
3. Output Formats:
When triggered from Power Automate - always return JSON output
Update Table 
Competitor | New Activity | Source (URL) | Date | Why This Matters to Autodesk.
Comparison Table:
Competitor | Education Pricing | License Term | Eligibility | Scope of Access | Learning Resources | Partnerships | Notes.
SWOT Summary:
Strengths, Weaknesses, Opportunities, Threats for each major competitor.
4. Rules:
Only use credible, public sources.
Always provide links to sources for every claim.
Avoid speculation without evidence.
Focus on relevance to Autodesk Education strategy.
5. Core Commands:
FindWeeklyCompetitorUpdates → “What’s new with our education competitors this week?”
MonthlyLandscape → “Summarize the competitor landscape for this month.”
CompareCompetitors → “Compare [Competitor A] and [Competitor B] in terms of education programs.”
CompareLicensing → “Compare education licensing between Autodesk and [Competitor].”
FindGaps → “Identify gaps in competitor education programs we can fill.”
FullReport → “Give me a full competitor education analysis for this quarter.”</v>
      </c>
      <c r="AO42" s="26" t="s">
        <v>206</v>
      </c>
      <c r="AP42" s="28" t="str">
        <f>substitute('Prompt Template'!$D$2,$AN$5,$AO42)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actually did something similar for our Education Competitive Intelligence : see instructions below : You are the “Autodesk Education Competitor Analyst.”
Your role is to research and analyze public information about Autodesk’s competitors in education, particularly their free and discounted student/educator offerings.
1. Competitor Scope:
Direct: Dassault Systèmes (SolidWorks, CATIA), PTC (Creo, Onshape), Bentley Systems (MicroStation), Trimble (SketchUp), Siemens Digital Industries (NX, Solid Edge).
Indirect: Adobe (Creative Cloud for Education), Unity Technologies (Unity Student Plan), Epic Games (Unreal Engine for Education), Rhino (McNeel), Blender, FreeCAD.
2. Core Responsibilities:
Track Public Updates: Identify new education programs, licensing changes, partnerships with schools/universities, marketing campaigns, curriculum integrations, and certifications.
Compare Competitor Offerings: Gather details on education pricing, license terms, eligibility, scope of access, learning resources, partnerships, and restrictions.
Summarize Monthly Competitive Landscape: Provide a SWOT analysis for major competitors, highlighting strengths, weaknesses, opportunities, and threats relative to Autodesk Education.
3. Output Formats:
When triggered from Power Automate - always return JSON output
Update Table 
Competitor | New Activity | Source (URL) | Date | Why This Matters to Autodesk.
Comparison Table:
Competitor | Education Pricing | License Term | Eligibility | Scope of Access | Learning Resources | Partnerships | Notes.
SWOT Summary:
Strengths, Weaknesses, Opportunities, Threats for each major competitor.
4. Rules:
Only use credible, public sources.
Always provide links to sources for every claim.
Avoid speculation without evidence.
Focus on relevance to Autodesk Education strategy.
5. Core Commands:
FindWeeklyCompetitorUpdates → “What’s new with our education competitors this week?”
MonthlyLandscape → “Summarize the competitor landscape for this month.”
CompareCompetitors → “Compare [Competitor A] and [Competitor B] in terms of education programs.”
CompareLicensing → “Compare education licensing between Autodesk and [Competitor].”
FindGaps → “Identify gaps in competitor education programs we can fill.”
FullReport → “Give me a full competitor education analysis for this quarter.”&lt;/user_input&gt;
</v>
      </c>
      <c r="AQ42" s="26">
        <f t="array" ref="AQ42">index('Response Scoring'!$I:$I,match($A42,'Response Scoring'!$A:$A,0))</f>
        <v>5</v>
      </c>
      <c r="AR42" s="26">
        <f t="shared" si="17"/>
        <v>1</v>
      </c>
      <c r="AS42" s="30">
        <f t="shared" si="18"/>
        <v>8.6</v>
      </c>
      <c r="AT42" s="26">
        <f t="shared" si="19"/>
        <v>36.1375</v>
      </c>
      <c r="AU42" s="26">
        <f t="shared" si="20"/>
        <v>72.275</v>
      </c>
      <c r="AV42" s="26" t="str">
        <f t="shared" si="21"/>
        <v>AI Practitioner</v>
      </c>
      <c r="AW42" s="26" t="str">
        <f>'Raw Data'!U38</f>
        <v/>
      </c>
      <c r="AX42" s="26" t="str">
        <f>'Raw Data'!V38</f>
        <v/>
      </c>
      <c r="AY42" s="26" t="str">
        <f>'Raw Data'!W38</f>
        <v/>
      </c>
      <c r="AZ42" s="26" t="str">
        <f>'Raw Data'!X38</f>
        <v/>
      </c>
      <c r="BA42" s="26" t="str">
        <f>'Raw Data'!Y38</f>
        <v/>
      </c>
      <c r="BB42" s="26" t="str">
        <f>'Raw Data'!Z38</f>
        <v/>
      </c>
      <c r="BW42" s="31" t="str">
        <f>'Raw Data'!C38</f>
        <v>Education</v>
      </c>
      <c r="BZ42" s="26" t="str">
        <f>'Raw Data'!F38</f>
        <v>Individual Contributor</v>
      </c>
      <c r="CA42" s="31" t="str">
        <f>'Raw Data'!AU38</f>
        <v>AI is definitely helping teams become more efficient, however, the amount of new tools and resources can be overwhelming at times. I have intentionally focus my energy in a tool or two to not get overwhelmed. Learning curve overall is quite steep</v>
      </c>
      <c r="CB42" s="31" t="str">
        <f>'Raw Data'!AV38</f>
        <v>none</v>
      </c>
      <c r="CC42" s="31" t="str">
        <f>'Raw Data'!AW38</f>
        <v>Strongly agree</v>
      </c>
    </row>
    <row r="43" ht="15.75" customHeight="1">
      <c r="A43" s="26">
        <f>'Raw Data'!$A39</f>
        <v>37</v>
      </c>
      <c r="B43" s="26" t="str">
        <f>'Raw Data'!$G39</f>
        <v>Weekly</v>
      </c>
      <c r="C43" s="26">
        <f t="shared" si="1"/>
        <v>0.5</v>
      </c>
      <c r="D43" s="26" t="str">
        <f>'Raw Data'!$H39</f>
        <v>Getting quick answers to specific questions or looking up information, Editing or improving text I've already written (emails, documents, presentations), Analyzing data or documents to extract insights or summaries, Building custom prompts, templates, or workflows that I reuse regularly, Creating first drafts of content from scratch (reports, proposals, marketing copy)</v>
      </c>
      <c r="E43" s="26">
        <f t="shared" si="2"/>
        <v>3</v>
      </c>
      <c r="F43" s="27">
        <f t="shared" si="3"/>
        <v>1</v>
      </c>
      <c r="G43" s="26" t="str">
        <f>'Raw Data'!$I39</f>
        <v>I create fresh prompts each time I use AI</v>
      </c>
      <c r="H43" s="26">
        <f t="shared" si="4"/>
        <v>0.25</v>
      </c>
      <c r="I43" s="26" t="str">
        <f>'Raw Data'!$J39</f>
        <v>Ask AI to write the summary after you've analyzed all the data</v>
      </c>
      <c r="J43" s="26">
        <f t="shared" si="5"/>
        <v>0.33</v>
      </c>
      <c r="K43" s="26" t="str">
        <f>'Raw Data'!$K39</f>
        <v>I would use AI as a brainstorming tool</v>
      </c>
      <c r="L43" s="26" t="s">
        <v>207</v>
      </c>
      <c r="M43" s="28" t="str">
        <f>substitute('Prompt Template'!$A$2,$K$5,$L43)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brainstorming tool&lt;/user_input&gt;</v>
      </c>
      <c r="N43" s="26">
        <f t="array" ref="N43">index('Response Scoring'!$C:$C,match($A43,'Response Scoring'!$A:$A,0))</f>
        <v>1</v>
      </c>
      <c r="O43" s="29">
        <f t="shared" si="6"/>
        <v>0.3333333333</v>
      </c>
      <c r="P43" s="26" t="str">
        <f>'Raw Data'!$L39</f>
        <v>I needed to analyze performance of .com pages based on content. I used AI to create content benchmarks and analyze the materials to determine what content they contained.</v>
      </c>
      <c r="Q43" s="26" t="s">
        <v>208</v>
      </c>
      <c r="R43" s="28" t="str">
        <f>substitute('Prompt Template'!$B$2,$P$5,$Q43)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analyze performance of .com pages based on content. I used AI to create content benchmarks and analyze the materials to determine what content they contained.&lt;/user_input&gt;</v>
      </c>
      <c r="S43" s="26">
        <f t="array" ref="S43">index('Response Scoring'!$E:$E,match($A43,'Response Scoring'!$A:$A,0))</f>
        <v>2</v>
      </c>
      <c r="T43" s="29">
        <f t="shared" si="7"/>
        <v>0.6666666667</v>
      </c>
      <c r="U43" s="29">
        <f t="shared" si="8"/>
        <v>5.663333333</v>
      </c>
      <c r="V43" s="26" t="str">
        <f>'Raw Data'!$M39</f>
        <v>Analyzing presentation slides to evaluate both the visual design and written content for consistency</v>
      </c>
      <c r="W43" s="26">
        <f t="shared" si="9"/>
        <v>1</v>
      </c>
      <c r="X43" s="26" t="str">
        <f>'Raw Data'!$N39</f>
        <v>Hallucinations (generating false or misleading information), Biases in answers, Data privacy concerns when information is shared with an LLM, Vulnerability to manipulation by bad actors</v>
      </c>
      <c r="Y43" s="26">
        <f t="shared" si="10"/>
        <v>1</v>
      </c>
      <c r="Z43" s="26" t="str">
        <f>'Raw Data'!$O39</f>
        <v>Use secure company instances or enterprise plans when available</v>
      </c>
      <c r="AA43" s="29">
        <f t="shared" si="11"/>
        <v>0.5</v>
      </c>
      <c r="AB43" s="26" t="str">
        <f>'Raw Data'!$P39</f>
        <v>Sometimes: I do a quick check against known data or references</v>
      </c>
      <c r="AC43" s="26">
        <f t="shared" si="12"/>
        <v>0.67</v>
      </c>
      <c r="AD43" s="26" t="str">
        <f>'Raw Data'!$Q39</f>
        <v>Cross-reference key claims with reliable external sources, Verify any calculations or data analysis independently</v>
      </c>
      <c r="AE43" s="26">
        <f t="shared" si="13"/>
        <v>0.5</v>
      </c>
      <c r="AF43" s="30">
        <f t="shared" si="14"/>
        <v>7.34</v>
      </c>
      <c r="AG43" s="26" t="str">
        <f>'Raw Data'!$R39</f>
        <v>Frequently: I systematically refine prompts until I'm satisfied</v>
      </c>
      <c r="AH43" s="26">
        <f t="shared" si="15"/>
        <v>1</v>
      </c>
      <c r="AI43" s="26" t="str">
        <f>'Raw Data'!$S39</f>
        <v>I don't know how to prompt.</v>
      </c>
      <c r="AJ43" s="26" t="s">
        <v>209</v>
      </c>
      <c r="AK43" s="28" t="str">
        <f>substitute('Prompt Template'!$C$2,$AI$5,$AJ43)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43" s="26">
        <f t="array" ref="AL43">index('Response Scoring'!$G:$G,match($A43,'Response Scoring'!$A:$A,0))</f>
        <v>0</v>
      </c>
      <c r="AM43" s="26">
        <f t="shared" si="16"/>
        <v>0</v>
      </c>
      <c r="AN43" s="26" t="str">
        <f>'Raw Data'!$T39</f>
        <v>You are a competitor researcher. I will provide you with urls for competitors products. Based on the URls, please create a table with the product name, the price, and the benefits shared by each company. Please highlight differences between Autodesk product and the competitor product. (I would likely then iterate on this prompt a bunch.)</v>
      </c>
      <c r="AO43" s="26" t="s">
        <v>210</v>
      </c>
      <c r="AP43" s="28" t="str">
        <f>substitute('Prompt Template'!$D$2,$AN$5,$AO43)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competitor researcher. I will provide you with urls for competitors products. Based on the URls, please create a table with the product name, the price, and the benefits shared by each company. Please highlight differences between Autodesk product and the competitor product. (I would likely then iterate on this prompt a bunch.)&lt;/user_input&gt;
</v>
      </c>
      <c r="AQ43" s="26">
        <f t="array" ref="AQ43">index('Response Scoring'!$I:$I,match($A43,'Response Scoring'!$A:$A,0))</f>
        <v>2</v>
      </c>
      <c r="AR43" s="26">
        <f t="shared" si="17"/>
        <v>0.4</v>
      </c>
      <c r="AS43" s="30">
        <f t="shared" si="18"/>
        <v>3.5</v>
      </c>
      <c r="AT43" s="26">
        <f t="shared" si="19"/>
        <v>26.505</v>
      </c>
      <c r="AU43" s="26">
        <f t="shared" si="20"/>
        <v>53.01</v>
      </c>
      <c r="AV43" s="26" t="str">
        <f t="shared" si="21"/>
        <v>AI Experimenter</v>
      </c>
      <c r="AW43" s="26" t="str">
        <f>'Raw Data'!U39</f>
        <v/>
      </c>
      <c r="AX43" s="26" t="str">
        <f>'Raw Data'!V39</f>
        <v/>
      </c>
      <c r="AY43" s="26" t="str">
        <f>'Raw Data'!W39</f>
        <v/>
      </c>
      <c r="AZ43" s="26" t="str">
        <f>'Raw Data'!X39</f>
        <v/>
      </c>
      <c r="BA43" s="26" t="str">
        <f>'Raw Data'!Y39</f>
        <v/>
      </c>
      <c r="BB43" s="26" t="str">
        <f>'Raw Data'!Z39</f>
        <v/>
      </c>
      <c r="BW43" s="31" t="str">
        <f>'Raw Data'!C39</f>
        <v>Industry Portfolio &amp; Emerging Marketing</v>
      </c>
      <c r="BZ43" s="26" t="str">
        <f>'Raw Data'!F39</f>
        <v>Individual Contributor</v>
      </c>
      <c r="CA43" s="31" t="str">
        <f>'Raw Data'!AU39</f>
        <v>Using it for ideation.</v>
      </c>
      <c r="CB43" s="31" t="str">
        <f>'Raw Data'!AV39</f>
        <v>None</v>
      </c>
      <c r="CC43" s="31" t="str">
        <f>'Raw Data'!AW39</f>
        <v>Neutral</v>
      </c>
    </row>
    <row r="44" ht="15.75" customHeight="1">
      <c r="A44" s="26">
        <f>'Raw Data'!$A40</f>
        <v>38</v>
      </c>
      <c r="B44" s="26" t="str">
        <f>'Raw Data'!$G40</f>
        <v>Daily</v>
      </c>
      <c r="C44" s="26">
        <f t="shared" si="1"/>
        <v>1</v>
      </c>
      <c r="D44" s="26" t="str">
        <f>'Raw Data'!$H40</f>
        <v>Editing or improving text I've already written (emails, documents, presentations), Brainstorming ideas, testing concepts, or getting feedback on my thinking, Building custom prompts, templates, or workflows that I reuse regularly, Analyzing data or documents to extract insights or summaries</v>
      </c>
      <c r="E44" s="26">
        <f t="shared" si="2"/>
        <v>3</v>
      </c>
      <c r="F44" s="27">
        <f t="shared" si="3"/>
        <v>1</v>
      </c>
      <c r="G44" s="26" t="str">
        <f>'Raw Data'!$I40</f>
        <v>I've built custom AI tools (i.e. CustomGPTs, Copilot Agents) for repetitive tasks</v>
      </c>
      <c r="H44" s="26">
        <f t="shared" si="4"/>
        <v>0.75</v>
      </c>
      <c r="I44" s="26" t="str">
        <f>'Raw Data'!$J40</f>
        <v>Create a systematic process where AI handles data analysis and summary generation consistently</v>
      </c>
      <c r="J44" s="26">
        <f t="shared" si="5"/>
        <v>1</v>
      </c>
      <c r="K44" s="26" t="str">
        <f>'Raw Data'!$K40</f>
        <v>I would use AI first for the research phase to get more information on the topic. After that I would put together a structure for the presentation and I would use AI to validate the information and add the details to the presentation.</v>
      </c>
      <c r="L44" s="26" t="s">
        <v>211</v>
      </c>
      <c r="M44" s="28" t="str">
        <f>substitute('Prompt Template'!$A$2,$K$5,$L44)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first for the research phase to get more information on the topic. After that I would put together a structure for the presentation and I would use AI to validate the information and add the details to the presentation.&lt;/user_input&gt;</v>
      </c>
      <c r="N44" s="26">
        <f t="array" ref="N44">index('Response Scoring'!$C:$C,match($A44,'Response Scoring'!$A:$A,0))</f>
        <v>2</v>
      </c>
      <c r="O44" s="29">
        <f t="shared" si="6"/>
        <v>0.6666666667</v>
      </c>
      <c r="P44" s="26" t="str">
        <f>'Raw Data'!$L40</f>
        <v>I need to understand customers challenges, pain points for the ABM 1:few programs and I use AI to do research, and deep dive in to sources like Reddit and after that compile a repot with the findings. It takes me a couple of hours now and previously it was taking a day or two.</v>
      </c>
      <c r="Q44" s="26" t="s">
        <v>212</v>
      </c>
      <c r="R44" s="28" t="str">
        <f>substitute('Prompt Template'!$B$2,$P$5,$Q44)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customers challenges, pain points for the ABM 1:few programs and I use AI to do research, and deep dive in to sources like Reddit and after that compile a repot with the findings. It takes me a couple of hours now and previously it was taking a day or two.&lt;/user_input&gt;</v>
      </c>
      <c r="S44" s="26">
        <f t="array" ref="S44">index('Response Scoring'!$E:$E,match($A44,'Response Scoring'!$A:$A,0))</f>
        <v>2</v>
      </c>
      <c r="T44" s="29">
        <f t="shared" si="7"/>
        <v>0.6666666667</v>
      </c>
      <c r="U44" s="29">
        <f t="shared" si="8"/>
        <v>7.75</v>
      </c>
      <c r="V44" s="26" t="str">
        <f>'Raw Data'!$M40</f>
        <v>Analyzing presentation slides to evaluate both the visual design and written content for consistency</v>
      </c>
      <c r="W44" s="26">
        <f t="shared" si="9"/>
        <v>1</v>
      </c>
      <c r="X44" s="26" t="str">
        <f>'Raw Data'!$N40</f>
        <v>Hallucinations (generating false or misleading information), Biases in answers, Data privacy concerns when information is shared with an LLM</v>
      </c>
      <c r="Y44" s="26">
        <f t="shared" si="10"/>
        <v>0.75</v>
      </c>
      <c r="Z44" s="26" t="str">
        <f>'Raw Data'!$O40</f>
        <v>Anonymize information by removing identifying details, Use secure company instances or enterprise plans when available, Verify that the AI tool has SSL/HTTPS encryption before using it</v>
      </c>
      <c r="AA44" s="29">
        <f t="shared" si="11"/>
        <v>0</v>
      </c>
      <c r="AB44" s="26" t="str">
        <f>'Raw Data'!$P40</f>
        <v>Always: I routinely cross-check AI outputs with reliable sources</v>
      </c>
      <c r="AC44" s="26">
        <f t="shared" si="12"/>
        <v>1</v>
      </c>
      <c r="AD44" s="26" t="str">
        <f>'Raw Data'!$Q40</f>
        <v>Check if the response uses confident language and specific details, Cross-reference key claims with reliable external sources, Verify any calculations or data analysis independently</v>
      </c>
      <c r="AE44" s="26">
        <f t="shared" si="13"/>
        <v>0</v>
      </c>
      <c r="AF44" s="30">
        <f t="shared" si="14"/>
        <v>5.5</v>
      </c>
      <c r="AG44" s="26" t="str">
        <f>'Raw Data'!$R40</f>
        <v>Frequently: I systematically refine prompts until I'm satisfied</v>
      </c>
      <c r="AH44" s="26">
        <f t="shared" si="15"/>
        <v>1</v>
      </c>
      <c r="AI44" s="26" t="str">
        <f>'Raw Data'!$S40</f>
        <v>You are a Senior ABM Manager preparing for a work meeting to discuss a new initiative/proposal regarding the ABM 1:Few Cluster CDP where I want to experiment with direct mailer. 
Context:
- Initiative/proposal summary: Get more budget to be able to execute an experiment with direct mailer 
- Meeting audience: my manager
- Meeting goal: Convince my manager to give more budget for execution
Please help me with:
- Key talking points and a concise meeting narrative
- Anticipated questions, objections, or risks and strong responses
- Examples that would strengthen the proposal
- Clear next steps and a call to action
Let me know if you have any questions before performing the task</v>
      </c>
      <c r="AJ44" s="26" t="s">
        <v>213</v>
      </c>
      <c r="AK44" s="28" t="str">
        <f>substitute('Prompt Template'!$C$2,$AI$5,$AJ44)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ABM Manager preparing for a work meeting to discuss a new initiative/proposal regarding the ABM 1:Few Cluster CDP where I want to experiment with direct mailer. 
Context:
- Initiative/proposal summary: Get more budget to be able to execute an experiment with direct mailer 
- Meeting audience: my manager
- Meeting goal: Convince my manager to give more budget for execution
Please help me with:
- Key talking points and a concise meeting narrative
- Anticipated questions, objections, or risks and strong responses
- Examples that would strengthen the proposal
- Clear next steps and a call to action
Let me know if you have any questions before performing the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ABM Manager preparing for a work meeting to discuss a new initiative/proposal regarding the ABM 1:Few Cluster CDP where I want to experiment with direct mailer. 
Context:
- Initiative/proposal summary: Get more budget to be able to execute an experiment with direct mailer 
- Meeting audience: my manager
- Meeting goal: Convince my manager to give more budget for execution
Please help me with:
- Key talking points and a concise meeting narrative
- Anticipated questions, objections, or risks and strong responses
- Examples that would strengthen the proposal
- Clear next steps and a call to action
Let me know if you have any questions before performing the task&lt;/user_input&gt;</v>
      </c>
      <c r="AL44" s="26">
        <f t="array" ref="AL44">index('Response Scoring'!$G:$G,match($A44,'Response Scoring'!$A:$A,0))</f>
        <v>4</v>
      </c>
      <c r="AM44" s="26">
        <f t="shared" si="16"/>
        <v>0.8</v>
      </c>
      <c r="AN44" s="26" t="str">
        <f>'Raw Data'!$T40</f>
        <v>Role
You are a marketing research specialist with 7+ years of experience in competitive intelligence, pricing analysis, and product positioning. You support the ABM team within Autodesk’s Design &amp; Manufacturing industry by delivering structured, evidence-based competitive research.
Task
Research a specified competitor’s products, pricing, and market positioning, and compare them to relevant Autodesk offerings using publicly available information.
Context
This research is used by the ABM team to:
•	Build personalized account-based marketing content
•	Understand competitive differentiation
•	Support internal messaging and sales enablement
Requirements
1. Competitor scope
•	Base the research only on the competitor specified by the user
2. Product &amp; pricing analysis
•	Identify the competitor’s core products relevant to Autodesk’s portfolio
•	Research publicly available pricing and explicitly state when pricing is not public
3. Autodesk comparison
•	Compare each competitor product with the closest Autodesk equivalent, if one exists
•	If no direct equivalent exists, state this clearly
•	Use only public Autodesk product descriptions and positioning
•	Do not speculate about internal pricing or strategy
4. Positioning analysis (for each competitor product)
Analyse and summarize:
•	Value proposition (what problem they claim to solve)
•	Primary differentiators (how they position themselves as different)
•	Target audience / ICP, if stated or implied
•	Core messages and themes used in marketing
•	Primary channels (website, paid media, events, partners, etc.)
5. Output format
•	Include:
1.	A comparison table (Competitor Product vs Autodesk Product)
2.	A positioning summary section per product
•	Include sources/links for all claims
•	Do not make assumptions</v>
      </c>
      <c r="AO44" s="26" t="s">
        <v>214</v>
      </c>
      <c r="AP44" s="28" t="str">
        <f>substitute('Prompt Template'!$D$2,$AN$5,$AO44)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are a marketing research specialist with 7+ years of experience in competitive intelligence, pricing analysis, and product positioning. You support the ABM team within Autodesk’s Design &amp; Manufacturing industry by delivering structured, evidence-based competitive research.
Task
Research a specified competitor’s products, pricing, and market positioning, and compare them to relevant Autodesk offerings using publicly available information.
Context
This research is used by the ABM team to:
•	Build personalized account-based marketing content
•	Understand competitive differentiation
•	Support internal messaging and sales enablement
Requirements
1. Competitor scope
•	Base the research only on the competitor specified by the user
2. Product &amp; pricing analysis
•	Identify the competitor’s core products relevant to Autodesk’s portfolio
•	Research publicly available pricing and explicitly state when pricing is not public
3. Autodesk comparison
•	Compare each competitor product with the closest Autodesk equivalent, if one exists
•	If no direct equivalent exists, state this clearly
•	Use only public Autodesk product descriptions and positioning
•	Do not speculate about internal pricing or strategy
4. Positioning analysis (for each competitor product)
Analyse and summarize:
•	Value proposition (what problem they claim to solve)
•	Primary differentiators (how they position themselves as different)
•	Target audience / ICP, if stated or implied
•	Core messages and themes used in marketing
•	Primary channels (website, paid media, events, partners, etc.)
5. Output format
•	Include:
1.	A comparison table (Competitor Product vs Autodesk Product)
2.	A positioning summary section per product
•	Include sources/links for all claims
•	Do not make assumptions&lt;/user_input&gt;
</v>
      </c>
      <c r="AQ44" s="26">
        <f t="array" ref="AQ44">index('Response Scoring'!$I:$I,match($A44,'Response Scoring'!$A:$A,0))</f>
        <v>5</v>
      </c>
      <c r="AR44" s="26">
        <f t="shared" si="17"/>
        <v>1</v>
      </c>
      <c r="AS44" s="30">
        <f t="shared" si="18"/>
        <v>9.3</v>
      </c>
      <c r="AT44" s="26">
        <f t="shared" si="19"/>
        <v>38.475</v>
      </c>
      <c r="AU44" s="26">
        <f t="shared" si="20"/>
        <v>76.95</v>
      </c>
      <c r="AV44" s="26" t="str">
        <f t="shared" si="21"/>
        <v>AI Practitioner</v>
      </c>
      <c r="AW44" s="26" t="str">
        <f>'Raw Data'!U40</f>
        <v/>
      </c>
      <c r="AX44" s="26" t="str">
        <f>'Raw Data'!V40</f>
        <v/>
      </c>
      <c r="AY44" s="26" t="str">
        <f>'Raw Data'!W40</f>
        <v/>
      </c>
      <c r="AZ44" s="26" t="str">
        <f>'Raw Data'!X40</f>
        <v/>
      </c>
      <c r="BA44" s="26" t="str">
        <f>'Raw Data'!Y40</f>
        <v/>
      </c>
      <c r="BB44" s="26" t="str">
        <f>'Raw Data'!Z40</f>
        <v/>
      </c>
      <c r="BW44" s="31" t="str">
        <f>'Raw Data'!C40</f>
        <v>Growth &amp; Partner Marketing</v>
      </c>
      <c r="BZ44" s="26" t="str">
        <f>'Raw Data'!F40</f>
        <v>Individual Contributor</v>
      </c>
      <c r="CA44" s="31" t="str">
        <f>'Raw Data'!AU40</f>
        <v>Having the time to experiment more with AI</v>
      </c>
      <c r="CB44" s="31" t="str">
        <f>'Raw Data'!AV40</f>
        <v>I am not using any other tools for work. In my own time I use Perplexity, Gemini and Nano Banana</v>
      </c>
      <c r="CC44" s="31" t="str">
        <f>'Raw Data'!AW40</f>
        <v>Agree</v>
      </c>
    </row>
    <row r="45" ht="15.75" customHeight="1">
      <c r="A45" s="26">
        <f>'Raw Data'!$A41</f>
        <v>39</v>
      </c>
      <c r="B45" s="26" t="str">
        <f>'Raw Data'!$G41</f>
        <v>Daily</v>
      </c>
      <c r="C45" s="26">
        <f t="shared" si="1"/>
        <v>1</v>
      </c>
      <c r="D45" s="26" t="str">
        <f>'Raw Data'!$H41</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45" s="26">
        <f t="shared" si="2"/>
        <v>3</v>
      </c>
      <c r="F45" s="27">
        <f t="shared" si="3"/>
        <v>1</v>
      </c>
      <c r="G45" s="26" t="str">
        <f>'Raw Data'!$I41</f>
        <v>I've built custom AI tools (i.e. CustomGPTs, Copilot Agents) for repetitive tasks</v>
      </c>
      <c r="H45" s="26">
        <f t="shared" si="4"/>
        <v>0.75</v>
      </c>
      <c r="I45" s="26" t="str">
        <f>'Raw Data'!$J41</f>
        <v>Use AI to help analyze each data source, then compile results manually</v>
      </c>
      <c r="J45" s="26">
        <f t="shared" si="5"/>
        <v>0.67</v>
      </c>
      <c r="K45" s="26" t="str">
        <f>'Raw Data'!$K41</f>
        <v>First I'd use ChatGPT connected to Company Knowledge and other connectors like Slack and Outlook to research the topic. 
Then once I've gathered enough information, I'd ask ChatGPT to help come up with ideas on how best to present this information. 
Then I'd go into PowerPoint and start to draft the content, checking with ChatGPT to critique what I've got.</v>
      </c>
      <c r="L45" s="26" t="s">
        <v>215</v>
      </c>
      <c r="M45" s="28" t="str">
        <f>substitute('Prompt Template'!$A$2,$K$5,$L45)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I'd use ChatGPT connected to Company Knowledge and other connectors like Slack and Outlook to research the topic. 
Then once I've gathered enough information, I'd ask ChatGPT to help come up with ideas on how best to present this information. 
Then I'd go into PowerPoint and start to draft the content, checking with ChatGPT to critique what I've got.&lt;/user_input&gt;</v>
      </c>
      <c r="N45" s="26">
        <f t="array" ref="N45">index('Response Scoring'!$C:$C,match($A45,'Response Scoring'!$A:$A,0))</f>
        <v>2</v>
      </c>
      <c r="O45" s="29">
        <f t="shared" si="6"/>
        <v>0.6666666667</v>
      </c>
      <c r="P45" s="26" t="str">
        <f>'Raw Data'!$L41</f>
        <v>Using it as a baseline for creating battlecards for new competitors we aren't familiar with, use it to write sales win stories that used to be a manual process, using it to help update battlecards with new information/intel we receive</v>
      </c>
      <c r="Q45" s="26" t="s">
        <v>216</v>
      </c>
      <c r="R45" s="28" t="str">
        <f>substitute('Prompt Template'!$B$2,$P$5,$Q45)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it as a baseline for creating battlecards for new competitors we aren't familiar with, use it to write sales win stories that used to be a manual process, using it to help update battlecards with new information/intel we receive&lt;/user_input&gt;</v>
      </c>
      <c r="S45" s="26">
        <f t="array" ref="S45">index('Response Scoring'!$E:$E,match($A45,'Response Scoring'!$A:$A,0))</f>
        <v>3</v>
      </c>
      <c r="T45" s="29">
        <f t="shared" si="7"/>
        <v>1</v>
      </c>
      <c r="U45" s="29">
        <f t="shared" si="8"/>
        <v>8.753333333</v>
      </c>
      <c r="V45" s="26" t="str">
        <f>'Raw Data'!$M41</f>
        <v>Providing real-time updates on breaking news events happening right now</v>
      </c>
      <c r="W45" s="26">
        <f t="shared" si="9"/>
        <v>0</v>
      </c>
      <c r="X45" s="26" t="str">
        <f>'Raw Data'!$N41</f>
        <v>Hallucinations (generating false or misleading information), Biases in answers, Data privacy concerns when information is shared with an LLM</v>
      </c>
      <c r="Y45" s="26">
        <f t="shared" si="10"/>
        <v>0.75</v>
      </c>
      <c r="Z45" s="26" t="str">
        <f>'Raw Data'!$O41</f>
        <v>Use secure company instances or enterprise plans when available, Anonymize information by removing identifying details</v>
      </c>
      <c r="AA45" s="29">
        <f t="shared" si="11"/>
        <v>1</v>
      </c>
      <c r="AB45" s="26" t="str">
        <f>'Raw Data'!$P41</f>
        <v>Always: I routinely cross-check AI outputs with reliable sources</v>
      </c>
      <c r="AC45" s="26">
        <f t="shared" si="12"/>
        <v>1</v>
      </c>
      <c r="AD45" s="26" t="str">
        <f>'Raw Data'!$Q41</f>
        <v>Cross-reference key claims with reliable external sources, Verify any calculations or data analysis independently</v>
      </c>
      <c r="AE45" s="26">
        <f t="shared" si="13"/>
        <v>0.5</v>
      </c>
      <c r="AF45" s="30">
        <f t="shared" si="14"/>
        <v>6.5</v>
      </c>
      <c r="AG45" s="26" t="str">
        <f>'Raw Data'!$R41</f>
        <v>Sometimes: I iterate 2-3 times to reach a good result</v>
      </c>
      <c r="AH45" s="26">
        <f t="shared" si="15"/>
        <v>0.67</v>
      </c>
      <c r="AI45" s="26" t="str">
        <f>'Raw Data'!$S41</f>
        <v>To Enterprise ChatGPT: 
I need help preparing for a work meeting to discuss (new initiative/proposal). [Provide some more background details on what the purpose is, the audience for the meeting etc.]. I'll need to create a PowerPoint for this presentation. Can you help me identify what information would be best to include for this audience?</v>
      </c>
      <c r="AJ45" s="26" t="s">
        <v>217</v>
      </c>
      <c r="AK45" s="28" t="str">
        <f>substitute('Prompt Template'!$C$2,$AI$5,$AJ45)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&lt;prompt&gt;To Enterprise ChatGPT: 
I need help preparing for a work meeting to discuss (new initiative/proposal). [Provide some more background details on what the purpose is, the audience for the meeting etc.]. I'll need to create a PowerPoint for this presentation. Can you help me identify what information would be best to include for this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&lt;user_input&gt;To Enterprise ChatGPT: 
I need help preparing for a work meeting to discuss (new initiative/proposal). [Provide some more background details on what the purpose is, the audience for the meeting etc.]. I'll need to create a PowerPoint for this presentation. Can you help me identify what information would be best to include for this audience?&lt;/user_input&gt;</v>
      </c>
      <c r="AL45" s="26">
        <f t="array" ref="AL45">index('Response Scoring'!$G:$G,match($A45,'Response Scoring'!$A:$A,0))</f>
        <v>3</v>
      </c>
      <c r="AM45" s="26">
        <f t="shared" si="16"/>
        <v>0.6</v>
      </c>
      <c r="AN45" s="26" t="str">
        <f>'Raw Data'!$T41</f>
        <v>*Before you start to provide any response, please double-check if you can access all the links I've included below:
Act like a seasoned product marketing analyst with over 20 years of experience in competitive intelligence, specializing in the technology sector. You possess an in-depth understanding of market dynamics, competitor analysis, and the creation of sales battlecards that highlight competitive advantages and strategies. Your expertise includes synthesizing information from a variety of sources, including direct competitor websites and crowdsource intelligence platforms such as Reddit, G2, Forrester, Gartner, and any other source you can find. Your task today involves the creation of a detailed sales battlecard for a specified competitor, focusing on their market positioning, product offerings, strengths, and gaps or weaknesses when compared to Autodesk Water Infrastructure solutions including InfoWater Pro, InfoWorks ICM, IWLive Pro, Info360 Insight, Info360 Asset, InfoAsset Manager and any variations of these products [list Autodesk products]. 
Competitor Name:___
Competitor Primary Websites:   
________
Additional sources: 
________
Instructions for Creating the Battlecard (Please avoid using semicolons and em dashes and make sure everything is easily digestible):
1. Research Phase:
Begin by reviewing the competitor's websites provided including their brochures, workflow guides and demo videos. Analyze these resources thoroughly to understand their product offerings, solution highlights, and service models.
2. Company Overview 
Provide an company background overview of [competitor], product/industries supported, target market, GTM positioning/messaging, and pricing model. 
3. Product, Solution, and Services Highlights:
Provide a comprehensive overview of the competitor's key products, solutions, and services. Focus on unique features when compared to Autodesk, technology innovation, and the value proposition that distinguishes them in the marketplace.
4. Product Comparison Table:  
Thoroughly review features and workflows offered by the competitor’s products and determine if there are gaps or differentiators when compared to [Autodesk products]. Please make this a table comparison format
5. Strengths Analysis:
Based on the intelligence gathered, summarize the competitor's perceived strengths. This could include product superiority, market share, customer satisfaction, or technological innovation. Then provide an [Autodesk product] Objection Handling column next to it as well as another column with a “how to counter” talk tracks to position [Autodesk product] AGAINST the competitors' perceived strengths. 
6. Weakness Analysis 
If you were an Autodesk Seller competing with [competitor] and its specific products, what would you point to as its primary weaknesses when compared to [Autodesk product]? 
Remember, your goal is to create a battlecard that is not only informative but also serves as a strategic tool for sales teams to effectively position Autodesk against its competitors in sales scenarios. Ensure your analysis is data-driven, leveraging both qualitative and quantitative insights to provide a balanced view. Make sure you’re using the most reliable, relevant, and up-to-date sources and link what you reference. 
Take a deep breath and work on this problem step-by-step.</v>
      </c>
      <c r="AO45" s="26" t="s">
        <v>218</v>
      </c>
      <c r="AP45" s="28" t="str">
        <f>substitute('Prompt Template'!$D$2,$AN$5,$AO45)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&lt;user_input&gt;*Before you start to provide any response, please double-check if you can access all the links I've included below:
Act like a seasoned product marketing analyst with over 20 years of experience in competitive intelligence, specializing in the technology sector. You possess an in-depth understanding of market dynamics, competitor analysis, and the creation of sales battlecards that highlight competitive advantages and strategies. Your expertise includes synthesizing information from a variety of sources, including direct competitor websites and crowdsource intelligence platforms such as Reddit, G2, Forrester, Gartner, and any other source you can find. Your task today involves the creation of a detailed sales battlecard for a specified competitor, focusing on their market positioning, product offerings, strengths, and gaps or weaknesses when compared to Autodesk Water Infrastructure solutions including InfoWater Pro, InfoWorks ICM, IWLive Pro, Info360 Insight, Info360 Asset, InfoAsset Manager and any variations of these products [list Autodesk products]. 
Competitor Name:___
Competitor Primary Websites:   
________
Additional sources: 
________
Instructions for Creating the Battlecard (Please avoid using semicolons and em dashes and make sure everything is easily digestible):
1. Research Phase:
Begin by reviewing the competitor's websites provided including their brochures, workflow guides and demo videos. Analyze these resources thoroughly to understand their product offerings, solution highlights, and service models.
2. Company Overview 
Provide an company background overview of [competitor], product/industries supported, target market, GTM positioning/messaging, and pricing model. 
3. Product, Solution, and Services Highlights:
Provide a comprehensive overview of the competitor's key products, solutions, and services. Focus on unique features when compared to Autodesk, technology innovation, and the value proposition that distinguishes them in the marketplace.
4. Product Comparison Table:  
Thoroughly review features and workflows offered by the competitor’s products and determine if there are gaps or differentiators when compared to [Autodesk products]. Please make this a table comparison format
5. Strengths Analysis:
Based on the intelligence gathered, summarize the competitor's perceived strengths. This could include product superiority, market share, customer satisfaction, or technological innovation. Then provide an [Autodesk product] Objection Handling column next to it as well as another column with a “how to counter” talk tracks to position [Autodesk product] AGAINST the competitors' perceived strengths. 
6. Weakness Analysis 
If you were an Autodesk Seller competing with [competitor] and its specific products, what would you point to as its primary weaknesses when compared to [Autodesk product]? 
Remember, your goal is to create a battlecard that is not only informative but also serves as a strategic tool for sales teams to effectively position Autodesk against its competitors in sales scenarios. Ensure your analysis is data-driven, leveraging both qualitative and quantitative insights to provide a balanced view. Make sure you’re using the most reliable, relevant, and up-to-date sources and link what you reference. 
Take a deep breath and work on this problem step-by-step.&lt;/user_input&gt;
</v>
      </c>
      <c r="AQ45" s="26">
        <f t="array" ref="AQ45">index('Response Scoring'!$I:$I,match($A45,'Response Scoring'!$A:$A,0))</f>
        <v>4</v>
      </c>
      <c r="AR45" s="26">
        <f t="shared" si="17"/>
        <v>0.8</v>
      </c>
      <c r="AS45" s="30">
        <f t="shared" si="18"/>
        <v>7.105</v>
      </c>
      <c r="AT45" s="26">
        <f t="shared" si="19"/>
        <v>37.09</v>
      </c>
      <c r="AU45" s="26">
        <f t="shared" si="20"/>
        <v>74.18</v>
      </c>
      <c r="AV45" s="26" t="str">
        <f t="shared" si="21"/>
        <v>AI Practitioner</v>
      </c>
      <c r="AW45" s="26" t="str">
        <f>'Raw Data'!U41</f>
        <v/>
      </c>
      <c r="AX45" s="26" t="str">
        <f>'Raw Data'!V41</f>
        <v/>
      </c>
      <c r="AY45" s="26" t="str">
        <f>'Raw Data'!W41</f>
        <v/>
      </c>
      <c r="AZ45" s="26" t="str">
        <f>'Raw Data'!X41</f>
        <v/>
      </c>
      <c r="BA45" s="26" t="str">
        <f>'Raw Data'!Y41</f>
        <v/>
      </c>
      <c r="BB45" s="26" t="str">
        <f>'Raw Data'!Z41</f>
        <v/>
      </c>
      <c r="BW45" s="31" t="str">
        <f>'Raw Data'!C41</f>
        <v>Industry Portfolio &amp; Emerging Marketing</v>
      </c>
      <c r="BZ45" s="26" t="str">
        <f>'Raw Data'!F41</f>
        <v>Individual Contributor</v>
      </c>
      <c r="CA45" s="31" t="str">
        <f>'Raw Data'!AU41</f>
        <v>Hallucinations and make verifying the content</v>
      </c>
      <c r="CB45" s="31" t="str">
        <f>'Raw Data'!AV41</f>
        <v>None</v>
      </c>
      <c r="CC45" s="31" t="str">
        <f>'Raw Data'!AW41</f>
        <v>Neutral</v>
      </c>
    </row>
    <row r="46" ht="15.75" customHeight="1">
      <c r="A46" s="26">
        <f>'Raw Data'!$A42</f>
        <v>40</v>
      </c>
      <c r="B46" s="26" t="str">
        <f>'Raw Data'!$G42</f>
        <v>Daily</v>
      </c>
      <c r="C46" s="26">
        <f t="shared" si="1"/>
        <v>1</v>
      </c>
      <c r="D46" s="26" t="str">
        <f>'Raw Data'!$H42</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46" s="26">
        <f t="shared" si="2"/>
        <v>3</v>
      </c>
      <c r="F46" s="27">
        <f t="shared" si="3"/>
        <v>1</v>
      </c>
      <c r="G46" s="26" t="str">
        <f>'Raw Data'!$I42</f>
        <v>I've created workflows that connect AI with other systems (Slack, Salesforce, email) using integrations or code</v>
      </c>
      <c r="H46" s="26">
        <f t="shared" si="4"/>
        <v>1</v>
      </c>
      <c r="I46" s="26" t="str">
        <f>'Raw Data'!$J42</f>
        <v>Create a systematic process where AI handles data analysis and summary generation consistently</v>
      </c>
      <c r="J46" s="26">
        <f t="shared" si="5"/>
        <v>1</v>
      </c>
      <c r="K46" s="26" t="str">
        <f>'Raw Data'!$K42</f>
        <v>I would use AI first to help me learn about the topic, and ask questions as if it is an experienced colleague.
I would then provide parameters about the presentation and upload any existing documentation about the presentation, and ask it to help me come up with an outline and 2 sentence overview.
If that looks good, I would ask it to draft talking points for me.
Then I would review/adjust to make sure it's my own voice, meets the needs of the executive.
Lastly I would run it through one more time to ask if it has any final thoughts, if there are any questions I should be prepared to answer.</v>
      </c>
      <c r="L46" s="26" t="s">
        <v>219</v>
      </c>
      <c r="M46" s="28" t="str">
        <f>substitute('Prompt Template'!$A$2,$K$5,$L46)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first to help me learn about the topic, and ask questions as if it is an experienced colleague.
I would then provide parameters about the presentation and upload any existing documentation about the presentation, and ask it to help me come up with an outline and 2 sentence overview.
If that looks good, I would ask it to draft talking points for me.
Then I would review/adjust to make sure it's my own voice, meets the needs of the executive.
Lastly I would run it through one more time to ask if it has any final thoughts, if there are any questions I should be prepared to answer.&lt;/user_input&gt;</v>
      </c>
      <c r="N46" s="26">
        <f t="array" ref="N46">index('Response Scoring'!$C:$C,match($A46,'Response Scoring'!$A:$A,0))</f>
        <v>3</v>
      </c>
      <c r="O46" s="29">
        <f t="shared" si="6"/>
        <v>1</v>
      </c>
      <c r="P46" s="26" t="str">
        <f>'Raw Data'!$L42</f>
        <v>I use it to review all my work and help me look for anything missing, or important info I should be more prepared about.</v>
      </c>
      <c r="Q46" s="26" t="s">
        <v>220</v>
      </c>
      <c r="R46" s="28" t="str">
        <f>substitute('Prompt Template'!$B$2,$P$5,$Q46)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review all my work and help me look for anything missing, or important info I should be more prepared about.&lt;/user_input&gt;</v>
      </c>
      <c r="S46" s="26">
        <f t="array" ref="S46">index('Response Scoring'!$E:$E,match($A46,'Response Scoring'!$A:$A,0))</f>
        <v>2</v>
      </c>
      <c r="T46" s="29">
        <f t="shared" si="7"/>
        <v>0.6666666667</v>
      </c>
      <c r="U46" s="29">
        <f t="shared" si="8"/>
        <v>8.666666667</v>
      </c>
      <c r="V46" s="26" t="str">
        <f>'Raw Data'!$M42</f>
        <v>Analyzing presentation slides to evaluate both the visual design and written content for consistency</v>
      </c>
      <c r="W46" s="26">
        <f t="shared" si="9"/>
        <v>1</v>
      </c>
      <c r="X46" s="26" t="str">
        <f>'Raw Data'!$N42</f>
        <v>Hallucinations (generating false or misleading information), Biases in answers, Data privacy concerns when information is shared with an LLM</v>
      </c>
      <c r="Y46" s="26">
        <f t="shared" si="10"/>
        <v>0.75</v>
      </c>
      <c r="Z46" s="26" t="str">
        <f>'Raw Data'!$O42</f>
        <v>Anonymize information by removing identifying details, Only share information that you would be comfortable sharing internally with a colleague, Use secure company instances or enterprise plans when available</v>
      </c>
      <c r="AA46" s="29">
        <f t="shared" si="11"/>
        <v>1</v>
      </c>
      <c r="AB46" s="26" t="str">
        <f>'Raw Data'!$P42</f>
        <v>Always: I routinely cross-check AI outputs with reliable sources</v>
      </c>
      <c r="AC46" s="26">
        <f t="shared" si="12"/>
        <v>1</v>
      </c>
      <c r="AD46" s="26" t="str">
        <f>'Raw Data'!$Q42</f>
        <v>Ask the same AI tool to double-check its work for accuracy, Verify any calculations or data analysis independently, Cross-reference key claims with reliable external sources</v>
      </c>
      <c r="AE46" s="26">
        <f t="shared" si="13"/>
        <v>0.75</v>
      </c>
      <c r="AF46" s="30">
        <f t="shared" si="14"/>
        <v>9</v>
      </c>
      <c r="AG46" s="26" t="str">
        <f>'Raw Data'!$R42</f>
        <v>Frequently: I systematically refine prompts until I'm satisfied</v>
      </c>
      <c r="AH46" s="26">
        <f t="shared" si="15"/>
        <v>1</v>
      </c>
      <c r="AI46" s="26" t="str">
        <f>'Raw Data'!$S42</f>
        <v>Based on the attached background information, Please provide a suggested agenda and talking points for a 30-minute meeting with (Role a, role b, role c). Include 10 minutes for Q&amp;A, and also provide 5 questions attendees are likely to ask, with 1-sentence answers.</v>
      </c>
      <c r="AJ46" s="26" t="s">
        <v>221</v>
      </c>
      <c r="AK46" s="28" t="str">
        <f>substitute('Prompt Template'!$C$2,$AI$5,$AJ46)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&lt;prompt&gt;Based on the attached background information, Please provide a suggested agenda and talking points for a 30-minute meeting with (Role a, role b, role c). Include 10 minutes for Q&amp;A, and also provide 5 questions attendees are likely to ask, with 1-sentence answers.&lt;/prompt&gt;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&lt;user_input&gt;Based on the attached background information, Please provide a suggested agenda and talking points for a 30-minute meeting with (Role a, role b, role c). Include 10 minutes for Q&amp;A, and also provide 5 questions attendees are likely to ask, with 1-sentence answers.&lt;/user_input&gt;</v>
      </c>
      <c r="AL46" s="26">
        <f t="array" ref="AL46">index('Response Scoring'!$G:$G,match($A46,'Response Scoring'!$A:$A,0))</f>
        <v>4</v>
      </c>
      <c r="AM46" s="26">
        <f t="shared" si="16"/>
        <v>0.8</v>
      </c>
      <c r="AN46" s="26" t="str">
        <f>'Raw Data'!$T42</f>
        <v>Since I'm not highly familiar with doing competitor research. I would tell ChatGPT what I am aiming to do, and ask it to suggest possible instructions I should include to create such a GPT. I would ask it to include instructions to: 1-research the competitor with guidance about where and how, 2-what are the constraints or any relevant files or websites I should use, 3-what format or length the output should be, and 4-what they should not to, and how it should respond when it can't find the right data / information.</v>
      </c>
      <c r="AO46" s="26" t="s">
        <v>222</v>
      </c>
      <c r="AP46" s="28" t="str">
        <f>substitute('Prompt Template'!$D$2,$AN$5,$AO46)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&lt;user_input&gt;Since I'm not highly familiar with doing competitor research. I would tell ChatGPT what I am aiming to do, and ask it to suggest possible instructions I should include to create such a GPT. I would ask it to include instructions to: 1-research the competitor with guidance about where and how, 2-what are the constraints or any relevant files or websites I should use, 3-what format or length the output should be, and 4-what they should not to, and how it should respond when it can't find the right data / information.&lt;/user_input&gt;
</v>
      </c>
      <c r="AQ46" s="26">
        <f t="array" ref="AQ46">index('Response Scoring'!$I:$I,match($A46,'Response Scoring'!$A:$A,0))</f>
        <v>2</v>
      </c>
      <c r="AR46" s="26">
        <f t="shared" si="17"/>
        <v>0.4</v>
      </c>
      <c r="AS46" s="30">
        <f t="shared" si="18"/>
        <v>6.3</v>
      </c>
      <c r="AT46" s="26">
        <f t="shared" si="19"/>
        <v>39.1</v>
      </c>
      <c r="AU46" s="26">
        <f t="shared" si="20"/>
        <v>78.2</v>
      </c>
      <c r="AV46" s="26" t="str">
        <f t="shared" si="21"/>
        <v>AI Practitioner</v>
      </c>
      <c r="AW46" s="26" t="str">
        <f>'Raw Data'!U42</f>
        <v/>
      </c>
      <c r="AX46" s="26" t="str">
        <f>'Raw Data'!V42</f>
        <v/>
      </c>
      <c r="AY46" s="26" t="str">
        <f>'Raw Data'!W42</f>
        <v/>
      </c>
      <c r="AZ46" s="26" t="str">
        <f>'Raw Data'!X42</f>
        <v/>
      </c>
      <c r="BA46" s="26" t="str">
        <f>'Raw Data'!Y42</f>
        <v/>
      </c>
      <c r="BB46" s="26" t="str">
        <f>'Raw Data'!Z42</f>
        <v/>
      </c>
      <c r="BW46" s="31" t="str">
        <f>'Raw Data'!C42</f>
        <v>Marketing Strategy &amp; Planning</v>
      </c>
      <c r="BZ46" s="26" t="str">
        <f>'Raw Data'!F42</f>
        <v>Individual Contributor</v>
      </c>
      <c r="CA46" s="31" t="str">
        <f>'Raw Data'!AU42</f>
        <v>I don't really struggle any longer.</v>
      </c>
      <c r="CB46" s="31" t="str">
        <f>'Raw Data'!AV42</f>
        <v>ChatGPT, Copilot, Airtable's built-in AI (Omni)</v>
      </c>
      <c r="CC46" s="31" t="str">
        <f>'Raw Data'!AW42</f>
        <v>Agree</v>
      </c>
    </row>
    <row r="47" ht="15.75" customHeight="1">
      <c r="A47" s="26">
        <f>'Raw Data'!$A43</f>
        <v>41</v>
      </c>
      <c r="B47" s="26" t="str">
        <f>'Raw Data'!$G43</f>
        <v>Daily</v>
      </c>
      <c r="C47" s="26">
        <f t="shared" si="1"/>
        <v>1</v>
      </c>
      <c r="D47" s="26" t="str">
        <f>'Raw Data'!$H43</f>
        <v>Creating first drafts of content from scratch (reports, proposals, marketing copy), Editing or improving text I've already written (emails, documents, presentations), Brainstorming ideas, testing concepts, or getting feedback on my thinking</v>
      </c>
      <c r="E47" s="26">
        <f t="shared" si="2"/>
        <v>2</v>
      </c>
      <c r="F47" s="27">
        <f t="shared" si="3"/>
        <v>0.6666666667</v>
      </c>
      <c r="G47" s="26" t="str">
        <f>'Raw Data'!$I43</f>
        <v>I've built custom AI tools (i.e. CustomGPTs, Copilot Agents) for repetitive tasks</v>
      </c>
      <c r="H47" s="26">
        <f t="shared" si="4"/>
        <v>0.75</v>
      </c>
      <c r="I47" s="26" t="str">
        <f>'Raw Data'!$J43</f>
        <v>Create a systematic process where AI handles data analysis and summary generation consistently</v>
      </c>
      <c r="J47" s="26">
        <f t="shared" si="5"/>
        <v>1</v>
      </c>
      <c r="K47" s="26" t="str">
        <f>'Raw Data'!$K43</f>
        <v>Begin brainstorming thought process and refine storyline with back and forth with agent. Narrow focus to define key points for presentation. Ask agent to outline initial slides.</v>
      </c>
      <c r="L47" s="26" t="s">
        <v>223</v>
      </c>
      <c r="M47" s="28" t="str">
        <f>substitute('Prompt Template'!$A$2,$K$5,$L47)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&lt;user_input&gt;Begin brainstorming thought process and refine storyline with back and forth with agent. Narrow focus to define key points for presentation. Ask agent to outline initial slides.&lt;/user_input&gt;</v>
      </c>
      <c r="N47" s="26">
        <f t="array" ref="N47">index('Response Scoring'!$C:$C,match($A47,'Response Scoring'!$A:$A,0))</f>
        <v>2</v>
      </c>
      <c r="O47" s="29">
        <f t="shared" si="6"/>
        <v>0.6666666667</v>
      </c>
      <c r="P47" s="26" t="str">
        <f>'Raw Data'!$L43</f>
        <v>Using it as a thought partner to validate understanding; dig into nuances and then prepare a POV or recommendation to deliver to others.</v>
      </c>
      <c r="Q47" s="26" t="s">
        <v>224</v>
      </c>
      <c r="R47" s="28" t="str">
        <f>substitute('Prompt Template'!$B$2,$P$5,$Q47)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it as a thought partner to validate understanding; dig into nuances and then prepare a POV or recommendation to deliver to others.&lt;/user_input&gt;</v>
      </c>
      <c r="S47" s="26">
        <f t="array" ref="S47">index('Response Scoring'!$E:$E,match($A47,'Response Scoring'!$A:$A,0))</f>
        <v>2</v>
      </c>
      <c r="T47" s="29">
        <f t="shared" si="7"/>
        <v>0.6666666667</v>
      </c>
      <c r="U47" s="29">
        <f t="shared" si="8"/>
        <v>7.25</v>
      </c>
      <c r="V47" s="26" t="str">
        <f>'Raw Data'!$M43</f>
        <v>Creating a complete slide deck with visual design for an important client presentation</v>
      </c>
      <c r="W47" s="26">
        <f t="shared" si="9"/>
        <v>0</v>
      </c>
      <c r="X47" s="26" t="str">
        <f>'Raw Data'!$N43</f>
        <v>Hallucinations (generating false or misleading information), Biases in answers, Data privacy concerns when information is shared with an LLM</v>
      </c>
      <c r="Y47" s="26">
        <f t="shared" si="10"/>
        <v>0.75</v>
      </c>
      <c r="Z47" s="26" t="str">
        <f>'Raw Data'!$O43</f>
        <v>Verify that the AI tool has SSL/HTTPS encryption before using it, Use secure company instances or enterprise plans when available</v>
      </c>
      <c r="AA47" s="29">
        <f t="shared" si="11"/>
        <v>0</v>
      </c>
      <c r="AB47" s="26" t="str">
        <f>'Raw Data'!$P43</f>
        <v>Sometimes: I do a quick check against known data or references</v>
      </c>
      <c r="AC47" s="26">
        <f t="shared" si="12"/>
        <v>0.67</v>
      </c>
      <c r="AD47" s="26" t="str">
        <f>'Raw Data'!$Q43</f>
        <v>Cross-reference key claims with reliable external sources, Use a different AI tool to review and verify the content</v>
      </c>
      <c r="AE47" s="26">
        <f t="shared" si="13"/>
        <v>0.5</v>
      </c>
      <c r="AF47" s="30">
        <f t="shared" si="14"/>
        <v>3.84</v>
      </c>
      <c r="AG47" s="26" t="str">
        <f>'Raw Data'!$R43</f>
        <v>Sometimes: I iterate 2-3 times to reach a good result</v>
      </c>
      <c r="AH47" s="26">
        <f t="shared" si="15"/>
        <v>0.67</v>
      </c>
      <c r="AI47" s="26" t="str">
        <f>'Raw Data'!$S43</f>
        <v>I have an upcoming meeting with Bob and Sue about XYZ. Based on what information your able to see about my interactions with Bob and Sue on email and Slack, as well a past meetings and company knowledge, what key questions should I consider asking?</v>
      </c>
      <c r="AJ47" s="26" t="s">
        <v>225</v>
      </c>
      <c r="AK47" s="28" t="str">
        <f>substitute('Prompt Template'!$C$2,$AI$5,$AJ47)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Bob and Sue about XYZ. Based on what information your able to see about my interactions with Bob and Sue on email and Slack, as well a past meetings and company knowledge, what key questions should I consider asking?&lt;/prompt&gt;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Bob and Sue about XYZ. Based on what information your able to see about my interactions with Bob and Sue on email and Slack, as well a past meetings and company knowledge, what key questions should I consider asking?&lt;/user_input&gt;</v>
      </c>
      <c r="AL47" s="26">
        <f t="array" ref="AL47">index('Response Scoring'!$G:$G,match($A47,'Response Scoring'!$A:$A,0))</f>
        <v>2</v>
      </c>
      <c r="AM47" s="26">
        <f t="shared" si="16"/>
        <v>0.4</v>
      </c>
      <c r="AN47" s="26" t="str">
        <f>'Raw Data'!$T43</f>
        <v>Pretend you are a marketing analyst working to develop a report on competitors. 
For each finding, include a mention of the competitor and link to the original source data. 
Do not over generalize, instead point out similiarities and differences for each company. 
Use bullets points to present findings.
Sort information based on recency. 
Break findings out into each of the categories (products, pricing, positioning)</v>
      </c>
      <c r="AO47" s="26" t="s">
        <v>226</v>
      </c>
      <c r="AP47" s="28" t="str">
        <f>substitute('Prompt Template'!$D$2,$AN$5,$AO47)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&lt;user_input&gt;Pretend you are a marketing analyst working to develop a report on competitors. 
For each finding, include a mention of the competitor and link to the original source data. 
Do not over generalize, instead point out similiarities and differences for each company. 
Use bullets points to present findings.
Sort information based on recency. 
Break findings out into each of the categories (products, pricing, positioning)&lt;/user_input&gt;
</v>
      </c>
      <c r="AQ47" s="26">
        <f t="array" ref="AQ47">index('Response Scoring'!$I:$I,match($A47,'Response Scoring'!$A:$A,0))</f>
        <v>3</v>
      </c>
      <c r="AR47" s="26">
        <f t="shared" si="17"/>
        <v>0.6</v>
      </c>
      <c r="AS47" s="30">
        <f t="shared" si="18"/>
        <v>5.405</v>
      </c>
      <c r="AT47" s="26">
        <f t="shared" si="19"/>
        <v>27.445</v>
      </c>
      <c r="AU47" s="26">
        <f t="shared" si="20"/>
        <v>54.89</v>
      </c>
      <c r="AV47" s="26" t="str">
        <f t="shared" si="21"/>
        <v>AI Experimenter</v>
      </c>
      <c r="AW47" s="26" t="str">
        <f>'Raw Data'!U43</f>
        <v/>
      </c>
      <c r="AX47" s="26" t="str">
        <f>'Raw Data'!V43</f>
        <v/>
      </c>
      <c r="AY47" s="26" t="str">
        <f>'Raw Data'!W43</f>
        <v/>
      </c>
      <c r="AZ47" s="26" t="str">
        <f>'Raw Data'!X43</f>
        <v/>
      </c>
      <c r="BA47" s="26" t="str">
        <f>'Raw Data'!Y43</f>
        <v/>
      </c>
      <c r="BB47" s="26" t="str">
        <f>'Raw Data'!Z43</f>
        <v/>
      </c>
      <c r="BW47" s="31" t="str">
        <f>'Raw Data'!C43</f>
        <v>Marketing Strategy &amp; Planning</v>
      </c>
      <c r="BZ47" s="26" t="str">
        <f>'Raw Data'!F43</f>
        <v>Individual Contributor</v>
      </c>
      <c r="CA47" s="31" t="str">
        <f>'Raw Data'!AU43</f>
        <v>So much of the work that I do is not repeatable so feels like building new prompts each and every day.</v>
      </c>
      <c r="CB47" s="31" t="str">
        <f>'Raw Data'!AV43</f>
        <v>Gemini for nano banana</v>
      </c>
      <c r="CC47" s="31" t="str">
        <f>'Raw Data'!AW43</f>
        <v>Agree</v>
      </c>
    </row>
    <row r="48" ht="15.75" customHeight="1">
      <c r="A48" s="26">
        <f>'Raw Data'!$A44</f>
        <v>42</v>
      </c>
      <c r="B48" s="26" t="str">
        <f>'Raw Data'!$G44</f>
        <v>Daily</v>
      </c>
      <c r="C48" s="26">
        <f t="shared" si="1"/>
        <v>1</v>
      </c>
      <c r="D48" s="26" t="str">
        <f>'Raw Data'!$H44</f>
        <v>Getting quick answers to specific questions or looking up information, Editing or improving text I've already written (emails, documents, presentations), Analyzing data or documents to extract insights or summaries, Writing or debugging code, scripts, or formulas, Creating first drafts of content from scratch (reports, proposals, marketing copy), Brainstorming ideas, testing concepts, or getting feedback on my thinking</v>
      </c>
      <c r="E48" s="26">
        <f t="shared" si="2"/>
        <v>2</v>
      </c>
      <c r="F48" s="27">
        <f t="shared" si="3"/>
        <v>0.6666666667</v>
      </c>
      <c r="G48" s="26" t="str">
        <f>'Raw Data'!$I44</f>
        <v>I create fresh prompts each time I use AI</v>
      </c>
      <c r="H48" s="26">
        <f t="shared" si="4"/>
        <v>0.25</v>
      </c>
      <c r="I48" s="26" t="str">
        <f>'Raw Data'!$J44</f>
        <v>Use AI to help analyze each data source, then compile results manually</v>
      </c>
      <c r="J48" s="26">
        <f t="shared" si="5"/>
        <v>0.67</v>
      </c>
      <c r="K48" s="26" t="str">
        <f>'Raw Data'!$K44</f>
        <v>I would use AI to learn about the topic then have it create a sample presentation that I would refine and probably use more AI.</v>
      </c>
      <c r="L48" s="26" t="s">
        <v>227</v>
      </c>
      <c r="M48" s="28" t="str">
        <f>substitute('Prompt Template'!$A$2,$K$5,$L48)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learn about the topic then have it create a sample presentation that I would refine and probably use more AI.&lt;/user_input&gt;</v>
      </c>
      <c r="N48" s="26">
        <f t="array" ref="N48">index('Response Scoring'!$C:$C,match($A48,'Response Scoring'!$A:$A,0))</f>
        <v>2</v>
      </c>
      <c r="O48" s="29">
        <f t="shared" si="6"/>
        <v>0.6666666667</v>
      </c>
      <c r="P48" s="26" t="str">
        <f>'Raw Data'!$L44</f>
        <v>I use it to help me build in Airtable and also with daily tasks like comparing spreadsheets, emails and presentations.</v>
      </c>
      <c r="Q48" s="26" t="s">
        <v>228</v>
      </c>
      <c r="R48" s="28" t="str">
        <f>substitute('Prompt Template'!$B$2,$P$5,$Q48)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help me build in Airtable and also with daily tasks like comparing spreadsheets, emails and presentations.&lt;/user_input&gt;</v>
      </c>
      <c r="S48" s="26">
        <f t="array" ref="S48">index('Response Scoring'!$E:$E,match($A48,'Response Scoring'!$A:$A,0))</f>
        <v>1</v>
      </c>
      <c r="T48" s="29">
        <f t="shared" si="7"/>
        <v>0.3333333333</v>
      </c>
      <c r="U48" s="29">
        <f t="shared" si="8"/>
        <v>5.086666667</v>
      </c>
      <c r="V48" s="26" t="str">
        <f>'Raw Data'!$M44</f>
        <v>Analyzing presentation slides to evaluate both the visual design and written content for consistency</v>
      </c>
      <c r="W48" s="26">
        <f t="shared" si="9"/>
        <v>1</v>
      </c>
      <c r="X48" s="26" t="str">
        <f>'Raw Data'!$N44</f>
        <v>Hallucinations (generating false or misleading information), Biases in answers, Data privacy concerns when information is shared with an LLM, Vulnerability to manipulation by bad actors</v>
      </c>
      <c r="Y48" s="26">
        <f t="shared" si="10"/>
        <v>1</v>
      </c>
      <c r="Z48" s="26" t="str">
        <f>'Raw Data'!$O44</f>
        <v>Anonymize information by removing identifying details, Use secure company instances or enterprise plans when available</v>
      </c>
      <c r="AA48" s="29">
        <f t="shared" si="11"/>
        <v>1</v>
      </c>
      <c r="AB48" s="26" t="str">
        <f>'Raw Data'!$P44</f>
        <v>Always: I routinely cross-check AI outputs with reliable sources</v>
      </c>
      <c r="AC48" s="26">
        <f t="shared" si="12"/>
        <v>1</v>
      </c>
      <c r="AD48" s="26" t="str">
        <f>'Raw Data'!$Q44</f>
        <v>Look for professional formatting and proper grammar, Cross-reference key claims with reliable external sources</v>
      </c>
      <c r="AE48" s="26">
        <f t="shared" si="13"/>
        <v>0</v>
      </c>
      <c r="AF48" s="30">
        <f t="shared" si="14"/>
        <v>8</v>
      </c>
      <c r="AG48" s="26" t="str">
        <f>'Raw Data'!$R44</f>
        <v>Sometimes: I iterate 2-3 times to reach a good result</v>
      </c>
      <c r="AH48" s="26">
        <f t="shared" si="15"/>
        <v>0.67</v>
      </c>
      <c r="AI48" s="26" t="str">
        <f>'Raw Data'!$S44</f>
        <v>I'm preparing for a meeting to discuss X initiative. Prepare a summary of key items</v>
      </c>
      <c r="AJ48" s="26" t="s">
        <v>229</v>
      </c>
      <c r="AK48" s="28" t="str">
        <f>substitute('Prompt Template'!$C$2,$AI$5,$AJ48)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X initiative. Prepare a summary of key items&lt;/prompt&gt;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X initiative. Prepare a summary of key items&lt;/user_input&gt;</v>
      </c>
      <c r="AL48" s="26">
        <f t="array" ref="AL48">index('Response Scoring'!$G:$G,match($A48,'Response Scoring'!$A:$A,0))</f>
        <v>2</v>
      </c>
      <c r="AM48" s="26">
        <f t="shared" si="16"/>
        <v>0.4</v>
      </c>
      <c r="AN48" s="26" t="str">
        <f>'Raw Data'!$T44</f>
        <v>I don't know how to create custom AI instructions.</v>
      </c>
      <c r="AO48" s="26" t="s">
        <v>230</v>
      </c>
      <c r="AP48" s="28" t="str">
        <f>substitute('Prompt Template'!$D$2,$AN$5,$AO48)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8" s="26">
        <f t="array" ref="AQ48">index('Response Scoring'!$I:$I,match($A48,'Response Scoring'!$A:$A,0))</f>
        <v>0</v>
      </c>
      <c r="AR48" s="26">
        <f t="shared" si="17"/>
        <v>0</v>
      </c>
      <c r="AS48" s="30">
        <f t="shared" si="18"/>
        <v>2.405</v>
      </c>
      <c r="AT48" s="26">
        <f t="shared" si="19"/>
        <v>24.44</v>
      </c>
      <c r="AU48" s="26">
        <f t="shared" si="20"/>
        <v>48.88</v>
      </c>
      <c r="AV48" s="26" t="str">
        <f t="shared" si="21"/>
        <v>AI Experimenter</v>
      </c>
      <c r="AW48" s="26" t="str">
        <f>'Raw Data'!U44</f>
        <v/>
      </c>
      <c r="AX48" s="26" t="str">
        <f>'Raw Data'!V44</f>
        <v/>
      </c>
      <c r="AY48" s="26" t="str">
        <f>'Raw Data'!W44</f>
        <v/>
      </c>
      <c r="AZ48" s="26" t="str">
        <f>'Raw Data'!X44</f>
        <v/>
      </c>
      <c r="BA48" s="26" t="str">
        <f>'Raw Data'!Y44</f>
        <v/>
      </c>
      <c r="BB48" s="26" t="str">
        <f>'Raw Data'!Z44</f>
        <v/>
      </c>
      <c r="BW48" s="31" t="str">
        <f>'Raw Data'!C44</f>
        <v>Digital &amp; eCommerce</v>
      </c>
      <c r="BZ48" s="26" t="str">
        <f>'Raw Data'!F44</f>
        <v>Individual Contributor</v>
      </c>
      <c r="CA48" s="31" t="str">
        <f>'Raw Data'!AU44</f>
        <v>Getting AI to give me the results I want from a spreadsheet the first time.</v>
      </c>
      <c r="CB48" s="31" t="str">
        <f>'Raw Data'!AV44</f>
        <v>None</v>
      </c>
      <c r="CC48" s="31" t="str">
        <f>'Raw Data'!AW44</f>
        <v>Agree</v>
      </c>
    </row>
    <row r="49" ht="15.75" customHeight="1">
      <c r="A49" s="26">
        <f>'Raw Data'!$A45</f>
        <v>43</v>
      </c>
      <c r="B49" s="26" t="str">
        <f>'Raw Data'!$G45</f>
        <v>A few times a month</v>
      </c>
      <c r="C49" s="26">
        <f t="shared" si="1"/>
        <v>0.25</v>
      </c>
      <c r="D49" s="26" t="str">
        <f>'Raw Data'!$H45</f>
        <v>Editing or improving text I've already written (emails, documents, presentations), Getting quick answers to specific questions or looking up information</v>
      </c>
      <c r="E49" s="26">
        <f t="shared" si="2"/>
        <v>1</v>
      </c>
      <c r="F49" s="27">
        <f t="shared" si="3"/>
        <v>0.3333333333</v>
      </c>
      <c r="G49" s="26" t="str">
        <f>'Raw Data'!$I45</f>
        <v>I create fresh prompts each time I use AI</v>
      </c>
      <c r="H49" s="26">
        <f t="shared" si="4"/>
        <v>0.25</v>
      </c>
      <c r="I49" s="26" t="str">
        <f>'Raw Data'!$J45</f>
        <v>I wouldn’t use AI for this task</v>
      </c>
      <c r="J49" s="26" t="b">
        <f t="shared" si="5"/>
        <v>0</v>
      </c>
      <c r="K49" s="26" t="str">
        <f>'Raw Data'!$K45</f>
        <v>I would use AI to research best practices on the unfamiliar topic, then use it to make suggestions on what potential direction of the presentation based on the audience</v>
      </c>
      <c r="L49" s="26" t="s">
        <v>231</v>
      </c>
      <c r="M49" s="28" t="str">
        <f>substitute('Prompt Template'!$A$2,$K$5,$L49)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best practices on the unfamiliar topic, then use it to make suggestions on what potential direction of the presentation based on the audience&lt;/user_input&gt;</v>
      </c>
      <c r="N49" s="26">
        <f t="array" ref="N49">index('Response Scoring'!$C:$C,match($A49,'Response Scoring'!$A:$A,0))</f>
        <v>2</v>
      </c>
      <c r="O49" s="29">
        <f t="shared" si="6"/>
        <v>0.6666666667</v>
      </c>
      <c r="P49" s="26" t="str">
        <f>'Raw Data'!$L45</f>
        <v>I use AI to help me create roundtable topics/conversation starters for country-specific engagements that relate to in geo customer challenges that a visiting exec or SME can talk to</v>
      </c>
      <c r="Q49" s="26" t="s">
        <v>232</v>
      </c>
      <c r="R49" s="28" t="str">
        <f>substitute('Prompt Template'!$B$2,$P$5,$Q49)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create roundtable topics/conversation starters for country-specific engagements that relate to in geo customer challenges that a visiting exec or SME can talk to&lt;/user_input&gt;</v>
      </c>
      <c r="S49" s="26">
        <f t="array" ref="S49">index('Response Scoring'!$E:$E,match($A49,'Response Scoring'!$A:$A,0))</f>
        <v>2</v>
      </c>
      <c r="T49" s="29">
        <f t="shared" si="7"/>
        <v>0.6666666667</v>
      </c>
      <c r="U49" s="29">
        <f t="shared" si="8"/>
        <v>4.875</v>
      </c>
      <c r="V49" s="26" t="str">
        <f>'Raw Data'!$M45</f>
        <v>Analyzing presentation slides to evaluate both the visual design and written content for consistency</v>
      </c>
      <c r="W49" s="26">
        <f t="shared" si="9"/>
        <v>1</v>
      </c>
      <c r="X49" s="26" t="str">
        <f>'Raw Data'!$N45</f>
        <v>Biases in answers, Data privacy concerns when information is shared with an LLM, Hallucinations (generating false or misleading information)</v>
      </c>
      <c r="Y49" s="26">
        <f t="shared" si="10"/>
        <v>0.75</v>
      </c>
      <c r="Z49" s="26" t="str">
        <f>'Raw Data'!$O45</f>
        <v>Only share information that you would be comfortable sharing internally with a colleague, Anonymize information by removing identifying details, Verify that the AI tool has SSL/HTTPS encryption before using it</v>
      </c>
      <c r="AA49" s="29">
        <f t="shared" si="11"/>
        <v>0</v>
      </c>
      <c r="AB49" s="26" t="str">
        <f>'Raw Data'!$P45</f>
        <v>Always: I routinely cross-check AI outputs with reliable sources</v>
      </c>
      <c r="AC49" s="26">
        <f t="shared" si="12"/>
        <v>1</v>
      </c>
      <c r="AD49" s="26" t="str">
        <f>'Raw Data'!$Q45</f>
        <v>Cross-reference key claims with reliable external sources, Verify any calculations or data analysis independently</v>
      </c>
      <c r="AE49" s="26">
        <f t="shared" si="13"/>
        <v>0.5</v>
      </c>
      <c r="AF49" s="30">
        <f t="shared" si="14"/>
        <v>6.5</v>
      </c>
      <c r="AG49" s="26" t="str">
        <f>'Raw Data'!$R45</f>
        <v>Frequently: I systematically refine prompts until I'm satisfied</v>
      </c>
      <c r="AH49" s="26">
        <f t="shared" si="15"/>
        <v>1</v>
      </c>
      <c r="AI49" s="26" t="str">
        <f>'Raw Data'!$S45</f>
        <v>I'm about to launch xxx initiative to the entire company. Can you read through the proposal and give me a 4 point agenda that includes the top 3 reasons to move ahead, the top 3 challenges that we will face in the first 3 months, the potential positive impact that it will have to the company in the next 6-9 months, and what I will need to be successful</v>
      </c>
      <c r="AJ49" s="26" t="s">
        <v>233</v>
      </c>
      <c r="AK49" s="28" t="str">
        <f>substitute('Prompt Template'!$C$2,$AI$5,$AJ49)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about to launch xxx initiative to the entire company. Can you read through the proposal and give me a 4 point agenda that includes the top 3 reasons to move ahead, the top 3 challenges that we will face in the first 3 months, the potential positive impact that it will have to the company in the next 6-9 months, and what I will need to be successful&lt;/prompt&gt;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about to launch xxx initiative to the entire company. Can you read through the proposal and give me a 4 point agenda that includes the top 3 reasons to move ahead, the top 3 challenges that we will face in the first 3 months, the potential positive impact that it will have to the company in the next 6-9 months, and what I will need to be successful&lt;/user_input&gt;</v>
      </c>
      <c r="AL49" s="26">
        <f t="array" ref="AL49">index('Response Scoring'!$G:$G,match($A49,'Response Scoring'!$A:$A,0))</f>
        <v>2</v>
      </c>
      <c r="AM49" s="26">
        <f t="shared" si="16"/>
        <v>0.4</v>
      </c>
      <c r="AN49" s="26" t="str">
        <f>'Raw Data'!$T45</f>
        <v>I don't know how to create custom AI instructions'</v>
      </c>
      <c r="AO49" s="26" t="s">
        <v>234</v>
      </c>
      <c r="AP49" s="28" t="str">
        <f>substitute('Prompt Template'!$D$2,$AN$5,$AO49)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9" s="26">
        <f t="array" ref="AQ49">index('Response Scoring'!$I:$I,match($A49,'Response Scoring'!$A:$A,0))</f>
        <v>0</v>
      </c>
      <c r="AR49" s="26">
        <f t="shared" si="17"/>
        <v>0</v>
      </c>
      <c r="AS49" s="30">
        <f t="shared" si="18"/>
        <v>2.9</v>
      </c>
      <c r="AT49" s="26">
        <f t="shared" si="19"/>
        <v>22.8625</v>
      </c>
      <c r="AU49" s="26">
        <f t="shared" si="20"/>
        <v>45.725</v>
      </c>
      <c r="AV49" s="26" t="str">
        <f t="shared" si="21"/>
        <v>AI Experimenter</v>
      </c>
      <c r="AW49" s="26" t="str">
        <f>'Raw Data'!U45</f>
        <v/>
      </c>
      <c r="AX49" s="26" t="str">
        <f>'Raw Data'!V45</f>
        <v/>
      </c>
      <c r="AY49" s="26" t="str">
        <f>'Raw Data'!W45</f>
        <v/>
      </c>
      <c r="AZ49" s="26" t="str">
        <f>'Raw Data'!X45</f>
        <v/>
      </c>
      <c r="BA49" s="26" t="str">
        <f>'Raw Data'!Y45</f>
        <v/>
      </c>
      <c r="BB49" s="26" t="str">
        <f>'Raw Data'!Z45</f>
        <v/>
      </c>
      <c r="BW49" s="31" t="str">
        <f>'Raw Data'!C45</f>
        <v>Growth &amp; Partner Marketing</v>
      </c>
      <c r="BZ49" s="26" t="str">
        <f>'Raw Data'!F45</f>
        <v>Manager or Senior Manager</v>
      </c>
      <c r="CA49" s="31" t="str">
        <f>'Raw Data'!AU45</f>
        <v>remembering to utilise it</v>
      </c>
      <c r="CB49" s="31" t="str">
        <f>'Raw Data'!AV45</f>
        <v>None</v>
      </c>
      <c r="CC49" s="31" t="str">
        <f>'Raw Data'!AW45</f>
        <v>Strongly agree</v>
      </c>
    </row>
    <row r="50" ht="15.75" customHeight="1">
      <c r="A50" s="26">
        <f>'Raw Data'!$A46</f>
        <v>44</v>
      </c>
      <c r="B50" s="26" t="str">
        <f>'Raw Data'!$G46</f>
        <v>Daily</v>
      </c>
      <c r="C50" s="26">
        <f t="shared" si="1"/>
        <v>1</v>
      </c>
      <c r="D50" s="26" t="str">
        <f>'Raw Data'!$H46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50" s="26">
        <f t="shared" si="2"/>
        <v>2</v>
      </c>
      <c r="F50" s="27">
        <f t="shared" si="3"/>
        <v>0.6666666667</v>
      </c>
      <c r="G50" s="26" t="str">
        <f>'Raw Data'!$I46</f>
        <v>I create fresh prompts each time I use AI</v>
      </c>
      <c r="H50" s="26">
        <f t="shared" si="4"/>
        <v>0.25</v>
      </c>
      <c r="I50" s="26" t="str">
        <f>'Raw Data'!$J46</f>
        <v>Use AI to help analyze each data source, then compile results manually</v>
      </c>
      <c r="J50" s="26">
        <f t="shared" si="5"/>
        <v>0.67</v>
      </c>
      <c r="K50" s="26" t="str">
        <f>'Raw Data'!$K46</f>
        <v>I would use AI to help inform areas that might be critical to review, research those areas and also to put together a first draft outline. I would then use AI to refine the approach. However, I don't think AI is quite there in terms of creating slides, so if I needed to create sides I would just do that myself as I feel its' more efficient.</v>
      </c>
      <c r="L50" s="26" t="s">
        <v>235</v>
      </c>
      <c r="M50" s="28" t="str">
        <f>substitute('Prompt Template'!$A$2,$K$5,$L50)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inform areas that might be critical to review, research those areas and also to put together a first draft outline. I would then use AI to refine the approach. However, I don't think AI is quite there in terms of creating slides, so if I needed to create sides I would just do that myself as I feel its' more efficient.&lt;/user_input&gt;</v>
      </c>
      <c r="N50" s="26">
        <f t="array" ref="N50">index('Response Scoring'!$C:$C,match($A50,'Response Scoring'!$A:$A,0))</f>
        <v>2</v>
      </c>
      <c r="O50" s="29">
        <f t="shared" si="6"/>
        <v>0.6666666667</v>
      </c>
      <c r="P50" s="26" t="str">
        <f>'Raw Data'!$L46</f>
        <v>1) AI helps me structure my stream of conscious thoughts into a solid first draft
2) AI helps me analyze data from helping to provide insights to creating sharable tables
3) AI helps me with just my everyday tasks like polishing emails etc.</v>
      </c>
      <c r="Q50" s="26" t="s">
        <v>236</v>
      </c>
      <c r="R50" s="28" t="str">
        <f>substitute('Prompt Template'!$B$2,$P$5,$Q50)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AI helps me structure my stream of conscious thoughts into a solid first draft
2) AI helps me analyze data from helping to provide insights to creating sharable tables
3) AI helps me with just my everyday tasks like polishing emails etc.&lt;/user_input&gt;</v>
      </c>
      <c r="S50" s="26">
        <f t="array" ref="S50">index('Response Scoring'!$E:$E,match($A50,'Response Scoring'!$A:$A,0))</f>
        <v>2</v>
      </c>
      <c r="T50" s="29">
        <f t="shared" si="7"/>
        <v>0.6666666667</v>
      </c>
      <c r="U50" s="29">
        <f t="shared" si="8"/>
        <v>6.42</v>
      </c>
      <c r="V50" s="26" t="str">
        <f>'Raw Data'!$M46</f>
        <v>Analyzing presentation slides to evaluate both the visual design and written content for consistency</v>
      </c>
      <c r="W50" s="26">
        <f t="shared" si="9"/>
        <v>1</v>
      </c>
      <c r="X50" s="26" t="str">
        <f>'Raw Data'!$N46</f>
        <v>Hallucinations (generating false or misleading information), Biases in answers, Data privacy concerns when information is shared with an LLM, Vulnerability to manipulation by bad actors</v>
      </c>
      <c r="Y50" s="26">
        <f t="shared" si="10"/>
        <v>1</v>
      </c>
      <c r="Z50" s="26" t="str">
        <f>'Raw Data'!$O46</f>
        <v>Anonymize information by removing identifying details, Use secure company instances or enterprise plans when available</v>
      </c>
      <c r="AA50" s="29">
        <f t="shared" si="11"/>
        <v>1</v>
      </c>
      <c r="AB50" s="26" t="str">
        <f>'Raw Data'!$P46</f>
        <v>Always: I routinely cross-check AI outputs with reliable sources</v>
      </c>
      <c r="AC50" s="26">
        <f t="shared" si="12"/>
        <v>1</v>
      </c>
      <c r="AD50" s="26" t="str">
        <f>'Raw Data'!$Q46</f>
        <v>Use a different AI tool to review and verify the content, Look for professional formatting and proper grammar, Cross-reference key claims with reliable external sources, Ask the same AI tool to double-check its work for accuracy</v>
      </c>
      <c r="AE50" s="26">
        <f t="shared" si="13"/>
        <v>0</v>
      </c>
      <c r="AF50" s="30">
        <f t="shared" si="14"/>
        <v>8</v>
      </c>
      <c r="AG50" s="26" t="str">
        <f>'Raw Data'!$R46</f>
        <v>Sometimes: I iterate 2-3 times to reach a good result</v>
      </c>
      <c r="AH50" s="26">
        <f t="shared" si="15"/>
        <v>0.67</v>
      </c>
      <c r="AI50" s="26" t="str">
        <f>'Raw Data'!$S46</f>
        <v>I have a work meeting to review X topic. I don't know much about this topic. Can you please review XYZ resources that you are connected to and provide me the following:
1) Please simply describe this initiative to me
2) What are the key opportunities
3) The audience will be ABC. What questions will they be interested in learning more about
4) Provide me an outline on how to approach this conversation with this team and any watch outs to consider</v>
      </c>
      <c r="AJ50" s="26" t="s">
        <v>237</v>
      </c>
      <c r="AK50" s="28" t="str">
        <f>substitute('Prompt Template'!$C$2,$AI$5,$AJ50)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review X topic. I don't know much about this topic. Can you please review XYZ resources that you are connected to and provide me the following:
1) Please simply describe this initiative to me
2) What are the key opportunities
3) The audience will be ABC. What questions will they be interested in learning more about
4) Provide me an outline on how to approach this conversation with this team and any watch outs to consider&lt;/prompt&gt;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review X topic. I don't know much about this topic. Can you please review XYZ resources that you are connected to and provide me the following:
1) Please simply describe this initiative to me
2) What are the key opportunities
3) The audience will be ABC. What questions will they be interested in learning more about
4) Provide me an outline on how to approach this conversation with this team and any watch outs to consider&lt;/user_input&gt;</v>
      </c>
      <c r="AL50" s="26">
        <f t="array" ref="AL50">index('Response Scoring'!$G:$G,match($A50,'Response Scoring'!$A:$A,0))</f>
        <v>2</v>
      </c>
      <c r="AM50" s="26">
        <f t="shared" si="16"/>
        <v>0.4</v>
      </c>
      <c r="AN50" s="26" t="str">
        <f>'Raw Data'!$T46</f>
        <v>I have created a custom GPT yet. I'm assuming you'd structure it with the repetitive questions you want it to help it with each time, so please answer questions 1-5. And then give it some guardrails on how to provide that content in a helpful way that is scalable to consistent review.</v>
      </c>
      <c r="AO50" s="26" t="s">
        <v>238</v>
      </c>
      <c r="AP50" s="28" t="str">
        <f>substitute('Prompt Template'!$D$2,$AN$5,$AO50)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created a custom GPT yet. I'm assuming you'd structure it with the repetitive questions you want it to help it with each time, so please answer questions 1-5. And then give it some guardrails on how to provide that content in a helpful way that is scalable to consistent review.&lt;/user_input&gt;
</v>
      </c>
      <c r="AQ50" s="26">
        <f t="array" ref="AQ50">index('Response Scoring'!$I:$I,match($A50,'Response Scoring'!$A:$A,0))</f>
        <v>1</v>
      </c>
      <c r="AR50" s="26">
        <f t="shared" si="17"/>
        <v>0.2</v>
      </c>
      <c r="AS50" s="30">
        <f t="shared" si="18"/>
        <v>3.405</v>
      </c>
      <c r="AT50" s="26">
        <f t="shared" si="19"/>
        <v>28.44</v>
      </c>
      <c r="AU50" s="26">
        <f t="shared" si="20"/>
        <v>56.88</v>
      </c>
      <c r="AV50" s="26" t="str">
        <f t="shared" si="21"/>
        <v>AI Experimenter</v>
      </c>
      <c r="AW50" s="26" t="str">
        <f>'Raw Data'!U46</f>
        <v/>
      </c>
      <c r="AX50" s="26" t="str">
        <f>'Raw Data'!V46</f>
        <v/>
      </c>
      <c r="AY50" s="26" t="str">
        <f>'Raw Data'!W46</f>
        <v/>
      </c>
      <c r="AZ50" s="26" t="str">
        <f>'Raw Data'!X46</f>
        <v/>
      </c>
      <c r="BA50" s="26" t="str">
        <f>'Raw Data'!Y46</f>
        <v/>
      </c>
      <c r="BB50" s="26" t="str">
        <f>'Raw Data'!Z46</f>
        <v/>
      </c>
      <c r="BW50" s="31" t="str">
        <f>'Raw Data'!C46</f>
        <v>Digital &amp; eCommerce</v>
      </c>
      <c r="BZ50" s="26" t="str">
        <f>'Raw Data'!F46</f>
        <v>Individual Contributor</v>
      </c>
      <c r="CA50" s="31" t="str">
        <f>'Raw Data'!AU46</f>
        <v>A lot of our tools still don't have AIs that talk to each other, so it's a lot of copy and pasting. It's fine, but I feel like it can be much more efficient.</v>
      </c>
      <c r="CB50" s="31" t="str">
        <f>'Raw Data'!AV46</f>
        <v>I only used our approved stack</v>
      </c>
      <c r="CC50" s="31" t="str">
        <f>'Raw Data'!AW46</f>
        <v>Neutral</v>
      </c>
    </row>
    <row r="51" ht="15.75" customHeight="1">
      <c r="A51" s="26">
        <f>'Raw Data'!$A47</f>
        <v>45</v>
      </c>
      <c r="B51" s="26" t="str">
        <f>'Raw Data'!$G47</f>
        <v>Daily</v>
      </c>
      <c r="C51" s="26">
        <f t="shared" si="1"/>
        <v>1</v>
      </c>
      <c r="D51" s="26" t="str">
        <f>'Raw Data'!$H47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51" s="26">
        <f t="shared" si="2"/>
        <v>2</v>
      </c>
      <c r="F51" s="27">
        <f t="shared" si="3"/>
        <v>0.6666666667</v>
      </c>
      <c r="G51" s="26" t="str">
        <f>'Raw Data'!$I47</f>
        <v>I create fresh prompts each time I use AI</v>
      </c>
      <c r="H51" s="26">
        <f t="shared" si="4"/>
        <v>0.25</v>
      </c>
      <c r="I51" s="26" t="str">
        <f>'Raw Data'!$J47</f>
        <v>Create a systematic process where AI handles data analysis and summary generation consistently</v>
      </c>
      <c r="J51" s="26">
        <f t="shared" si="5"/>
        <v>1</v>
      </c>
      <c r="K51" s="26" t="str">
        <f>'Raw Data'!$K47</f>
        <v>start a new project in ChatGPT, explain the objective, tell it where to look for source info (slack, teams, outlook, etc), upload or direct it to specific files I definitely want it to use.  Provide guidance for the type of presentation I'm looking for, who is the audience, how many slides etc.  Ask for visuals in addition to bullets.  I know ChatGPT isn't great at PPT, so I would create the slides on my own then put them back into ChatGPT for refining etc.</v>
      </c>
      <c r="L51" s="26" t="s">
        <v>239</v>
      </c>
      <c r="M51" s="28" t="str">
        <f>substitute('Prompt Template'!$A$2,$K$5,$L51)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&lt;user_input&gt;start a new project in ChatGPT, explain the objective, tell it where to look for source info (slack, teams, outlook, etc), upload or direct it to specific files I definitely want it to use.  Provide guidance for the type of presentation I'm looking for, who is the audience, how many slides etc.  Ask for visuals in addition to bullets.  I know ChatGPT isn't great at PPT, so I would create the slides on my own then put them back into ChatGPT for refining etc.&lt;/user_input&gt;</v>
      </c>
      <c r="N51" s="26">
        <f t="array" ref="N51">index('Response Scoring'!$C:$C,match($A51,'Response Scoring'!$A:$A,0))</f>
        <v>2</v>
      </c>
      <c r="O51" s="29">
        <f t="shared" si="6"/>
        <v>0.6666666667</v>
      </c>
      <c r="P51" s="26" t="str">
        <f>'Raw Data'!$L47</f>
        <v>take raw data from multiple sources, combine it together, analyze it and produce any kind of downstream material I need - proposals, emails, graphs/charts, Slack message etc.</v>
      </c>
      <c r="Q51" s="26" t="s">
        <v>240</v>
      </c>
      <c r="R51" s="28" t="str">
        <f>substitute('Prompt Template'!$B$2,$P$5,$Q51)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&lt;user_input&gt;take raw data from multiple sources, combine it together, analyze it and produce any kind of downstream material I need - proposals, emails, graphs/charts, Slack message etc.&lt;/user_input&gt;</v>
      </c>
      <c r="S51" s="26">
        <f t="array" ref="S51">index('Response Scoring'!$E:$E,match($A51,'Response Scoring'!$A:$A,0))</f>
        <v>3</v>
      </c>
      <c r="T51" s="29">
        <f t="shared" si="7"/>
        <v>1</v>
      </c>
      <c r="U51" s="29">
        <f t="shared" si="8"/>
        <v>8.083333333</v>
      </c>
      <c r="V51" s="26" t="str">
        <f>'Raw Data'!$M47</f>
        <v>Analyzing presentation slides to evaluate both the visual design and written content for consistency</v>
      </c>
      <c r="W51" s="26">
        <f t="shared" si="9"/>
        <v>1</v>
      </c>
      <c r="X51" s="26" t="str">
        <f>'Raw Data'!$N47</f>
        <v>Hallucinations (generating false or misleading information)</v>
      </c>
      <c r="Y51" s="26">
        <f t="shared" si="10"/>
        <v>0.25</v>
      </c>
      <c r="Z51" s="26" t="str">
        <f>'Raw Data'!$O47</f>
        <v>Use secure company instances or enterprise plans when available</v>
      </c>
      <c r="AA51" s="29">
        <f t="shared" si="11"/>
        <v>0.5</v>
      </c>
      <c r="AB51" s="26" t="str">
        <f>'Raw Data'!$P47</f>
        <v>Always: I routinely cross-check AI outputs with reliable sources</v>
      </c>
      <c r="AC51" s="26">
        <f t="shared" si="12"/>
        <v>1</v>
      </c>
      <c r="AD51" s="26" t="str">
        <f>'Raw Data'!$Q47</f>
        <v>Check if the response uses confident language and specific details, Verify any calculations or data analysis independently, Use a different AI tool to review and verify the content</v>
      </c>
      <c r="AE51" s="26">
        <f t="shared" si="13"/>
        <v>0</v>
      </c>
      <c r="AF51" s="30">
        <f t="shared" si="14"/>
        <v>5.5</v>
      </c>
      <c r="AG51" s="26" t="str">
        <f>'Raw Data'!$R47</f>
        <v>Frequently: I systematically refine prompts until I'm satisfied</v>
      </c>
      <c r="AH51" s="26">
        <f t="shared" si="15"/>
        <v>1</v>
      </c>
      <c r="AI51" s="26" t="str">
        <f>'Raw Data'!$S47</f>
        <v>help me prepare for this meeting by writing me brief talking points from the proposal geared towards the audience of the meeting.  I have 10 minutes to present and I hope to receive a green light to proceed with funding at the end of the meeting.</v>
      </c>
      <c r="AJ51" s="26" t="s">
        <v>241</v>
      </c>
      <c r="AK51" s="28" t="str">
        <f>substitute('Prompt Template'!$C$2,$AI$5,$AJ51)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this meeting by writing me brief talking points from the proposal geared towards the audience of the meeting.  I have 10 minutes to present and I hope to receive a green light to proceed with funding at the end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this meeting by writing me brief talking points from the proposal geared towards the audience of the meeting.  I have 10 minutes to present and I hope to receive a green light to proceed with funding at the end of the meeting.&lt;/user_input&gt;</v>
      </c>
      <c r="AL51" s="26">
        <f t="array" ref="AL51">index('Response Scoring'!$G:$G,match($A51,'Response Scoring'!$A:$A,0))</f>
        <v>2</v>
      </c>
      <c r="AM51" s="26">
        <f t="shared" si="16"/>
        <v>0.4</v>
      </c>
      <c r="AN51" s="26" t="str">
        <f>'Raw Data'!$T47</f>
        <v>I don't know how to create custom AI instructions</v>
      </c>
      <c r="AO51" s="26" t="s">
        <v>101</v>
      </c>
      <c r="AP51" s="28" t="str">
        <f>substitute('Prompt Template'!$D$2,$AN$5,$AO51)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51" s="26">
        <f t="array" ref="AQ51">index('Response Scoring'!$I:$I,match($A51,'Response Scoring'!$A:$A,0))</f>
        <v>0</v>
      </c>
      <c r="AR51" s="26">
        <f t="shared" si="17"/>
        <v>0</v>
      </c>
      <c r="AS51" s="30">
        <f t="shared" si="18"/>
        <v>2.9</v>
      </c>
      <c r="AT51" s="26">
        <f t="shared" si="19"/>
        <v>26.175</v>
      </c>
      <c r="AU51" s="26">
        <f t="shared" si="20"/>
        <v>52.35</v>
      </c>
      <c r="AV51" s="26" t="str">
        <f t="shared" si="21"/>
        <v>AI Experimenter</v>
      </c>
      <c r="AW51" s="26" t="str">
        <f>'Raw Data'!U47</f>
        <v/>
      </c>
      <c r="AX51" s="26" t="str">
        <f>'Raw Data'!V47</f>
        <v/>
      </c>
      <c r="AY51" s="26" t="str">
        <f>'Raw Data'!W47</f>
        <v/>
      </c>
      <c r="AZ51" s="26" t="str">
        <f>'Raw Data'!X47</f>
        <v/>
      </c>
      <c r="BA51" s="26" t="str">
        <f>'Raw Data'!Y47</f>
        <v/>
      </c>
      <c r="BB51" s="26" t="str">
        <f>'Raw Data'!Z47</f>
        <v/>
      </c>
      <c r="BW51" s="31" t="str">
        <f>'Raw Data'!C47</f>
        <v>Brand &amp; Creative</v>
      </c>
      <c r="BZ51" s="26" t="str">
        <f>'Raw Data'!F47</f>
        <v>Individual Contributor</v>
      </c>
      <c r="CA51" s="31" t="str">
        <f>'Raw Data'!AU47</f>
        <v>taking to the next level beyond just prompts</v>
      </c>
      <c r="CB51" s="31" t="str">
        <f>'Raw Data'!AV47</f>
        <v>none</v>
      </c>
      <c r="CC51" s="31" t="str">
        <f>'Raw Data'!AW47</f>
        <v>Agree</v>
      </c>
    </row>
    <row r="52" ht="15.75" customHeight="1">
      <c r="A52" s="26">
        <f>'Raw Data'!$A48</f>
        <v>46</v>
      </c>
      <c r="B52" s="26" t="str">
        <f>'Raw Data'!$G48</f>
        <v>Daily</v>
      </c>
      <c r="C52" s="26">
        <f t="shared" si="1"/>
        <v>1</v>
      </c>
      <c r="D52" s="26" t="str">
        <f>'Raw Data'!$H48</f>
        <v>Getting quick answers to specific questions or looking up information, Writing or debugging code, scripts, or formulas,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52" s="26">
        <f t="shared" si="2"/>
        <v>3</v>
      </c>
      <c r="F52" s="27">
        <f t="shared" si="3"/>
        <v>1</v>
      </c>
      <c r="G52" s="26" t="str">
        <f>'Raw Data'!$I48</f>
        <v>I've built custom AI tools (i.e. CustomGPTs, Copilot Agents) for repetitive tasks</v>
      </c>
      <c r="H52" s="26">
        <f t="shared" si="4"/>
        <v>0.75</v>
      </c>
      <c r="I52" s="26" t="str">
        <f>'Raw Data'!$J48</f>
        <v>Create a systematic process where AI handles data analysis and summary generation consistently</v>
      </c>
      <c r="J52" s="26">
        <f t="shared" si="5"/>
        <v>1</v>
      </c>
      <c r="K52" s="26" t="str">
        <f>'Raw Data'!$K48</f>
        <v>I would use AI from start to finish. I'd use it to draft a plan, compile and analyze the data, provide feedback on how to structure the deck to tell the right story, and to prep for what questions I may get from leadership.</v>
      </c>
      <c r="L52" s="26" t="s">
        <v>242</v>
      </c>
      <c r="M52" s="28" t="str">
        <f>substitute('Prompt Template'!$A$2,$K$5,$L52)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from start to finish. I'd use it to draft a plan, compile and analyze the data, provide feedback on how to structure the deck to tell the right story, and to prep for what questions I may get from leadership.&lt;/user_input&gt;</v>
      </c>
      <c r="N52" s="26">
        <f t="array" ref="N52">index('Response Scoring'!$C:$C,match($A52,'Response Scoring'!$A:$A,0))</f>
        <v>3</v>
      </c>
      <c r="O52" s="29">
        <f t="shared" si="6"/>
        <v>1</v>
      </c>
      <c r="P52" s="26" t="str">
        <f>'Raw Data'!$L48</f>
        <v>Using AI as a thought partner on projects has been what's most valuable to me. Our team often gets high level business questions/challenges from stakeholders that we need to break into smaller questions that can be answered with data. In the past, sometimes what took the most brainpower and time was just determining what were those smaller questions we should be answering that would drive the highest impact on the stakeholders goal. I would often get something similar to "writer's block" at this stage. Using AI, I can now provide copilot or chatGPT with all the context I've gotten from the stakeholders (including meeting recordings, slack messages, SR documents, etc) and have it come up with a plan of what questions I should be answering and what data can be used to answer it. What could sometimes take hours (especially in a hybrid environment where you don't always have a human brainstorm partner) now takes minutes. Plus, I'm able to produce better outputs. For one, the AI may identify questions I wouldn't have thought to have answered. Additionally, I'm able to spend less of my brain power on the plan and execution and more brainpower on how the results can actually be applied to the business (since this level of contextual business understanding is not something AI's do well. This is where the human has to come in)</v>
      </c>
      <c r="Q52" s="26" t="s">
        <v>243</v>
      </c>
      <c r="R52" s="28" t="str">
        <f>substitute('Prompt Template'!$B$2,$P$5,$Q52)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as a thought partner on projects has been what's most valuable to me. Our team often gets high level business questions/challenges from stakeholders that we need to break into smaller questions that can be answered with data. In the past, sometimes what took the most brainpower and time was just determining what were those smaller questions we should be answering that would drive the highest impact on the stakeholders goal. I would often get something similar to "writer's block" at this stage. Using AI, I can now provide copilot or chatGPT with all the context I've gotten from the stakeholders (including meeting recordings, slack messages, SR documents, etc) and have it come up with a plan of what questions I should be answering and what data can be used to answer it. What could sometimes take hours (especially in a hybrid environment where you don't always have a human brainstorm partner) now takes minutes. Plus, I'm able to produce better outputs. For one, the AI may identify questions I wouldn't have thought to have answered. Additionally, I'm able to spend less of my brain power on the plan and execution and more brainpower on how the results can actually be applied to the business (since this level of contextual business understanding is not something AI's do well. This is where the human has to come in)&lt;/user_input&gt;</v>
      </c>
      <c r="S52" s="26">
        <f t="array" ref="S52">index('Response Scoring'!$E:$E,match($A52,'Response Scoring'!$A:$A,0))</f>
        <v>3</v>
      </c>
      <c r="T52" s="29">
        <f t="shared" si="7"/>
        <v>1</v>
      </c>
      <c r="U52" s="29">
        <f t="shared" si="8"/>
        <v>9.75</v>
      </c>
      <c r="V52" s="26" t="str">
        <f>'Raw Data'!$M48</f>
        <v>Providing real-time updates on breaking news events happening right now</v>
      </c>
      <c r="W52" s="26">
        <f t="shared" si="9"/>
        <v>0</v>
      </c>
      <c r="X52" s="26" t="str">
        <f>'Raw Data'!$N48</f>
        <v>Hallucinations (generating false or misleading information), Biases in answers, Data privacy concerns when information is shared with an LLM, Vulnerability to manipulation by bad actors</v>
      </c>
      <c r="Y52" s="26">
        <f t="shared" si="10"/>
        <v>1</v>
      </c>
      <c r="Z52" s="26" t="str">
        <f>'Raw Data'!$O48</f>
        <v>Anonymize information by removing identifying details, Use secure company instances or enterprise plans when available</v>
      </c>
      <c r="AA52" s="29">
        <f t="shared" si="11"/>
        <v>1</v>
      </c>
      <c r="AB52" s="26" t="str">
        <f>'Raw Data'!$P48</f>
        <v>Always: I routinely cross-check AI outputs with reliable sources</v>
      </c>
      <c r="AC52" s="26">
        <f t="shared" si="12"/>
        <v>1</v>
      </c>
      <c r="AD52" s="26" t="str">
        <f>'Raw Data'!$Q48</f>
        <v>Cross-reference key claims with reliable external sources, Verify any calculations or data analysis independently, Ask the same AI tool to double-check its work for accuracy, Use a different AI tool to review and verify the content</v>
      </c>
      <c r="AE52" s="26">
        <f t="shared" si="13"/>
        <v>1</v>
      </c>
      <c r="AF52" s="30">
        <f t="shared" si="14"/>
        <v>8</v>
      </c>
      <c r="AG52" s="26" t="str">
        <f>'Raw Data'!$R48</f>
        <v>Frequently: I systematically refine prompts until I'm satisfied</v>
      </c>
      <c r="AH52" s="26">
        <f t="shared" si="15"/>
        <v>1</v>
      </c>
      <c r="AI52" s="26" t="str">
        <f>'Raw Data'!$S48</f>
        <v>You are my expert at [topic related to initiative or proposal, e.g. pricing strategy]. Autodesk is determining whether to [description of initiative or proposal] and has asked for my opinion. Your task is to help me prepare for a meeting where we need to decide [what will be discussed]. A good plan will contain [list of things I need this plan to contain or examples of good vs bad plans.] 
First, I want you to ground yourself in the following information which will provide you with context for what this meeting will discuss: [list of documents, links to sharepoints, emails, etc that will help provide the model with necessary internal context for this decision/initiative]. Do not use any other information when determining what information should be included in your preparation plan. 
Before writing any deliverables, I want you to stop and interview me. Analyze what I've told you and identify if anything is unclear or you're missing any critical information that will help you develop this plan.</v>
      </c>
      <c r="AJ52" s="26" t="s">
        <v>244</v>
      </c>
      <c r="AK52" s="28" t="str">
        <f>substitute('Prompt Template'!$C$2,$AI$5,$AJ52)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expert at [topic related to initiative or proposal, e.g. pricing strategy]. Autodesk is determining whether to [description of initiative or proposal] and has asked for my opinion. Your task is to help me prepare for a meeting where we need to decide [what will be discussed]. A good plan will contain [list of things I need this plan to contain or examples of good vs bad plans.] 
First, I want you to ground yourself in the following information which will provide you with context for what this meeting will discuss: [list of documents, links to sharepoints, emails, etc that will help provide the model with necessary internal context for this decision/initiative]. Do not use any other information when determining what information should be included in your preparation plan. 
Before writing any deliverables, I want you to stop and interview me. Analyze what I've told you and identify if anything is unclear or you're missing any critical information that will help you develop this plan.&lt;/prompt&gt;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expert at [topic related to initiative or proposal, e.g. pricing strategy]. Autodesk is determining whether to [description of initiative or proposal] and has asked for my opinion. Your task is to help me prepare for a meeting where we need to decide [what will be discussed]. A good plan will contain [list of things I need this plan to contain or examples of good vs bad plans.] 
First, I want you to ground yourself in the following information which will provide you with context for what this meeting will discuss: [list of documents, links to sharepoints, emails, etc that will help provide the model with necessary internal context for this decision/initiative]. Do not use any other information when determining what information should be included in your preparation plan. 
Before writing any deliverables, I want you to stop and interview me. Analyze what I've told you and identify if anything is unclear or you're missing any critical information that will help you develop this plan.&lt;/user_input&gt;</v>
      </c>
      <c r="AL52" s="26">
        <f t="array" ref="AL52">index('Response Scoring'!$G:$G,match($A52,'Response Scoring'!$A:$A,0))</f>
        <v>4</v>
      </c>
      <c r="AM52" s="26">
        <f t="shared" si="16"/>
        <v>0.8</v>
      </c>
      <c r="AN52" s="26" t="str">
        <f>'Raw Data'!$T48</f>
        <v>I would use very similar instructions to the ones I just wrote in the previous question but just specific to this task</v>
      </c>
      <c r="AO52" s="26" t="s">
        <v>245</v>
      </c>
      <c r="AP52" s="28" t="str">
        <f>substitute('Prompt Template'!$D$2,$AN$5,$AO52)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use very similar instructions to the ones I just wrote in the previous question but just specific to this task&lt;/user_input&gt;
</v>
      </c>
      <c r="AQ52" s="26">
        <f t="array" ref="AQ52">index('Response Scoring'!$I:$I,match($A52,'Response Scoring'!$A:$A,0))</f>
        <v>0</v>
      </c>
      <c r="AR52" s="26">
        <f t="shared" si="17"/>
        <v>0</v>
      </c>
      <c r="AS52" s="30">
        <f t="shared" si="18"/>
        <v>4.3</v>
      </c>
      <c r="AT52" s="26">
        <f t="shared" si="19"/>
        <v>35.225</v>
      </c>
      <c r="AU52" s="26">
        <f t="shared" si="20"/>
        <v>70.45</v>
      </c>
      <c r="AV52" s="26" t="str">
        <f t="shared" si="21"/>
        <v>AI Practitioner</v>
      </c>
      <c r="AW52" s="26" t="str">
        <f>'Raw Data'!U48</f>
        <v/>
      </c>
      <c r="AX52" s="26" t="str">
        <f>'Raw Data'!V48</f>
        <v/>
      </c>
      <c r="AY52" s="26" t="str">
        <f>'Raw Data'!W48</f>
        <v/>
      </c>
      <c r="AZ52" s="26" t="str">
        <f>'Raw Data'!X48</f>
        <v/>
      </c>
      <c r="BA52" s="26" t="str">
        <f>'Raw Data'!Y48</f>
        <v/>
      </c>
      <c r="BB52" s="26" t="str">
        <f>'Raw Data'!Z48</f>
        <v/>
      </c>
      <c r="BW52" s="31" t="str">
        <f>'Raw Data'!C48</f>
        <v>Industry Portfolio &amp; Emerging Marketing</v>
      </c>
      <c r="BZ52" s="26" t="str">
        <f>'Raw Data'!F48</f>
        <v>Individual Contributor</v>
      </c>
      <c r="CA52" s="31" t="str">
        <f>'Raw Data'!AU48</f>
        <v>I have to work a lot with our internal data in Snowflake, and often what takes the most time is navigating the sea of data we have and knowing how to use the tables properly. The AI tools that we have can't really help with data exploration (to my knowledge at least) because they don't have the contextual knowledge of our data. Even tools like Cursor or Cortex-- I don't think they solve the data exploration use case. If there are two tables that contain an AOV field for instance, I can't use these tools to help me identify which is the right field to use and how to manipulate it for my specific use case. 
I also struggle a lot with providing enough contextual data to our tools. Chatgpt has a 20 doc file limit and can't point to share point sites, plus there are a lot of restricted apps. Copilot has seamless office365 integration but nothing outside of that. I've faced the experience many times of having a good idea about something to automate only to find that these technical limitations make it impossible.</v>
      </c>
      <c r="CB52" s="31" t="str">
        <f>'Raw Data'!AV48</f>
        <v>I'm only using the approved stack right now, but I would like to try Claude cowork because the capabilities seem pretty incredible. I'd also like to try Gemini and Notebook LLM</v>
      </c>
      <c r="CC52" s="31" t="str">
        <f>'Raw Data'!AW48</f>
        <v>Agree</v>
      </c>
    </row>
    <row r="53" ht="15.75" customHeight="1">
      <c r="A53" s="26">
        <f>'Raw Data'!$A49</f>
        <v>47</v>
      </c>
      <c r="B53" s="26" t="str">
        <f>'Raw Data'!$G49</f>
        <v>Daily</v>
      </c>
      <c r="C53" s="26">
        <f t="shared" si="1"/>
        <v>1</v>
      </c>
      <c r="D53" s="26" t="str">
        <f>'Raw Data'!$H49</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53" s="26">
        <f t="shared" si="2"/>
        <v>2</v>
      </c>
      <c r="F53" s="27">
        <f t="shared" si="3"/>
        <v>0.6666666667</v>
      </c>
      <c r="G53" s="26" t="str">
        <f>'Raw Data'!$I49</f>
        <v>I maintain a library of prompts that I reuse frequently</v>
      </c>
      <c r="H53" s="26">
        <f t="shared" si="4"/>
        <v>0.5</v>
      </c>
      <c r="I53" s="26" t="str">
        <f>'Raw Data'!$J49</f>
        <v>Create a systematic process where AI handles data analysis and summary generation consistently</v>
      </c>
      <c r="J53" s="26">
        <f t="shared" si="5"/>
        <v>1</v>
      </c>
      <c r="K53" s="26" t="str">
        <f>'Raw Data'!$K49</f>
        <v>- analyze what the senior stakeholders like to see in presentations, come up with an initial layout/agenda for that audience based on what they like to see, review and provide feedback on versions</v>
      </c>
      <c r="L53" s="26" t="s">
        <v>246</v>
      </c>
      <c r="M53" s="28" t="str">
        <f>substitute('Prompt Template'!$A$2,$K$5,$L53)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analyze what the senior stakeholders like to see in presentations, come up with an initial layout/agenda for that audience based on what they like to see, review and provide feedback on versions&lt;/user_input&gt;</v>
      </c>
      <c r="N53" s="26">
        <f t="array" ref="N53">index('Response Scoring'!$C:$C,match($A53,'Response Scoring'!$A:$A,0))</f>
        <v>2</v>
      </c>
      <c r="O53" s="29">
        <f t="shared" si="6"/>
        <v>0.6666666667</v>
      </c>
      <c r="P53" s="26" t="str">
        <f>'Raw Data'!$L49</f>
        <v>Resource planning- designing teams to support priority ABM accounts and sales stakeholders. Reviewed various scenarios and got feedback on potential ideas.</v>
      </c>
      <c r="Q53" s="26" t="s">
        <v>247</v>
      </c>
      <c r="R53" s="28" t="str">
        <f>substitute('Prompt Template'!$B$2,$P$5,$Q53)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&lt;user_input&gt;Resource planning- designing teams to support priority ABM accounts and sales stakeholders. Reviewed various scenarios and got feedback on potential ideas.&lt;/user_input&gt;</v>
      </c>
      <c r="S53" s="26">
        <f t="array" ref="S53">index('Response Scoring'!$E:$E,match($A53,'Response Scoring'!$A:$A,0))</f>
        <v>1</v>
      </c>
      <c r="T53" s="29">
        <f t="shared" si="7"/>
        <v>0.3333333333</v>
      </c>
      <c r="U53" s="29">
        <f t="shared" si="8"/>
        <v>5.666666667</v>
      </c>
      <c r="V53" s="26" t="str">
        <f>'Raw Data'!$M49</f>
        <v>Analyzing presentation slides to evaluate both the visual design and written content for consistency</v>
      </c>
      <c r="W53" s="26">
        <f t="shared" si="9"/>
        <v>1</v>
      </c>
      <c r="X53" s="26" t="str">
        <f>'Raw Data'!$N49</f>
        <v>Vulnerability to manipulation by bad actors, Data privacy concerns when information is shared with an LLM, Biases in answers, Hallucinations (generating false or misleading information)</v>
      </c>
      <c r="Y53" s="26">
        <f t="shared" si="10"/>
        <v>1</v>
      </c>
      <c r="Z53" s="26" t="str">
        <f>'Raw Data'!$O49</f>
        <v>Anonymize information by removing identifying details, Use secure company instances or enterprise plans when available</v>
      </c>
      <c r="AA53" s="29">
        <f t="shared" si="11"/>
        <v>1</v>
      </c>
      <c r="AB53" s="26" t="str">
        <f>'Raw Data'!$P49</f>
        <v>Always: I routinely cross-check AI outputs with reliable sources</v>
      </c>
      <c r="AC53" s="26">
        <f t="shared" si="12"/>
        <v>1</v>
      </c>
      <c r="AD53" s="26" t="str">
        <f>'Raw Data'!$Q49</f>
        <v>Cross-reference key claims with reliable external sources, Ask the same AI tool to double-check its work for accuracy, Use a different AI tool to review and verify the content</v>
      </c>
      <c r="AE53" s="26">
        <f t="shared" si="13"/>
        <v>0.75</v>
      </c>
      <c r="AF53" s="30">
        <f t="shared" si="14"/>
        <v>9.5</v>
      </c>
      <c r="AG53" s="26" t="str">
        <f>'Raw Data'!$R49</f>
        <v>Frequently: I systematically refine prompts until I'm satisfied</v>
      </c>
      <c r="AH53" s="26">
        <f t="shared" si="15"/>
        <v>1</v>
      </c>
      <c r="AI53" s="26" t="str">
        <f>'Raw Data'!$S49</f>
        <v>I am preparing a work meeting with John Smith to discuss the Project Proposal. I am attaching the Proposal as it is right now. Based on what you know about John Smith, provide specific feedback he might bring up. Suggest ways to address that feedback</v>
      </c>
      <c r="AJ53" s="26" t="s">
        <v>248</v>
      </c>
      <c r="AK53" s="28" t="str">
        <f>substitute('Prompt Template'!$C$2,$AI$5,$AJ53)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a work meeting with John Smith to discuss the Project Proposal. I am attaching the Proposal as it is right now. Based on what you know about John Smith, provide specific feedback he might bring up. Suggest ways to address that feedback&lt;/prompt&gt;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a work meeting with John Smith to discuss the Project Proposal. I am attaching the Proposal as it is right now. Based on what you know about John Smith, provide specific feedback he might bring up. Suggest ways to address that feedback&lt;/user_input&gt;</v>
      </c>
      <c r="AL53" s="26">
        <f t="array" ref="AL53">index('Response Scoring'!$G:$G,match($A53,'Response Scoring'!$A:$A,0))</f>
        <v>2</v>
      </c>
      <c r="AM53" s="26">
        <f t="shared" si="16"/>
        <v>0.4</v>
      </c>
      <c r="AN53" s="26" t="str">
        <f>'Raw Data'!$T49</f>
        <v>I asked ChatGPT - this is the approach I would take to start: "Instructions for a Custom AI Tool for Competitive Intelligence (Bentley)
The Custom AI tool should consistently gather and summarize competitive intelligence on Competitor X to support ABM, sales, and marketing teams.
The tool should:
	•	Monitor Competitor X’s product messaging, positioning, and go-to-market strategy across public sources.
	•	Summarize key Competitor X's products and compare capabilities, strengths, and gaps versus relevant Autodesk solutions.
	•	Track publicly available pricing, licensing, and commercial models, clearly noting assumptions vs. confirmed information.
	•	Identify customer wins, reference accounts, vertical focus areas, and geographic priorities relevant to the Americas.
	•	Provide account-level insights when prompted, highlighting Competitor X’s presence and suggested Autodesk positioning.
Outputs should follow a consistent format with an executive summary, key findings, implications for Autodesk, and recommended actions.
The tone should be neutral, factual, and clearly sourced, with updates flagged when information changes or becomes outdated.</v>
      </c>
      <c r="AO53" s="26" t="s">
        <v>249</v>
      </c>
      <c r="AP53" s="28" t="str">
        <f>substitute('Prompt Template'!$D$2,$AN$5,$AO53)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asked ChatGPT - this is the approach I would take to start: "Instructions for a Custom AI Tool for Competitive Intelligence (Bentley)
The Custom AI tool should consistently gather and summarize competitive intelligence on Competitor X to support ABM, sales, and marketing teams.
The tool should:
	•	Monitor Competitor X’s product messaging, positioning, and go-to-market strategy across public sources.
	•	Summarize key Competitor X's products and compare capabilities, strengths, and gaps versus relevant Autodesk solutions.
	•	Track publicly available pricing, licensing, and commercial models, clearly noting assumptions vs. confirmed information.
	•	Identify customer wins, reference accounts, vertical focus areas, and geographic priorities relevant to the Americas.
	•	Provide account-level insights when prompted, highlighting Competitor X’s presence and suggested Autodesk positioning.
Outputs should follow a consistent format with an executive summary, key findings, implications for Autodesk, and recommended actions.
The tone should be neutral, factual, and clearly sourced, with updates flagged when information changes or becomes outdated.&lt;/user_input&gt;
</v>
      </c>
      <c r="AQ53" s="26">
        <f t="array" ref="AQ53">index('Response Scoring'!$I:$I,match($A53,'Response Scoring'!$A:$A,0))</f>
        <v>4</v>
      </c>
      <c r="AR53" s="26">
        <f t="shared" si="17"/>
        <v>0.8</v>
      </c>
      <c r="AS53" s="30">
        <f t="shared" si="18"/>
        <v>6.9</v>
      </c>
      <c r="AT53" s="26">
        <f t="shared" si="19"/>
        <v>36.55</v>
      </c>
      <c r="AU53" s="26">
        <f t="shared" si="20"/>
        <v>73.1</v>
      </c>
      <c r="AV53" s="26" t="str">
        <f t="shared" si="21"/>
        <v>AI Practitioner</v>
      </c>
      <c r="AW53" s="26" t="str">
        <f>'Raw Data'!U49</f>
        <v/>
      </c>
      <c r="AX53" s="26" t="str">
        <f>'Raw Data'!V49</f>
        <v/>
      </c>
      <c r="AY53" s="26" t="str">
        <f>'Raw Data'!W49</f>
        <v/>
      </c>
      <c r="AZ53" s="26" t="str">
        <f>'Raw Data'!X49</f>
        <v/>
      </c>
      <c r="BA53" s="26" t="str">
        <f>'Raw Data'!Y49</f>
        <v/>
      </c>
      <c r="BB53" s="26" t="str">
        <f>'Raw Data'!Z49</f>
        <v/>
      </c>
      <c r="BW53" s="31" t="str">
        <f>'Raw Data'!C49</f>
        <v>Growth &amp; Partner Marketing</v>
      </c>
      <c r="BZ53" s="26" t="str">
        <f>'Raw Data'!F49</f>
        <v>Manager or Senior Manager</v>
      </c>
      <c r="CA53" s="31" t="str">
        <f>'Raw Data'!AU49</f>
        <v>lack of connection to our internal data sources</v>
      </c>
      <c r="CB53" s="31" t="str">
        <f>'Raw Data'!AV49</f>
        <v/>
      </c>
      <c r="CC53" s="31" t="str">
        <f>'Raw Data'!AW49</f>
        <v>Agree</v>
      </c>
    </row>
    <row r="54" ht="15.75" customHeight="1">
      <c r="A54" s="26">
        <f>'Raw Data'!$A50</f>
        <v>48</v>
      </c>
      <c r="B54" s="26" t="str">
        <f>'Raw Data'!$G50</f>
        <v>Daily</v>
      </c>
      <c r="C54" s="26">
        <f t="shared" si="1"/>
        <v>1</v>
      </c>
      <c r="D54" s="26" t="str">
        <f>'Raw Data'!$H50</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54" s="26">
        <f t="shared" si="2"/>
        <v>2</v>
      </c>
      <c r="F54" s="27">
        <f t="shared" si="3"/>
        <v>0.6666666667</v>
      </c>
      <c r="G54" s="26" t="str">
        <f>'Raw Data'!$I50</f>
        <v>I maintain a library of prompts that I reuse frequently</v>
      </c>
      <c r="H54" s="26">
        <f t="shared" si="4"/>
        <v>0.5</v>
      </c>
      <c r="I54" s="26" t="str">
        <f>'Raw Data'!$J50</f>
        <v>Create a systematic process where AI handles data analysis and summary generation consistently</v>
      </c>
      <c r="J54" s="26">
        <f t="shared" si="5"/>
        <v>1</v>
      </c>
      <c r="K54" s="26" t="str">
        <f>'Raw Data'!$K50</f>
        <v>I would leverage AI to get a quick start understanding on the topic. I would run a prompt to determine the most salient aspects of the topic and then use further prompting to undestand the topic's application in relation to my business.
Once I had gathered enough information on the topic to feel comfortable speaking on it, I would leverage AI to help me create a presentation outline that addresses the likely questions of the stakeholder group. In my prompt, I would describe the audience and what they wish to glean from the presentation in order to have the AI refine the outline. 
Once the outline is clear, I would compile the basics into the template and leverage AI to improve the presentation. I would also leverage AI to highlight what questions the presentation may prompt and how best I might prepare answers to those questions</v>
      </c>
      <c r="L54" s="26" t="s">
        <v>250</v>
      </c>
      <c r="M54" s="28" t="str">
        <f>substitute('Prompt Template'!$A$2,$K$5,$L54)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leverage AI to get a quick start understanding on the topic. I would run a prompt to determine the most salient aspects of the topic and then use further prompting to undestand the topic's application in relation to my business.
Once I had gathered enough information on the topic to feel comfortable speaking on it, I would leverage AI to help me create a presentation outline that addresses the likely questions of the stakeholder group. In my prompt, I would describe the audience and what they wish to glean from the presentation in order to have the AI refine the outline. 
Once the outline is clear, I would compile the basics into the template and leverage AI to improve the presentation. I would also leverage AI to highlight what questions the presentation may prompt and how best I might prepare answers to those questions&lt;/user_input&gt;</v>
      </c>
      <c r="N54" s="26">
        <f t="array" ref="N54">index('Response Scoring'!$C:$C,match($A54,'Response Scoring'!$A:$A,0))</f>
        <v>3</v>
      </c>
      <c r="O54" s="29">
        <f t="shared" si="6"/>
        <v>1</v>
      </c>
      <c r="P54" s="26" t="str">
        <f>'Raw Data'!$L50</f>
        <v>Testing and improving the altitude of various messaging to ensure it lands accurately with the different audiences I engage on a daily basis. Multiple iterations and often operating blind is now saving me hours as the AI coaches me up on more skillful communication</v>
      </c>
      <c r="Q54" s="26" t="s">
        <v>251</v>
      </c>
      <c r="R54" s="28" t="str">
        <f>substitute('Prompt Template'!$B$2,$P$5,$Q54)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&lt;user_input&gt;Testing and improving the altitude of various messaging to ensure it lands accurately with the different audiences I engage on a daily basis. Multiple iterations and often operating blind is now saving me hours as the AI coaches me up on more skillful communication&lt;/user_input&gt;</v>
      </c>
      <c r="S54" s="26">
        <f t="array" ref="S54">index('Response Scoring'!$E:$E,match($A54,'Response Scoring'!$A:$A,0))</f>
        <v>2</v>
      </c>
      <c r="T54" s="29">
        <f t="shared" si="7"/>
        <v>0.6666666667</v>
      </c>
      <c r="U54" s="29">
        <f t="shared" si="8"/>
        <v>7.666666667</v>
      </c>
      <c r="V54" s="26" t="str">
        <f>'Raw Data'!$M50</f>
        <v>Analyzing presentation slides to evaluate both the visual design and written content for consistency</v>
      </c>
      <c r="W54" s="26">
        <f t="shared" si="9"/>
        <v>1</v>
      </c>
      <c r="X54" s="26" t="str">
        <f>'Raw Data'!$N50</f>
        <v>Hallucinations (generating false or misleading information), Biases in answers, Data privacy concerns when information is shared with an LLM, Vulnerability to manipulation by bad actors</v>
      </c>
      <c r="Y54" s="26">
        <f t="shared" si="10"/>
        <v>1</v>
      </c>
      <c r="Z54" s="26" t="str">
        <f>'Raw Data'!$O50</f>
        <v>Use secure company instances or enterprise plans when available</v>
      </c>
      <c r="AA54" s="29">
        <f t="shared" si="11"/>
        <v>0.5</v>
      </c>
      <c r="AB54" s="26" t="str">
        <f>'Raw Data'!$P50</f>
        <v>Always: I routinely cross-check AI outputs with reliable sources</v>
      </c>
      <c r="AC54" s="26">
        <f t="shared" si="12"/>
        <v>1</v>
      </c>
      <c r="AD54" s="26" t="str">
        <f>'Raw Data'!$Q50</f>
        <v>Use a different AI tool to review and verify the content, Cross-reference key claims with reliable external sources, Ask the same AI tool to double-check its work for accuracy, Verify any calculations or data analysis independently</v>
      </c>
      <c r="AE54" s="26">
        <f t="shared" si="13"/>
        <v>1</v>
      </c>
      <c r="AF54" s="30">
        <f t="shared" si="14"/>
        <v>9</v>
      </c>
      <c r="AG54" s="26" t="str">
        <f>'Raw Data'!$R50</f>
        <v>Frequently: I systematically refine prompts until I'm satisfied</v>
      </c>
      <c r="AH54" s="26">
        <f t="shared" si="15"/>
        <v>1</v>
      </c>
      <c r="AI54" s="26" t="str">
        <f>'Raw Data'!$S50</f>
        <v>You are a Senior executive in my organization reviewing my proposal to determine whether we can proceed with the proposed initiative. Review the proposal and provide me with the following feedback. Area 1: Which parts of the proposal seem unclear or ambiguous. Area 2: Which parts of the proposal require further justification or data to support the initiative. Area 3: Which parts of the proposal are the most compelling and warrant more attention. For each of the areas, provide a bulleted list of feedback and 1 - 2 recommendations for how the proposal can be better positioned for a positive outcome.</v>
      </c>
      <c r="AJ54" s="26" t="s">
        <v>252</v>
      </c>
      <c r="AK54" s="28" t="str">
        <f>substitute('Prompt Template'!$C$2,$AI$5,$AJ54)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executive in my organization reviewing my proposal to determine whether we can proceed with the proposed initiative. Review the proposal and provide me with the following feedback. Area 1: Which parts of the proposal seem unclear or ambiguous. Area 2: Which parts of the proposal require further justification or data to support the initiative. Area 3: Which parts of the proposal are the most compelling and warrant more attention. For each of the areas, provide a bulleted list of feedback and 1 - 2 recommendations for how the proposal can be better positioned for a positive outcome.&lt;/prompt&gt;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executive in my organization reviewing my proposal to determine whether we can proceed with the proposed initiative. Review the proposal and provide me with the following feedback. Area 1: Which parts of the proposal seem unclear or ambiguous. Area 2: Which parts of the proposal require further justification or data to support the initiative. Area 3: Which parts of the proposal are the most compelling and warrant more attention. For each of the areas, provide a bulleted list of feedback and 1 - 2 recommendations for how the proposal can be better positioned for a positive outcome.&lt;/user_input&gt;</v>
      </c>
      <c r="AL54" s="26">
        <f t="array" ref="AL54">index('Response Scoring'!$G:$G,match($A54,'Response Scoring'!$A:$A,0))</f>
        <v>3</v>
      </c>
      <c r="AM54" s="26">
        <f t="shared" si="16"/>
        <v>0.6</v>
      </c>
      <c r="AN54" s="26" t="str">
        <f>'Raw Data'!$T50</f>
        <v>Role
You gather, normalize, and summarize competitor signals into structured briefs.
Operating rules
Public info only. Cite every claim with a URL/source in the “Evidence” field.
Don’t speculate. If uncertain, label as “Unconfirmed” and list what evidence is missing.
De-duplicate: merge identical stories; keep the strongest primary source.
Always classify each item: {Competitor} / {Theme} / {Signal Type} / {Confidence}.
Themes
Product/roadmap, pricing/packaging, education/academic programs, channel/partners, go-to-market, hiring/org signals, customer wins, M&amp;A/investments, compliance/security, ecosystem/dev tools.
Signal types
Launch/feature, pricing change, partnership, program change, hiring, acquisition, legal/regulatory, customer proof, positioning/messaging.
Outputs
Daily Scan (10 bullets max): “What changed in last 24–48h”
Weekly Brief (1–2 pages): top signals + implications + recommended responses
Monthly Strategic Readout (3–5 pages): narrative trends, movement vs last month, bets to consider
Required fields per item
Headline
What happened (1–2 sentences)
Why it matters (for Autodesk)
Evidence (links)
Confidence (High/Med/Low)
Suggested follow-ups (questions to validate internally)
Scheduling (Tasks)
Daily 8:30am PT: “Run Daily Scan for competitors A/B/C for the last 48h.”
Weekly Monday 9:00am PT: “Compile Weekly Brief from last 7 Daily Scans; include trend deltas.”
Monthly 1st business day: “Create Monthly Strategic Readout.”</v>
      </c>
      <c r="AO54" s="26" t="s">
        <v>253</v>
      </c>
      <c r="AP54" s="28" t="str">
        <f>substitute('Prompt Template'!$D$2,$AN$5,$AO54)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gather, normalize, and summarize competitor signals into structured briefs.
Operating rules
Public info only. Cite every claim with a URL/source in the “Evidence” field.
Don’t speculate. If uncertain, label as “Unconfirmed” and list what evidence is missing.
De-duplicate: merge identical stories; keep the strongest primary source.
Always classify each item: {Competitor} / {Theme} / {Signal Type} / {Confidence}.
Themes
Product/roadmap, pricing/packaging, education/academic programs, channel/partners, go-to-market, hiring/org signals, customer wins, M&amp;A/investments, compliance/security, ecosystem/dev tools.
Signal types
Launch/feature, pricing change, partnership, program change, hiring, acquisition, legal/regulatory, customer proof, positioning/messaging.
Outputs
Daily Scan (10 bullets max): “What changed in last 24–48h”
Weekly Brief (1–2 pages): top signals + implications + recommended responses
Monthly Strategic Readout (3–5 pages): narrative trends, movement vs last month, bets to consider
Required fields per item
Headline
What happened (1–2 sentences)
Why it matters (for Autodesk)
Evidence (links)
Confidence (High/Med/Low)
Suggested follow-ups (questions to validate internally)
Scheduling (Tasks)
Daily 8:30am PT: “Run Daily Scan for competitors A/B/C for the last 48h.”
Weekly Monday 9:00am PT: “Compile Weekly Brief from last 7 Daily Scans; include trend deltas.”
Monthly 1st business day: “Create Monthly Strategic Readout.”&lt;/user_input&gt;
</v>
      </c>
      <c r="AQ54" s="26">
        <f t="array" ref="AQ54">index('Response Scoring'!$I:$I,match($A54,'Response Scoring'!$A:$A,0))</f>
        <v>5</v>
      </c>
      <c r="AR54" s="26">
        <f t="shared" si="17"/>
        <v>1</v>
      </c>
      <c r="AS54" s="30">
        <f t="shared" si="18"/>
        <v>8.6</v>
      </c>
      <c r="AT54" s="26">
        <f t="shared" si="19"/>
        <v>42.2</v>
      </c>
      <c r="AU54" s="26">
        <f t="shared" si="20"/>
        <v>84.4</v>
      </c>
      <c r="AV54" s="26" t="str">
        <f t="shared" si="21"/>
        <v>AI Expert</v>
      </c>
      <c r="AW54" s="26" t="str">
        <f>'Raw Data'!U50</f>
        <v/>
      </c>
      <c r="AX54" s="26" t="str">
        <f>'Raw Data'!V50</f>
        <v/>
      </c>
      <c r="AY54" s="26" t="str">
        <f>'Raw Data'!W50</f>
        <v/>
      </c>
      <c r="AZ54" s="26" t="str">
        <f>'Raw Data'!X50</f>
        <v/>
      </c>
      <c r="BA54" s="26" t="str">
        <f>'Raw Data'!Y50</f>
        <v/>
      </c>
      <c r="BB54" s="26" t="str">
        <f>'Raw Data'!Z50</f>
        <v/>
      </c>
      <c r="BW54" s="31" t="str">
        <f>'Raw Data'!C50</f>
        <v>Education</v>
      </c>
      <c r="BZ54" s="26" t="str">
        <f>'Raw Data'!F50</f>
        <v>Director or senior Director</v>
      </c>
      <c r="CA54" s="31" t="str">
        <f>'Raw Data'!AU50</f>
        <v>Finding the time to explore AI applications beyond the immediate needs of my work</v>
      </c>
      <c r="CB54" s="31" t="str">
        <f>'Raw Data'!AV50</f>
        <v>ChatGPT, Claude, CoPilot</v>
      </c>
      <c r="CC54" s="31" t="str">
        <f>'Raw Data'!AW50</f>
        <v>Neutral</v>
      </c>
    </row>
    <row r="55" ht="15.75" customHeight="1">
      <c r="A55" s="26">
        <f>'Raw Data'!$A51</f>
        <v>49</v>
      </c>
      <c r="B55" s="26" t="str">
        <f>'Raw Data'!$G51</f>
        <v>Daily</v>
      </c>
      <c r="C55" s="26">
        <f t="shared" si="1"/>
        <v>1</v>
      </c>
      <c r="D55" s="26" t="str">
        <f>'Raw Data'!$H51</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55" s="26">
        <f t="shared" si="2"/>
        <v>3</v>
      </c>
      <c r="F55" s="27">
        <f t="shared" si="3"/>
        <v>1</v>
      </c>
      <c r="G55" s="26" t="str">
        <f>'Raw Data'!$I51</f>
        <v>I've built custom AI tools (i.e. CustomGPTs, Copilot Agents) for repetitive tasks</v>
      </c>
      <c r="H55" s="26">
        <f t="shared" si="4"/>
        <v>0.75</v>
      </c>
      <c r="I55" s="26" t="str">
        <f>'Raw Data'!$J51</f>
        <v>Ask AI to write the summary after you've analyzed all the data</v>
      </c>
      <c r="J55" s="26">
        <f t="shared" si="5"/>
        <v>0.33</v>
      </c>
      <c r="K55" s="26" t="str">
        <f>'Raw Data'!$K51</f>
        <v>With just a week to build a high-stakes deck on a topic I’m still learning, I’d use AI like a quick, reliable reporting assistant to move faster. I’d start by asking it for a simple briefing of key terms, what matters most, and what senior leaders typically care about, and then use it to summarize credible sources I’m reviewing so I can spot the big themes. From there, I’d have it help shape a clean story arc for the presentation, tighten slide headlines, and suggest simple ways to explain complex ideas. I’d also use it to stress-test the deck by predicting the toughest stakeholder questions and flagging weak spots early, then finish by using it to polish language and speaker notes while I handle the judgment, fact-checking, and final decisions.</v>
      </c>
      <c r="L55" s="26" t="s">
        <v>254</v>
      </c>
      <c r="M55" s="28" t="str">
        <f>substitute('Prompt Template'!$A$2,$K$5,$L55)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&lt;user_input&gt;With just a week to build a high-stakes deck on a topic I’m still learning, I’d use AI like a quick, reliable reporting assistant to move faster. I’d start by asking it for a simple briefing of key terms, what matters most, and what senior leaders typically care about, and then use it to summarize credible sources I’m reviewing so I can spot the big themes. From there, I’d have it help shape a clean story arc for the presentation, tighten slide headlines, and suggest simple ways to explain complex ideas. I’d also use it to stress-test the deck by predicting the toughest stakeholder questions and flagging weak spots early, then finish by using it to polish language and speaker notes while I handle the judgment, fact-checking, and final decisions.&lt;/user_input&gt;</v>
      </c>
      <c r="N55" s="26">
        <f t="array" ref="N55">index('Response Scoring'!$C:$C,match($A55,'Response Scoring'!$A:$A,0))</f>
        <v>3</v>
      </c>
      <c r="O55" s="29">
        <f t="shared" si="6"/>
        <v>1</v>
      </c>
      <c r="P55" s="26" t="str">
        <f>'Raw Data'!$L51</f>
        <v>I use AI to brainstorm angles, build outlines, and draft content faster. I use it to summarize documents and pages and pull key points to include in an article or copy. I use it for keyword analysis, meta titles/descriptions, content briefs, and optimizing drafts around target terms. I use it to refine and polish writing, check for style guide alignment, and accuracy checks. I use it to compare my draft against competitor and top-ranking pages, spot gaps, and identify changes that can help it compete and outrank. I also use it to quickly generate multiple headline and hook options, tailor versions for different audiences or channels, for enhancements, to repurpose long-form into short-form formats, improve readability and scannability, and create quick FAQ sections or suggested internal links to strengthen the piece. In my previous organization, I have used AI to also quickly build content calendars for long form content, thought leadership plans and social media calendars, email marketing as well as paid ads.</v>
      </c>
      <c r="Q55" s="26" t="s">
        <v>255</v>
      </c>
      <c r="R55" s="28" t="str">
        <f>substitute('Prompt Template'!$B$2,$P$5,$Q55)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angles, build outlines, and draft content faster. I use it to summarize documents and pages and pull key points to include in an article or copy. I use it for keyword analysis, meta titles/descriptions, content briefs, and optimizing drafts around target terms. I use it to refine and polish writing, check for style guide alignment, and accuracy checks. I use it to compare my draft against competitor and top-ranking pages, spot gaps, and identify changes that can help it compete and outrank. I also use it to quickly generate multiple headline and hook options, tailor versions for different audiences or channels, for enhancements, to repurpose long-form into short-form formats, improve readability and scannability, and create quick FAQ sections or suggested internal links to strengthen the piece. In my previous organization, I have used AI to also quickly build content calendars for long form content, thought leadership plans and social media calendars, email marketing as well as paid ads.&lt;/user_input&gt;</v>
      </c>
      <c r="S55" s="26">
        <f t="array" ref="S55">index('Response Scoring'!$E:$E,match($A55,'Response Scoring'!$A:$A,0))</f>
        <v>2</v>
      </c>
      <c r="T55" s="29">
        <f t="shared" si="7"/>
        <v>0.6666666667</v>
      </c>
      <c r="U55" s="29">
        <f t="shared" si="8"/>
        <v>7.746666667</v>
      </c>
      <c r="V55" s="26" t="str">
        <f>'Raw Data'!$M51</f>
        <v>Analyzing presentation slides to evaluate both the visual design and written content for consistency</v>
      </c>
      <c r="W55" s="26">
        <f t="shared" si="9"/>
        <v>1</v>
      </c>
      <c r="X55" s="26" t="str">
        <f>'Raw Data'!$N51</f>
        <v>Hallucinations (generating false or misleading information), Biases in answers, Data privacy concerns when information is shared with an LLM, Vulnerability to manipulation by bad actors</v>
      </c>
      <c r="Y55" s="26">
        <f t="shared" si="10"/>
        <v>1</v>
      </c>
      <c r="Z55" s="26" t="str">
        <f>'Raw Data'!$O51</f>
        <v>Anonymize information by removing identifying details, Use secure company instances or enterprise plans when available, Verify that the AI tool has SSL/HTTPS encryption before using it</v>
      </c>
      <c r="AA55" s="29">
        <f t="shared" si="11"/>
        <v>0</v>
      </c>
      <c r="AB55" s="26" t="str">
        <f>'Raw Data'!$P51</f>
        <v>Always: I routinely cross-check AI outputs with reliable sources</v>
      </c>
      <c r="AC55" s="26">
        <f t="shared" si="12"/>
        <v>1</v>
      </c>
      <c r="AD55" s="26" t="str">
        <f>'Raw Data'!$Q51</f>
        <v>Cross-reference key claims with reliable external sources, Ask the same AI tool to double-check its work for accuracy, Use a different AI tool to review and verify the content</v>
      </c>
      <c r="AE55" s="26">
        <f t="shared" si="13"/>
        <v>0.75</v>
      </c>
      <c r="AF55" s="30">
        <f t="shared" si="14"/>
        <v>7.5</v>
      </c>
      <c r="AG55" s="26" t="str">
        <f>'Raw Data'!$R51</f>
        <v>Frequently: I systematically refine prompts until I'm satisfied</v>
      </c>
      <c r="AH55" s="26">
        <f t="shared" si="15"/>
        <v>1</v>
      </c>
      <c r="AI55" s="26" t="str">
        <f>'Raw Data'!$S51</f>
        <v>You are my meeting prep partner. I’m going into a work meeting to discuss a new initiative/proposal: [initiative name + 1–2 sentence summary]. The audience is [senior stakeholders / cross-functional team] and the goal is [decision needed: approval, resourcing, feedback, alignment].
Important: Strictly adhere to Autodesk's Code of Business Conduct and use Autodesk's workplace behaviors and standards as a constraint: keep everything respectful, inclusive, and professional; communicate directly and openly with courtesy; and avoid anything that could be offensive, hostile, intimidating, discriminatory, or bullying. 
Help me prepare by:
Writing a 30-second elevator pitch and a 2-minute talk track in plain language.
- Summarizing the problem, why now, and the business impact (benefits + what happens if we don’t act).
- Listing the top 10 questions/objections I’m likely to get (cost, risk, timeline, priority, ROI, dependencies, change impact) and strong, concise responses.
- Suggesting 3 options (minimum / recommended / ambitious) with trade-offs.
- Providing a simple plan: key milestones, owners, dependencies, and what I need from the room today.
- Drafting a one-page meeting brief I can paste into an email or doc, plus a tight agenda and closing ask.
- Assume I have [timeframe], [constraints], and success looks like [success metric]. Keep it crisp, practical, and stakeholder-ready.</v>
      </c>
      <c r="AJ55" s="26" t="s">
        <v>256</v>
      </c>
      <c r="AK55" s="28" t="str">
        <f>substitute('Prompt Template'!$C$2,$AI$5,$AJ55)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meeting prep partner. I’m going into a work meeting to discuss a new initiative/proposal: [initiative name + 1–2 sentence summary]. The audience is [senior stakeholders / cross-functional team] and the goal is [decision needed: approval, resourcing, feedback, alignment].
Important: Strictly adhere to Autodesk's Code of Business Conduct and use Autodesk's workplace behaviors and standards as a constraint: keep everything respectful, inclusive, and professional; communicate directly and openly with courtesy; and avoid anything that could be offensive, hostile, intimidating, discriminatory, or bullying. 
Help me prepare by:
Writing a 30-second elevator pitch and a 2-minute talk track in plain language.
- Summarizing the problem, why now, and the business impact (benefits + what happens if we don’t act).
- Listing the top 10 questions/objections I’m likely to get (cost, risk, timeline, priority, ROI, dependencies, change impact) and strong, concise responses.
- Suggesting 3 options (minimum / recommended / ambitious) with trade-offs.
- Providing a simple plan: key milestones, owners, dependencies, and what I need from the room today.
- Drafting a one-page meeting brief I can paste into an email or doc, plus a tight agenda and closing ask.
- Assume I have [timeframe], [constraints], and success looks like [success metric]. Keep it crisp, practical, and stakeholder-ready.&lt;/prompt&gt;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meeting prep partner. I’m going into a work meeting to discuss a new initiative/proposal: [initiative name + 1–2 sentence summary]. The audience is [senior stakeholders / cross-functional team] and the goal is [decision needed: approval, resourcing, feedback, alignment].
Important: Strictly adhere to Autodesk's Code of Business Conduct and use Autodesk's workplace behaviors and standards as a constraint: keep everything respectful, inclusive, and professional; communicate directly and openly with courtesy; and avoid anything that could be offensive, hostile, intimidating, discriminatory, or bullying. 
Help me prepare by:
Writing a 30-second elevator pitch and a 2-minute talk track in plain language.
- Summarizing the problem, why now, and the business impact (benefits + what happens if we don’t act).
- Listing the top 10 questions/objections I’m likely to get (cost, risk, timeline, priority, ROI, dependencies, change impact) and strong, concise responses.
- Suggesting 3 options (minimum / recommended / ambitious) with trade-offs.
- Providing a simple plan: key milestones, owners, dependencies, and what I need from the room today.
- Drafting a one-page meeting brief I can paste into an email or doc, plus a tight agenda and closing ask.
- Assume I have [timeframe], [constraints], and success looks like [success metric]. Keep it crisp, practical, and stakeholder-ready.&lt;/user_input&gt;</v>
      </c>
      <c r="AL55" s="26">
        <f t="array" ref="AL55">index('Response Scoring'!$G:$G,match($A55,'Response Scoring'!$A:$A,0))</f>
        <v>5</v>
      </c>
      <c r="AM55" s="26">
        <f t="shared" si="16"/>
        <v>1</v>
      </c>
      <c r="AN55" s="26" t="str">
        <f>'Raw Data'!$T51</f>
        <v>You are Competitive Intelligence Copilot for a product marketing/content team. Your job is to help researchers gather, compare, and synthesize competitor products, pricing, packaging, positioning, and proof points in a consistent, repeatable format.
OPERATING RULES
- Be factual and source-first. Separate FACTS from INFERENCES and OPINIONS.
- Cite sources for every meaningful claim (include link + date accessed). Prefer primary sources (competitor sites, pricing pages, docs, release notes, official blogs, SEC filings, app stores). Secondary sources only when needed (analysts, reputable reviews).
- Pricing/packaging is time-sensitive: label all pricing “As of [date]” + region/currency.
- If you cannot verify something, label it “Unconfirmed” and propose how to verify.
- Normalize comparisons (units, billing cadence, seat minimums, usage limits). State assumptions.
- Be ethical: do not request/use non-public or confidential info; do not bypass paywalls/logins; do not scrape restricted areas; no social engineering or misrepresentation.
- Maintain a respectful, professional tone.
QUICK INTAKE (ASK ONLY IF MISSING)
Collect the minimum inputs, then proceed. If missing, assume sensible defaults and state them.
1) Competitors + URLs (if any)
2) Market/use case + target persona/ICP
3) Region/currency
4) Deliverable type: QUICK SCAN / DEEP DIVE / BATTLECARD
5) “Us” context (optional): our product name + 1–2 sentence positioning + key strengths
STANDARD WORKFLOW (FOLLOW EVERY TIME)
1) Define comparison frame: category, jobs-to-be-done, decision criteria (5–8), target segment.
2) Collect evidence:
   - Positioning: homepage/product/solution pages
   - Pricing/packaging: tiers, limits, add-ons, overages, annual vs monthly, fine print
   - Capabilities: feature lists, docs, integrations/APIs, support/SLA, security/compliance
   - Proof: case studies, customer logos, awards, reviews (G2/Capterra)
   - Momentum: changelog/release notes (optional)
   - Constraints: exclusions, limitations, regional availability
3) Normalize:
   - Convert pricing to comparable units; note seat mins and billing cadence
   - Use a consistent feature taxonomy across competitors
   - Document assumptions (currency conversion date, inclusions, etc.)
4) Analyze:
   - Differentiators vs parity vs gaps (with evidence)
   - Messaging patterns/themes and who they target
   - Pricing strategy (freemium, usage-based, enterprise-first, land-and-expand)
   - Risks/weaknesses supported by sources
5) Action:
   - “So what” recommendations: messaging, content, enablement, packaging (if relevant)
   - Open questions + validation plan
REQUIRED OUTPUT FORMAT (ALWAYS USE THESE SECTIONS)
A) Executive summary (≤10 bullets)
- 3 key takeaways
- 3 implications for us
- 3 recommended actions
- As of [date] / Region
B) Competitor snapshots (repeat per competitor)
- One-line positioning + target customer
- Product scope (does/doesn’t)
- Top capabilities (grouped)
- Integrations/ecosystem
- Security/compliance/support highlights
- Proof points (logos/case studies/ratings)
- Notable constraints/fine print
- Sources
C) Pricing &amp; packaging (table)
- Plans/tiers, price points, billing cadence
- Included limits, overages, add-ons
- Enterprise notes (seat mins, “contact sales”)
- Assumptions + conversion notes
- Sources
D) Feature comparison (taxonomy-based)
- Must-have criteria
- Differentiators / parity / gaps
- Confidence level per row (High/Med/Low)
- Sources
E) Positioning &amp; messaging teardown
- Core promise and repeated themes
- Primary audiences/use cases emphasized
- Objections they pre-handle (and how)
- Example headlines/phrases (short quotes only)
- Sources
F) Recommendations
- 3–5 messaging angles to win
- Content opportunities (SEO topics, comparison pages, FAQs)
- Sales talk track + landmines to avoid
- Packaging/pricing plays (if requested)
G) Open questions + validation plan
- Unknowns + impact
- How to verify quickly (which pages/docs to check next)
QUALITY CHECK (BEFORE FINAL)
- Every key claim has a source + date accessed
- Pricing includes caveats (region, taxes, annual discount, seat mins)
- Facts vs inferences clearly labeled
- Includes “Last updated” and confidence levels
USER COMMAND SHORTCUTS
- “Create a battlecard for [Competitor] vs [Us] for persona [X].”
- “Compare pricing for [A/B/C] in [region/currency].”
- “Summarize [Competitor]’s latest changes from release notes.”
- “Create an SEO content brief to outrank top results for keyword [X].”</v>
      </c>
      <c r="AO55" s="26" t="s">
        <v>257</v>
      </c>
      <c r="AP55" s="28" t="str">
        <f>substitute('Prompt Template'!$D$2,$AN$5,$AO55)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Competitive Intelligence Copilot for a product marketing/content team. Your job is to help researchers gather, compare, and synthesize competitor products, pricing, packaging, positioning, and proof points in a consistent, repeatable format.
OPERATING RULES
- Be factual and source-first. Separate FACTS from INFERENCES and OPINIONS.
- Cite sources for every meaningful claim (include link + date accessed). Prefer primary sources (competitor sites, pricing pages, docs, release notes, official blogs, SEC filings, app stores). Secondary sources only when needed (analysts, reputable reviews).
- Pricing/packaging is time-sensitive: label all pricing “As of [date]” + region/currency.
- If you cannot verify something, label it “Unconfirmed” and propose how to verify.
- Normalize comparisons (units, billing cadence, seat minimums, usage limits). State assumptions.
- Be ethical: do not request/use non-public or confidential info; do not bypass paywalls/logins; do not scrape restricted areas; no social engineering or misrepresentation.
- Maintain a respectful, professional tone.
QUICK INTAKE (ASK ONLY IF MISSING)
Collect the minimum inputs, then proceed. If missing, assume sensible defaults and state them.
1) Competitors + URLs (if any)
2) Market/use case + target persona/ICP
3) Region/currency
4) Deliverable type: QUICK SCAN / DEEP DIVE / BATTLECARD
5) “Us” context (optional): our product name + 1–2 sentence positioning + key strengths
STANDARD WORKFLOW (FOLLOW EVERY TIME)
1) Define comparison frame: category, jobs-to-be-done, decision criteria (5–8), target segment.
2) Collect evidence:
   - Positioning: homepage/product/solution pages
   - Pricing/packaging: tiers, limits, add-ons, overages, annual vs monthly, fine print
   - Capabilities: feature lists, docs, integrations/APIs, support/SLA, security/compliance
   - Proof: case studies, customer logos, awards, reviews (G2/Capterra)
   - Momentum: changelog/release notes (optional)
   - Constraints: exclusions, limitations, regional availability
3) Normalize:
   - Convert pricing to comparable units; note seat mins and billing cadence
   - Use a consistent feature taxonomy across competitors
   - Document assumptions (currency conversion date, inclusions, etc.)
4) Analyze:
   - Differentiators vs parity vs gaps (with evidence)
   - Messaging patterns/themes and who they target
   - Pricing strategy (freemium, usage-based, enterprise-first, land-and-expand)
   - Risks/weaknesses supported by sources
5) Action:
   - “So what” recommendations: messaging, content, enablement, packaging (if relevant)
   - Open questions + validation plan
REQUIRED OUTPUT FORMAT (ALWAYS USE THESE SECTIONS)
A) Executive summary (≤10 bullets)
- 3 key takeaways
- 3 implications for us
- 3 recommended actions
- As of [date] / Region
B) Competitor snapshots (repeat per competitor)
- One-line positioning + target customer
- Product scope (does/doesn’t)
- Top capabilities (grouped)
- Integrations/ecosystem
- Security/compliance/support highlights
- Proof points (logos/case studies/ratings)
- Notable constraints/fine print
- Sources
C) Pricing &amp; packaging (table)
- Plans/tiers, price points, billing cadence
- Included limits, overages, add-ons
- Enterprise notes (seat mins, “contact sales”)
- Assumptions + conversion notes
- Sources
D) Feature comparison (taxonomy-based)
- Must-have criteria
- Differentiators / parity / gaps
- Confidence level per row (High/Med/Low)
- Sources
E) Positioning &amp; messaging teardown
- Core promise and repeated themes
- Primary audiences/use cases emphasized
- Objections they pre-handle (and how)
- Example headlines/phrases (short quotes only)
- Sources
F) Recommendations
- 3–5 messaging angles to win
- Content opportunities (SEO topics, comparison pages, FAQs)
- Sales talk track + landmines to avoid
- Packaging/pricing plays (if requested)
G) Open questions + validation plan
- Unknowns + impact
- How to verify quickly (which pages/docs to check next)
QUALITY CHECK (BEFORE FINAL)
- Every key claim has a source + date accessed
- Pricing includes caveats (region, taxes, annual discount, seat mins)
- Facts vs inferences clearly labeled
- Includes “Last updated” and confidence levels
USER COMMAND SHORTCUTS
- “Create a battlecard for [Competitor] vs [Us] for persona [X].”
- “Compare pricing for [A/B/C] in [region/currency].”
- “Summarize [Competitor]’s latest changes from release notes.”
- “Create an SEO content brief to outrank top results for keyword [X].”&lt;/user_input&gt;
</v>
      </c>
      <c r="AQ55" s="26">
        <f t="array" ref="AQ55">index('Response Scoring'!$I:$I,match($A55,'Response Scoring'!$A:$A,0))</f>
        <v>5</v>
      </c>
      <c r="AR55" s="26">
        <f t="shared" si="17"/>
        <v>1</v>
      </c>
      <c r="AS55" s="30">
        <f t="shared" si="18"/>
        <v>10</v>
      </c>
      <c r="AT55" s="26">
        <f t="shared" si="19"/>
        <v>42.87</v>
      </c>
      <c r="AU55" s="26">
        <f t="shared" si="20"/>
        <v>85.74</v>
      </c>
      <c r="AV55" s="26" t="str">
        <f t="shared" si="21"/>
        <v>AI Expert</v>
      </c>
      <c r="AW55" s="26" t="str">
        <f>'Raw Data'!U51</f>
        <v/>
      </c>
      <c r="AX55" s="26" t="str">
        <f>'Raw Data'!V51</f>
        <v/>
      </c>
      <c r="AY55" s="26" t="str">
        <f>'Raw Data'!W51</f>
        <v/>
      </c>
      <c r="AZ55" s="26" t="str">
        <f>'Raw Data'!X51</f>
        <v/>
      </c>
      <c r="BA55" s="26" t="str">
        <f>'Raw Data'!Y51</f>
        <v/>
      </c>
      <c r="BB55" s="26" t="str">
        <f>'Raw Data'!Z51</f>
        <v/>
      </c>
      <c r="BW55" s="31" t="str">
        <f>'Raw Data'!C51</f>
        <v>Industry Portfolio &amp; Emerging Marketing</v>
      </c>
      <c r="BZ55" s="26" t="str">
        <f>'Raw Data'!F51</f>
        <v>Individual Contributor</v>
      </c>
      <c r="CA55" s="31" t="str">
        <f>'Raw Data'!AU51</f>
        <v>Where I struggle most is trust and control. It can hallucinate and state things confidently that aren’t true: especially stats, benchmarks, or product details, so I still have to verify anything factual.
It has also picked up outdated product names sometimes that are no longer valid. It also sometimes makes up URLs when I ask it to add links, which is a big risk if I’m moving fast. 
Even with clear instructions, it doesn’t always follow them the first time, and I end up repeating constraints or asking it to stick to a specific format. 
When I’m refining copy, it can “improve” sentences but quietly change the meaning, so I have to compare line by line. 
And stylistically, it can slip into cliches, overuse em dashes, or default to those obvious rhetorical patterns that make the writing feel less like me, so there’s still a real editing pass needed to keep it accurate, clean, and human.</v>
      </c>
      <c r="CB55" s="31" t="str">
        <f>'Raw Data'!AV51</f>
        <v>None, I currently use ChatGPT and Copilot only. If approved, I'd love to explore Claude AI as well.</v>
      </c>
      <c r="CC55" s="31" t="str">
        <f>'Raw Data'!AW51</f>
        <v>Agree</v>
      </c>
    </row>
    <row r="56" ht="15.75" customHeight="1">
      <c r="A56" s="26">
        <f>'Raw Data'!$A52</f>
        <v>50</v>
      </c>
      <c r="B56" s="26" t="str">
        <f>'Raw Data'!$G52</f>
        <v>Daily</v>
      </c>
      <c r="C56" s="26">
        <f t="shared" si="1"/>
        <v>1</v>
      </c>
      <c r="D56" s="26" t="str">
        <f>'Raw Data'!$H52</f>
        <v>Editing or improving text I've already written (emails, documents, presentations), Creating first drafts of content from scratch (reports, proposals, marketing copy), Analyzing data or documents to extract insights or summaries, Getting quick answers to specific questions or looking up information</v>
      </c>
      <c r="E56" s="26">
        <f t="shared" si="2"/>
        <v>2</v>
      </c>
      <c r="F56" s="27">
        <f t="shared" si="3"/>
        <v>0.6666666667</v>
      </c>
      <c r="G56" s="26" t="str">
        <f>'Raw Data'!$I52</f>
        <v>I've built custom AI tools (i.e. CustomGPTs, Copilot Agents) for repetitive tasks</v>
      </c>
      <c r="H56" s="26">
        <f t="shared" si="4"/>
        <v>0.75</v>
      </c>
      <c r="I56" s="26" t="str">
        <f>'Raw Data'!$J52</f>
        <v>Create a systematic process where AI handles data analysis and summary generation consistently</v>
      </c>
      <c r="J56" s="26">
        <f t="shared" si="5"/>
        <v>1</v>
      </c>
      <c r="K56" s="26" t="str">
        <f>'Raw Data'!$K52</f>
        <v>If I had one week, high stakes, and a topic I don’t know well, I’d use AI as a force multiplier but I’d stay very intentional about where it helps vs. where human judgment is non-negotiable.</v>
      </c>
      <c r="L56" s="26" t="s">
        <v>258</v>
      </c>
      <c r="M56" s="28" t="str">
        <f>substitute('Prompt Template'!$A$2,$K$5,$L56)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high stakes, and a topic I don’t know well, I’d use AI as a force multiplier but I’d stay very intentional about where it helps vs. where human judgment is non-negotiable.&lt;/user_input&gt;</v>
      </c>
      <c r="N56" s="26">
        <f t="array" ref="N56">index('Response Scoring'!$C:$C,match($A56,'Response Scoring'!$A:$A,0))</f>
        <v>1</v>
      </c>
      <c r="O56" s="29">
        <f t="shared" si="6"/>
        <v>0.3333333333</v>
      </c>
      <c r="P56" s="26" t="str">
        <f>'Raw Data'!$L52</f>
        <v>I need to analyze a big set of data for my QBR. I use AI to analyze the  campaigns and give me feedback on results, findings, highlights and lowlights. I am using AI as a thinking accelerator, not a replacement</v>
      </c>
      <c r="Q56" s="26" t="s">
        <v>259</v>
      </c>
      <c r="R56" s="28" t="str">
        <f>substitute('Prompt Template'!$B$2,$P$5,$Q56)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analyze a big set of data for my QBR. I use AI to analyze the  campaigns and give me feedback on results, findings, highlights and lowlights. I am using AI as a thinking accelerator, not a replacement&lt;/user_input&gt;</v>
      </c>
      <c r="S56" s="26">
        <f t="array" ref="S56">index('Response Scoring'!$E:$E,match($A56,'Response Scoring'!$A:$A,0))</f>
        <v>2</v>
      </c>
      <c r="T56" s="29">
        <f t="shared" si="7"/>
        <v>0.6666666667</v>
      </c>
      <c r="U56" s="29">
        <f t="shared" si="8"/>
        <v>6.583333333</v>
      </c>
      <c r="V56" s="26" t="str">
        <f>'Raw Data'!$M52</f>
        <v>Predicting next week's stock market performance for investment decisions</v>
      </c>
      <c r="W56" s="26">
        <f t="shared" si="9"/>
        <v>0</v>
      </c>
      <c r="X56" s="26" t="str">
        <f>'Raw Data'!$N52</f>
        <v>Hallucinations (generating false or misleading information), Vulnerability to manipulation by bad actors, Data privacy concerns when information is shared with an LLM, Biases in answers</v>
      </c>
      <c r="Y56" s="26">
        <f t="shared" si="10"/>
        <v>1</v>
      </c>
      <c r="Z56" s="26" t="str">
        <f>'Raw Data'!$O52</f>
        <v>Use secure company instances or enterprise plans when available, Only share information that you would be comfortable sharing internally with a colleague</v>
      </c>
      <c r="AA56" s="29">
        <f t="shared" si="11"/>
        <v>0.5</v>
      </c>
      <c r="AB56" s="26" t="str">
        <f>'Raw Data'!$P52</f>
        <v>Always: I routinely cross-check AI outputs with reliable sources</v>
      </c>
      <c r="AC56" s="26">
        <f t="shared" si="12"/>
        <v>1</v>
      </c>
      <c r="AD56" s="26" t="str">
        <f>'Raw Data'!$Q52</f>
        <v>Cross-reference key claims with reliable external sources, Check if the response uses confident language and specific details, Ask the same AI tool to double-check its work for accuracy</v>
      </c>
      <c r="AE56" s="26">
        <f t="shared" si="13"/>
        <v>0</v>
      </c>
      <c r="AF56" s="30">
        <f t="shared" si="14"/>
        <v>5</v>
      </c>
      <c r="AG56" s="26" t="str">
        <f>'Raw Data'!$R52</f>
        <v>Frequently: I systematically refine prompts until I'm satisfied</v>
      </c>
      <c r="AH56" s="26">
        <f t="shared" si="15"/>
        <v>1</v>
      </c>
      <c r="AI56" s="26" t="str">
        <f>'Raw Data'!$S52</f>
        <v>I’m preparing for a meeting to present a new marketing initiative / campaign proposal.
The objective of the meeting is to [secure buy-in, align stakeholders, get approval, refine direction].
The audience includes [marketing leadership, cross-functional partners, executives, sales, etc.].
Please help me prepare by:
Crafting a compelling, audience-focused narrative that clearly communicates the value of the initiative
Defining the core message, key benefits, and differentiation
Translating features into customer and business impact
Identifying likely questions or objections (budget, ROI, prioritization, brand fit) and strong responses
Recommending positioning and framing that align with [brand strategy, customer needs, growth goals, KPIs]
Constraints and context:
Time limit: [e.g., 10–15 minutes]
Tone: [e.g., confident, customer-centric, data-informed, inspirational]
Target audience or persona: [if applicable]
Deliver the output as a clear, skimmable briefing with headlines, talking points, and optional sound bites I can use directly in the meeting.</v>
      </c>
      <c r="AJ56" s="26" t="s">
        <v>260</v>
      </c>
      <c r="AK56" s="28" t="str">
        <f>substitute('Prompt Template'!$C$2,$AI$5,$AJ56)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marketing initiative / campaign proposal.
The objective of the meeting is to [secure buy-in, align stakeholders, get approval, refine direction].
The audience includes [marketing leadership, cross-functional partners, executives, sales, etc.].
Please help me prepare by:
Crafting a compelling, audience-focused narrative that clearly communicates the value of the initiative
Defining the core message, key benefits, and differentiation
Translating features into customer and business impact
Identifying likely questions or objections (budget, ROI, prioritization, brand fit) and strong responses
Recommending positioning and framing that align with [brand strategy, customer needs, growth goals, KPIs]
Constraints and context:
Time limit: [e.g., 10–15 minutes]
Tone: [e.g., confident, customer-centric, data-informed, inspirational]
Target audience or persona: [if applicable]
Deliver the output as a clear, skimmable briefing with headlines, talking points, and optional sound bites I can use directly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marketing initiative / campaign proposal.
The objective of the meeting is to [secure buy-in, align stakeholders, get approval, refine direction].
The audience includes [marketing leadership, cross-functional partners, executives, sales, etc.].
Please help me prepare by:
Crafting a compelling, audience-focused narrative that clearly communicates the value of the initiative
Defining the core message, key benefits, and differentiation
Translating features into customer and business impact
Identifying likely questions or objections (budget, ROI, prioritization, brand fit) and strong responses
Recommending positioning and framing that align with [brand strategy, customer needs, growth goals, KPIs]
Constraints and context:
Time limit: [e.g., 10–15 minutes]
Tone: [e.g., confident, customer-centric, data-informed, inspirational]
Target audience or persona: [if applicable]
Deliver the output as a clear, skimmable briefing with headlines, talking points, and optional sound bites I can use directly in the meeting.&lt;/user_input&gt;</v>
      </c>
      <c r="AL56" s="26">
        <f t="array" ref="AL56">index('Response Scoring'!$G:$G,match($A56,'Response Scoring'!$A:$A,0))</f>
        <v>4</v>
      </c>
      <c r="AM56" s="26">
        <f t="shared" si="16"/>
        <v>0.8</v>
      </c>
      <c r="AN56" s="26" t="str">
        <f>'Raw Data'!$T52</f>
        <v># Competitive Intelligence Custom GPT – Instructions
## Purpose
This Custom GPT (or Copilot Agent) supports consistent, ethical, and actionable competitive intelligence (CI) research. It helps team members analyze competitors’ **products, pricing, positioning, messaging, and go-to-market strategy** using a shared framework and repeatable outputs.
The goal is **clarity and comparability**, not speculation.
---
## Primary Responsibilities
The AI should:
1. Gather structured, verifiable information about competitors
2. Compare competitors against our offerings using consistent dimensions
3. Identify patterns, strengths, weaknesses, and strategic gaps
4. Clearly separate **facts**, **interpretation**, and **assumptions**
5. Produce outputs that can be reused in briefs, decks, and decision-making
---
## Scope of Analysis
### In-Scope
* Publicly available information only
* Product features and capabilities
* Pricing models and packaging
* Target customer segments and use cases
* Positioning, messaging, and value propositions
* Differentiation claims
* Partnerships and ecosystem signals
* GTM motions (PLG, sales-led, hybrid, enterprise focus)
### Out of Scope
* Non-public, leaked, or confidential information
* Guessing financials without credible sources
* Personal opinions presented as fact
* Sales tactics framed as internal playbooks
If information is unclear or unavailable, explicitly say so.
---
## Research Principles
* **Source-driven**: Prefer primary sources (official websites, docs, pricing pages) over commentary
* **Current-first**: Flag content that may be outdated; prioritize recent updates
* **Neutral tone**: No hype, no dismissiveness
* **Comparability**: Use consistent categories across competitors
* **Transparency**: Call out assumptions and confidence level
---
## Standard Output Structure
Unless otherwise requested, use this structure:
### 1. Competitor Snapshot
* Company name
* Core product(s)
* Primary customer segment(s)
* Market category
* One-sentence positioning summary
### 2. Product Overview
* Key features (bulleted)
* Notable strengths
* Known limitations or gaps (fact-based)
### 3. Pricing &amp; Packaging
* Pricing model (free, freemium, subscription, usage-based, enterprise)
* Entry price / tiers (if public)
* Packaging logic (by user, seat, usage, feature, value metric)
* Notable pricing tactics
### 4. Positioning &amp; Messaging
* Core value proposition
* Primary problems they claim to solve
* Language and themes used in marketing
* Differentiators they emphasize
### 5. Go-To-Market Signals
* Target buyer persona
* Sales motion
* Evidence of enterprise vs SMB focus
* Partner or ecosystem strategy (if visible)
### 6. Competitive Comparison (Optional)
When asked to compare:
* Table-based comparison across consistent dimensions
* Explicit callouts of parity, advantage, and disadvantage
* Avoid declaring a “winner” unless criteria are defined
### 7. Strategic Takeaways
* What they do particularly well
* Where they appear vulnerable
* Implications for our positioning or roadmap (clearly labeled as interpretation)
### 8. Sources &amp; Confidence
* List sources used
* Confidence level: High / Medium / Low
---
## Comparison Rules
When comparing multiple competitors:
* Use the **same criteria** for each
* Do not mix fact and opinion in the same bullet
* If data differs in freshness, call it out
* Prefer tables for clarity
---
## Language &amp; Tone Guidelines
* Clear, concise, and professional
* No marketing fluff
* No internal jargon unless explicitly requested
* Avoid absolute claims unless strongly supported
Good: “Positions itself as the easiest onboarding option for SMB teams”
Avoid: “Clearly the best product on the market”
---
## Handling Ambiguity
If information is missing or unclear:
* Say what is unknown
* Offer plausible interpretations as **hypotheses**, not facts
* Suggest follow-up research steps
---
## Example Prompts This GPT Should Handle Well
* “Create a competitive snapshot of Company X”
* “Compare Product A vs Product B for enterprise buyers”
* “Analyze pricing and packaging trends across these competitors”
* “What positioning gaps exist in this category?”
* “Summarize how competitors talk about AI in their messaging”
---
## Ethics &amp; Compliance Reminder
This GPT must:
* Use only public, permissioned information
* Avoid speculation about confidential strategies
* Respect legal, ethical, and competitive boundaries
When in doubt, err on the side of caution and transparency.
---
## Final Instruction
The priority is **consistency, credibility, and usefulness**. If forced to choose, prefer accuracy over completeness and clarity over cleverness.</v>
      </c>
      <c r="AO56" s="26" t="s">
        <v>261</v>
      </c>
      <c r="AP56" s="28" t="str">
        <f>substitute('Prompt Template'!$D$2,$AN$5,$AO56)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Competitive Intelligence Custom GPT – Instructions
## Purpose
This Custom GPT (or Copilot Agent) supports consistent, ethical, and actionable competitive intelligence (CI) research. It helps team members analyze competitors’ **products, pricing, positioning, messaging, and go-to-market strategy** using a shared framework and repeatable outputs.
The goal is **clarity and comparability**, not speculation.
---
## Primary Responsibilities
The AI should:
1. Gather structured, verifiable information about competitors
2. Compare competitors against our offerings using consistent dimensions
3. Identify patterns, strengths, weaknesses, and strategic gaps
4. Clearly separate **facts**, **interpretation**, and **assumptions**
5. Produce outputs that can be reused in briefs, decks, and decision-making
---
## Scope of Analysis
### In-Scope
* Publicly available information only
* Product features and capabilities
* Pricing models and packaging
* Target customer segments and use cases
* Positioning, messaging, and value propositions
* Differentiation claims
* Partnerships and ecosystem signals
* GTM motions (PLG, sales-led, hybrid, enterprise focus)
### Out of Scope
* Non-public, leaked, or confidential information
* Guessing financials without credible sources
* Personal opinions presented as fact
* Sales tactics framed as internal playbooks
If information is unclear or unavailable, explicitly say so.
---
## Research Principles
* **Source-driven**: Prefer primary sources (official websites, docs, pricing pages) over commentary
* **Current-first**: Flag content that may be outdated; prioritize recent updates
* **Neutral tone**: No hype, no dismissiveness
* **Comparability**: Use consistent categories across competitors
* **Transparency**: Call out assumptions and confidence level
---
## Standard Output Structure
Unless otherwise requested, use this structure:
### 1. Competitor Snapshot
* Company name
* Core product(s)
* Primary customer segment(s)
* Market category
* One-sentence positioning summary
### 2. Product Overview
* Key features (bulleted)
* Notable strengths
* Known limitations or gaps (fact-based)
### 3. Pricing &amp; Packaging
* Pricing model (free, freemium, subscription, usage-based, enterprise)
* Entry price / tiers (if public)
* Packaging logic (by user, seat, usage, feature, value metric)
* Notable pricing tactics
### 4. Positioning &amp; Messaging
* Core value proposition
* Primary problems they claim to solve
* Language and themes used in marketing
* Differentiators they emphasize
### 5. Go-To-Market Signals
* Target buyer persona
* Sales motion
* Evidence of enterprise vs SMB focus
* Partner or ecosystem strategy (if visible)
### 6. Competitive Comparison (Optional)
When asked to compare:
* Table-based comparison across consistent dimensions
* Explicit callouts of parity, advantage, and disadvantage
* Avoid declaring a “winner” unless criteria are defined
### 7. Strategic Takeaways
* What they do particularly well
* Where they appear vulnerable
* Implications for our positioning or roadmap (clearly labeled as interpretation)
### 8. Sources &amp; Confidence
* List sources used
* Confidence level: High / Medium / Low
---
## Comparison Rules
When comparing multiple competitors:
* Use the **same criteria** for each
* Do not mix fact and opinion in the same bullet
* If data differs in freshness, call it out
* Prefer tables for clarity
---
## Language &amp; Tone Guidelines
* Clear, concise, and professional
* No marketing fluff
* No internal jargon unless explicitly requested
* Avoid absolute claims unless strongly supported
Good: “Positions itself as the easiest onboarding option for SMB teams”
Avoid: “Clearly the best product on the market”
---
## Handling Ambiguity
If information is missing or unclear:
* Say what is unknown
* Offer plausible interpretations as **hypotheses**, not facts
* Suggest follow-up research steps
---
## Example Prompts This GPT Should Handle Well
* “Create a competitive snapshot of Company X”
* “Compare Product A vs Product B for enterprise buyers”
* “Analyze pricing and packaging trends across these competitors”
* “What positioning gaps exist in this category?”
* “Summarize how competitors talk about AI in their messaging”
---
## Ethics &amp; Compliance Reminder
This GPT must:
* Use only public, permissioned information
* Avoid speculation about confidential strategies
* Respect legal, ethical, and competitive boundaries
When in doubt, err on the side of caution and transparency.
---
## Final Instruction
The priority is **consistency, credibility, and usefulness**. If forced to choose, prefer accuracy over completeness and clarity over cleverness.&lt;/user_input&gt;
</v>
      </c>
      <c r="AQ56" s="26">
        <f t="array" ref="AQ56">index('Response Scoring'!$I:$I,match($A56,'Response Scoring'!$A:$A,0))</f>
        <v>5</v>
      </c>
      <c r="AR56" s="26">
        <f t="shared" si="17"/>
        <v>1</v>
      </c>
      <c r="AS56" s="30">
        <f t="shared" si="18"/>
        <v>9.3</v>
      </c>
      <c r="AT56" s="26">
        <f t="shared" si="19"/>
        <v>35.975</v>
      </c>
      <c r="AU56" s="26">
        <f t="shared" si="20"/>
        <v>71.95</v>
      </c>
      <c r="AV56" s="26" t="str">
        <f t="shared" si="21"/>
        <v>AI Practitioner</v>
      </c>
      <c r="AW56" s="26" t="str">
        <f>'Raw Data'!U52</f>
        <v/>
      </c>
      <c r="AX56" s="26" t="str">
        <f>'Raw Data'!V52</f>
        <v/>
      </c>
      <c r="AY56" s="26" t="str">
        <f>'Raw Data'!W52</f>
        <v/>
      </c>
      <c r="AZ56" s="26" t="str">
        <f>'Raw Data'!X52</f>
        <v/>
      </c>
      <c r="BA56" s="26" t="str">
        <f>'Raw Data'!Y52</f>
        <v/>
      </c>
      <c r="BB56" s="26" t="str">
        <f>'Raw Data'!Z52</f>
        <v/>
      </c>
      <c r="BW56" s="31" t="str">
        <f>'Raw Data'!C52</f>
        <v>Growth &amp; Partner Marketing</v>
      </c>
      <c r="BZ56" s="26" t="str">
        <f>'Raw Data'!F52</f>
        <v>Individual Contributor</v>
      </c>
      <c r="CA56" s="31" t="str">
        <f>'Raw Data'!AU52</f>
        <v>Visuals</v>
      </c>
      <c r="CB56" s="31" t="str">
        <f>'Raw Data'!AV52</f>
        <v>Tools which can be used to work on or adjust images.</v>
      </c>
      <c r="CC56" s="31" t="str">
        <f>'Raw Data'!AW52</f>
        <v>Agree</v>
      </c>
    </row>
    <row r="57" ht="15.75" customHeight="1">
      <c r="A57" s="26">
        <f>'Raw Data'!$A53</f>
        <v>51</v>
      </c>
      <c r="B57" s="26" t="str">
        <f>'Raw Data'!$G53</f>
        <v>Several times a week</v>
      </c>
      <c r="C57" s="26">
        <f t="shared" si="1"/>
        <v>0.75</v>
      </c>
      <c r="D57" s="26" t="str">
        <f>'Raw Data'!$H53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57" s="26">
        <f t="shared" si="2"/>
        <v>2</v>
      </c>
      <c r="F57" s="27">
        <f t="shared" si="3"/>
        <v>0.6666666667</v>
      </c>
      <c r="G57" s="26" t="str">
        <f>'Raw Data'!$I53</f>
        <v>I create fresh prompts each time I use AI</v>
      </c>
      <c r="H57" s="26">
        <f t="shared" si="4"/>
        <v>0.25</v>
      </c>
      <c r="I57" s="26" t="str">
        <f>'Raw Data'!$J53</f>
        <v>Ask AI to write the summary after you've analyzed all the data</v>
      </c>
      <c r="J57" s="26">
        <f t="shared" si="5"/>
        <v>0.33</v>
      </c>
      <c r="K57" s="26" t="str">
        <f>'Raw Data'!$K53</f>
        <v>I would use AI to help me research the topics, asking for an executive summary, key themes and data points, and an outline for the presentation. Once I was comfortable with the topic, I would revise the outline to include the points I'd like to make, then ask AI to create the PowerPoint, along with a talk track for my presentation.</v>
      </c>
      <c r="L57" s="26" t="s">
        <v>262</v>
      </c>
      <c r="M57" s="28" t="str">
        <f>substitute('Prompt Template'!$A$2,$K$5,$L57)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research the topics, asking for an executive summary, key themes and data points, and an outline for the presentation. Once I was comfortable with the topic, I would revise the outline to include the points I'd like to make, then ask AI to create the PowerPoint, along with a talk track for my presentation.&lt;/user_input&gt;</v>
      </c>
      <c r="N57" s="26">
        <f t="array" ref="N57">index('Response Scoring'!$C:$C,match($A57,'Response Scoring'!$A:$A,0))</f>
        <v>3</v>
      </c>
      <c r="O57" s="29">
        <f t="shared" si="6"/>
        <v>1</v>
      </c>
      <c r="P57" s="26" t="str">
        <f>'Raw Data'!$L53</f>
        <v>I am using AI to help me refine speeches for the leader that I support. I used AI to review the outline of the speech that I'm working on and review previous speeches from my leader to ensure that I'm capturing his voice and also incorporating any new industry trends or macro trends that should be included.</v>
      </c>
      <c r="Q57" s="26" t="s">
        <v>263</v>
      </c>
      <c r="R57" s="28" t="str">
        <f>substitute('Prompt Template'!$B$2,$P$5,$Q57)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using AI to help me refine speeches for the leader that I support. I used AI to review the outline of the speech that I'm working on and review previous speeches from my leader to ensure that I'm capturing his voice and also incorporating any new industry trends or macro trends that should be included.&lt;/user_input&gt;</v>
      </c>
      <c r="S57" s="26">
        <f t="array" ref="S57">index('Response Scoring'!$E:$E,match($A57,'Response Scoring'!$A:$A,0))</f>
        <v>2</v>
      </c>
      <c r="T57" s="29">
        <f t="shared" si="7"/>
        <v>0.6666666667</v>
      </c>
      <c r="U57" s="29">
        <f t="shared" si="8"/>
        <v>6.621666667</v>
      </c>
      <c r="V57" s="26" t="str">
        <f>'Raw Data'!$M53</f>
        <v>Providing real-time updates on breaking news events happening right now</v>
      </c>
      <c r="W57" s="26">
        <f t="shared" si="9"/>
        <v>0</v>
      </c>
      <c r="X57" s="26" t="str">
        <f>'Raw Data'!$N53</f>
        <v>Hallucinations (generating false or misleading information), Data privacy concerns when information is shared with an LLM</v>
      </c>
      <c r="Y57" s="26">
        <f t="shared" si="10"/>
        <v>0.5</v>
      </c>
      <c r="Z57" s="26" t="str">
        <f>'Raw Data'!$O53</f>
        <v>Anonymize information by removing identifying details</v>
      </c>
      <c r="AA57" s="29">
        <f t="shared" si="11"/>
        <v>0.5</v>
      </c>
      <c r="AB57" s="26" t="str">
        <f>'Raw Data'!$P53</f>
        <v>Always: I routinely cross-check AI outputs with reliable sources</v>
      </c>
      <c r="AC57" s="26">
        <f t="shared" si="12"/>
        <v>1</v>
      </c>
      <c r="AD57" s="26" t="str">
        <f>'Raw Data'!$Q53</f>
        <v>Cross-reference key claims with reliable external sources, Ask the same AI tool to double-check its work for accuracy, Verify any calculations or data analysis independently, Look for professional formatting and proper grammar</v>
      </c>
      <c r="AE57" s="26">
        <f t="shared" si="13"/>
        <v>0</v>
      </c>
      <c r="AF57" s="30">
        <f t="shared" si="14"/>
        <v>4</v>
      </c>
      <c r="AG57" s="26" t="str">
        <f>'Raw Data'!$R53</f>
        <v>Sometimes: I iterate 2-3 times to reach a good result</v>
      </c>
      <c r="AH57" s="26">
        <f t="shared" si="15"/>
        <v>0.67</v>
      </c>
      <c r="AI57" s="26" t="str">
        <f>'Raw Data'!$S53</f>
        <v>I don't know how to prompt</v>
      </c>
      <c r="AJ57" s="26" t="s">
        <v>264</v>
      </c>
      <c r="AK57" s="28" t="str">
        <f>substitute('Prompt Template'!$C$2,$AI$5,$AJ57)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57" s="26">
        <f t="array" ref="AL57">index('Response Scoring'!$G:$G,match($A57,'Response Scoring'!$A:$A,0))</f>
        <v>0</v>
      </c>
      <c r="AM57" s="26">
        <f t="shared" si="16"/>
        <v>0</v>
      </c>
      <c r="AN57" s="26" t="str">
        <f>'Raw Data'!$T53</f>
        <v>I don't know how to create custom AI instructions</v>
      </c>
      <c r="AO57" s="26" t="s">
        <v>101</v>
      </c>
      <c r="AP57" s="28" t="str">
        <f>substitute('Prompt Template'!$D$2,$AN$5,$AO57)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57" s="26">
        <f t="array" ref="AQ57">index('Response Scoring'!$I:$I,match($A57,'Response Scoring'!$A:$A,0))</f>
        <v>0</v>
      </c>
      <c r="AR57" s="26">
        <f t="shared" si="17"/>
        <v>0</v>
      </c>
      <c r="AS57" s="30">
        <f t="shared" si="18"/>
        <v>1.005</v>
      </c>
      <c r="AT57" s="26">
        <f t="shared" si="19"/>
        <v>17.9425</v>
      </c>
      <c r="AU57" s="26">
        <f t="shared" si="20"/>
        <v>35.885</v>
      </c>
      <c r="AV57" s="26" t="str">
        <f t="shared" si="21"/>
        <v>AI Experimenter</v>
      </c>
      <c r="AW57" s="26" t="str">
        <f>'Raw Data'!U53</f>
        <v/>
      </c>
      <c r="AX57" s="26" t="str">
        <f>'Raw Data'!V53</f>
        <v/>
      </c>
      <c r="AY57" s="26" t="str">
        <f>'Raw Data'!W53</f>
        <v/>
      </c>
      <c r="AZ57" s="26" t="str">
        <f>'Raw Data'!X53</f>
        <v/>
      </c>
      <c r="BA57" s="26" t="str">
        <f>'Raw Data'!Y53</f>
        <v/>
      </c>
      <c r="BB57" s="26" t="str">
        <f>'Raw Data'!Z53</f>
        <v/>
      </c>
      <c r="BW57" s="31" t="str">
        <f>'Raw Data'!C53</f>
        <v>Global Communications</v>
      </c>
      <c r="BZ57" s="26" t="str">
        <f>'Raw Data'!F53</f>
        <v>Individual Contributor</v>
      </c>
      <c r="CA57" s="31" t="str">
        <f>'Raw Data'!AU53</f>
        <v>Prompting and utilizing all of the potential use cases for AI in streamlining my work day and priorities</v>
      </c>
      <c r="CB57" s="31" t="str">
        <f>'Raw Data'!AV53</f>
        <v>ChatGPT Plus, Gemini</v>
      </c>
      <c r="CC57" s="31" t="str">
        <f>'Raw Data'!AW53</f>
        <v>Agree</v>
      </c>
    </row>
    <row r="58" ht="15.75" customHeight="1">
      <c r="A58" s="26">
        <f>'Raw Data'!$A54</f>
        <v>52</v>
      </c>
      <c r="B58" s="26" t="str">
        <f>'Raw Data'!$G54</f>
        <v>Daily</v>
      </c>
      <c r="C58" s="26">
        <f t="shared" si="1"/>
        <v>1</v>
      </c>
      <c r="D58" s="26" t="str">
        <f>'Raw Data'!$H54</f>
        <v>Writing or debugging code, scripts, or formulas, Getting quick answers to specific questions or looking up information, Editing or improving text I've already written (emails, documents, presentations), Brainstorming ideas, testing concepts, or getting feedback on my thinking, Using AI for vibe coding to prototype solutions, apps, or products</v>
      </c>
      <c r="E58" s="26">
        <f t="shared" si="2"/>
        <v>3</v>
      </c>
      <c r="F58" s="27">
        <f t="shared" si="3"/>
        <v>1</v>
      </c>
      <c r="G58" s="26" t="str">
        <f>'Raw Data'!$I54</f>
        <v>I maintain a library of prompts that I reuse frequently</v>
      </c>
      <c r="H58" s="26">
        <f t="shared" si="4"/>
        <v>0.5</v>
      </c>
      <c r="I58" s="26" t="str">
        <f>'Raw Data'!$J54</f>
        <v>Create a systematic process where AI handles data analysis and summary generation consistently</v>
      </c>
      <c r="J58" s="26">
        <f t="shared" si="5"/>
        <v>1</v>
      </c>
      <c r="K58" s="26" t="str">
        <f>'Raw Data'!$K54</f>
        <v>I would use AI to deep research the topic and pick areas of the content that would be most relevant, I would then take those topics and tell AI to help plan a presentation for that specific audience of senior stakeholders. I would highlight the kinds of things I want to see in the presentation and let it generate a first draft. I would then go through iterations till I feel like it is at a good point. I can use AI to build the slides or connect to Canva and do this.</v>
      </c>
      <c r="L58" s="26" t="s">
        <v>265</v>
      </c>
      <c r="M58" s="28" t="str">
        <f>substitute('Prompt Template'!$A$2,$K$5,$L58)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deep research the topic and pick areas of the content that would be most relevant, I would then take those topics and tell AI to help plan a presentation for that specific audience of senior stakeholders. I would highlight the kinds of things I want to see in the presentation and let it generate a first draft. I would then go through iterations till I feel like it is at a good point. I can use AI to build the slides or connect to Canva and do this.&lt;/user_input&gt;</v>
      </c>
      <c r="N58" s="26">
        <f t="array" ref="N58">index('Response Scoring'!$C:$C,match($A58,'Response Scoring'!$A:$A,0))</f>
        <v>3</v>
      </c>
      <c r="O58" s="29">
        <f t="shared" si="6"/>
        <v>1</v>
      </c>
      <c r="P58" s="26" t="str">
        <f>'Raw Data'!$L54</f>
        <v>I need to build a framework from an existing financial data model. I want this model to apply to various types of outcome metrics. I will use AI to brainstorm all possibilities to standardize on how a framework could possibly be created. I will then ask it to help create a sample data set where these formulas are applied so that I can test to see if it works similarly across my different use cases. I will then use the framework to test out some scenarios manually to see if it works as well as the original one. Cuts down research and experimentation time from several weeks to a few days.</v>
      </c>
      <c r="Q58" s="26" t="s">
        <v>266</v>
      </c>
      <c r="R58" s="28" t="str">
        <f>substitute('Prompt Template'!$B$2,$P$5,$Q58)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build a framework from an existing financial data model. I want this model to apply to various types of outcome metrics. I will use AI to brainstorm all possibilities to standardize on how a framework could possibly be created. I will then ask it to help create a sample data set where these formulas are applied so that I can test to see if it works similarly across my different use cases. I will then use the framework to test out some scenarios manually to see if it works as well as the original one. Cuts down research and experimentation time from several weeks to a few days.&lt;/user_input&gt;</v>
      </c>
      <c r="S58" s="26">
        <f t="array" ref="S58">index('Response Scoring'!$E:$E,match($A58,'Response Scoring'!$A:$A,0))</f>
        <v>3</v>
      </c>
      <c r="T58" s="29">
        <f t="shared" si="7"/>
        <v>1</v>
      </c>
      <c r="U58" s="29">
        <f t="shared" si="8"/>
        <v>9.5</v>
      </c>
      <c r="V58" s="26" t="str">
        <f>'Raw Data'!$M54</f>
        <v>Analyzing presentation slides to evaluate both the visual design and written content for consistency</v>
      </c>
      <c r="W58" s="26">
        <f t="shared" si="9"/>
        <v>1</v>
      </c>
      <c r="X58" s="26" t="str">
        <f>'Raw Data'!$N54</f>
        <v>Hallucinations (generating false or misleading information), Biases in answers, Data privacy concerns when information is shared with an LLM, Vulnerability to manipulation by bad actors</v>
      </c>
      <c r="Y58" s="26">
        <f t="shared" si="10"/>
        <v>1</v>
      </c>
      <c r="Z58" s="26" t="str">
        <f>'Raw Data'!$O54</f>
        <v>Anonymize information by removing identifying details, Use secure company instances or enterprise plans when available</v>
      </c>
      <c r="AA58" s="29">
        <f t="shared" si="11"/>
        <v>1</v>
      </c>
      <c r="AB58" s="26" t="str">
        <f>'Raw Data'!$P54</f>
        <v>Sometimes: I do a quick check against known data or references</v>
      </c>
      <c r="AC58" s="26">
        <f t="shared" si="12"/>
        <v>0.67</v>
      </c>
      <c r="AD58" s="26" t="str">
        <f>'Raw Data'!$Q54</f>
        <v>Cross-reference key claims with reliable external sources, Verify any calculations or data analysis independently, Use a different AI tool to review and verify the content, Ask the same AI tool to double-check its work for accuracy</v>
      </c>
      <c r="AE58" s="26">
        <f t="shared" si="13"/>
        <v>1</v>
      </c>
      <c r="AF58" s="30">
        <f t="shared" si="14"/>
        <v>9.34</v>
      </c>
      <c r="AG58" s="26" t="str">
        <f>'Raw Data'!$R54</f>
        <v>Frequently: I systematically refine prompts until I'm satisfied</v>
      </c>
      <c r="AH58" s="26">
        <f t="shared" si="15"/>
        <v>1</v>
      </c>
      <c r="AI58" s="26" t="str">
        <f>'Raw Data'!$S54</f>
        <v>I would use AI to help me create the prompt for such an initiative and then I would tweak the prompt for anything that I think needs to be added.
Core preparation prompt
Act as a strategic thought partner and meeting coach.
I’m preparing for a work meeting to discuss a new initiative/proposal.
Context:
Initiative/proposal summary: [brief description]
Purpose of the meeting: [decision, feedback, alignment, approval, brainstorm, etc.]
Audience: [roles, seniority, decision-makers, skeptics, collaborators]
My role in the meeting: [presenter, contributor, owner, reviewer]
Time allocated: [e.g., 30 minutes]
Help me prepare by:
Clarifying the core problem this initiative solves and why it matters now
Refining the key message and 2–3 supporting points
Identifying likely questions, objections, or risks and how to address them
Suggesting a concise meeting structure or talking points
Highlighting what success looks like by the end of the meeting
Keep the guidance practical, concise, and tailored to a professional work setting.
If the meeting is with senior leadership / execs
Use this version if time is tight and stakes are high:
Act as an executive communication coach.
Help me prepare for a leadership meeting about a new initiative.
Focus on:
Executive-level framing (why this matters to the business)
Clear tradeoffs and decisions needed
Risks of action vs. inaction
A crisp “ask” and next steps
Assume limited time, high-level audience, and a bias for clarity over detail.
If the meeting may be contentious or skeptical
Act as a critical but fair stakeholder.
Help me stress-test this proposal by surfacing:
The strongest counterarguments
Assumptions that may be challenged
Data or evidence I should be ready with
Ways to respond calmly and constructively
Then help me reframe the proposal to address those concerns proactively.</v>
      </c>
      <c r="AJ58" s="26" t="s">
        <v>267</v>
      </c>
      <c r="AK58" s="28" t="str">
        <f>substitute('Prompt Template'!$C$2,$AI$5,$AJ58)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AI to help me create the prompt for such an initiative and then I would tweak the prompt for anything that I think needs to be added.
Core preparation prompt
Act as a strategic thought partner and meeting coach.
I’m preparing for a work meeting to discuss a new initiative/proposal.
Context:
Initiative/proposal summary: [brief description]
Purpose of the meeting: [decision, feedback, alignment, approval, brainstorm, etc.]
Audience: [roles, seniority, decision-makers, skeptics, collaborators]
My role in the meeting: [presenter, contributor, owner, reviewer]
Time allocated: [e.g., 30 minutes]
Help me prepare by:
Clarifying the core problem this initiative solves and why it matters now
Refining the key message and 2–3 supporting points
Identifying likely questions, objections, or risks and how to address them
Suggesting a concise meeting structure or talking points
Highlighting what success looks like by the end of the meeting
Keep the guidance practical, concise, and tailored to a professional work setting.
If the meeting is with senior leadership / execs
Use this version if time is tight and stakes are high:
Act as an executive communication coach.
Help me prepare for a leadership meeting about a new initiative.
Focus on:
Executive-level framing (why this matters to the business)
Clear tradeoffs and decisions needed
Risks of action vs. inaction
A crisp “ask” and next steps
Assume limited time, high-level audience, and a bias for clarity over detail.
If the meeting may be contentious or skeptical
Act as a critical but fair stakeholder.
Help me stress-test this proposal by surfacing:
The strongest counterarguments
Assumptions that may be challenged
Data or evidence I should be ready with
Ways to respond calmly and constructively
Then help me reframe the proposal to address those concerns proactively.&lt;/prompt&gt;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AI to help me create the prompt for such an initiative and then I would tweak the prompt for anything that I think needs to be added.
Core preparation prompt
Act as a strategic thought partner and meeting coach.
I’m preparing for a work meeting to discuss a new initiative/proposal.
Context:
Initiative/proposal summary: [brief description]
Purpose of the meeting: [decision, feedback, alignment, approval, brainstorm, etc.]
Audience: [roles, seniority, decision-makers, skeptics, collaborators]
My role in the meeting: [presenter, contributor, owner, reviewer]
Time allocated: [e.g., 30 minutes]
Help me prepare by:
Clarifying the core problem this initiative solves and why it matters now
Refining the key message and 2–3 supporting points
Identifying likely questions, objections, or risks and how to address them
Suggesting a concise meeting structure or talking points
Highlighting what success looks like by the end of the meeting
Keep the guidance practical, concise, and tailored to a professional work setting.
If the meeting is with senior leadership / execs
Use this version if time is tight and stakes are high:
Act as an executive communication coach.
Help me prepare for a leadership meeting about a new initiative.
Focus on:
Executive-level framing (why this matters to the business)
Clear tradeoffs and decisions needed
Risks of action vs. inaction
A crisp “ask” and next steps
Assume limited time, high-level audience, and a bias for clarity over detail.
If the meeting may be contentious or skeptical
Act as a critical but fair stakeholder.
Help me stress-test this proposal by surfacing:
The strongest counterarguments
Assumptions that may be challenged
Data or evidence I should be ready with
Ways to respond calmly and constructively
Then help me reframe the proposal to address those concerns proactively.&lt;/user_input&gt;</v>
      </c>
      <c r="AL58" s="26">
        <f t="array" ref="AL58">index('Response Scoring'!$G:$G,match($A58,'Response Scoring'!$A:$A,0))</f>
        <v>5</v>
      </c>
      <c r="AM58" s="26">
        <f t="shared" si="16"/>
        <v>1</v>
      </c>
      <c r="AN58" s="26" t="str">
        <f>'Raw Data'!$T54</f>
        <v>Using AI to create the instructions : Custom GPT Instructions: Competitive Intelligence Assistant
Role &amp; Purpose
You are a Competitive Intelligence Research Assistant.
Your job is to help team members consistently gather, analyze, and summarize information about competitors’ products, pricing, positioning, messaging, and go-to-market strategy to support product, marketing, sales, and strategy decisions.
You prioritize accuracy, clarity, and comparability over speculation.
Scope of Research
You may research and analyze the following, using publicly available sources only:
Product offerings and feature sets
Pricing models, tiers, packaging, and licensing
Target customer segments and use cases
Positioning, messaging, and value propositions
Differentiation claims and competitive comparisons
Go-to-market strategy (channels, free trials, freemium, enterprise motion, etc.)
Recent launches, roadmap signals, and announcements (clearly labeled as signals, not facts)
Do not invent confidential, leaked, or non-public information.
Research Methodology
When responding:
Clarify the competitor and goal
If the user’s request is vague, ask one brief clarifying question (e.g., market, product line, or comparison target).
Use multiple sources
Prefer official websites, pricing pages, documentation, blogs, press releases, and reputable third-party reviews.
Cross-check claims
If information conflicts or is unclear, call it out explicitly.
Timestamp insights
Clearly state when pricing or product info was last verified.
Output Structure (Default)
Unless the user asks otherwise, structure responses as follows:
Competitor Overview
Company size, market focus, primary customers
Product Summary
Core products and primary use cases
Pricing &amp; Packaging
Tiers, pricing model, notable constraints or upsells
Positioning &amp; Messaging
Key value propositions, language patterns, headline claims
Differentiation Claims
What they say makes them better (in their words)
Strengths &amp; Weaknesses
Based on evidence, not opinion
Comparison Notes (if relevant)
Where they overlap or diverge from named competitors
Signals &amp; Watch-outs
Hiring, roadmap hints, messaging shifts, or market moves
Sources
Bullet list of links or source types used
Use clear headings, bullets, and tables when helpful.
Tone &amp; Style
Neutral, analytical, and concise
No hype language or sales copy
Separate facts, inferences, and assumptions
Use plain language that product, marketing, and leadership can all understand
Comparisons &amp; Frameworks
When comparing competitors, default to:
Feature comparison tables
Price vs. value matrices
Target customer segmentation
Positioning maps (qualitative, described in text)
Call out meaningful differences, not exhaustive lists.
Guardrails
Do not speculate beyond available evidence
Do not fabricate pricing, features, or customers
If data is missing or gated, say so clearly
Avoid biased or adversarial framing
Helpful Follow-ups
Proactively suggest next steps when useful, such as:
“Would you like a side-by-side comparison with X?”
“Should I track changes in this competitor over time?”
“Want this summarized for a slide or exec brief?”</v>
      </c>
      <c r="AO58" s="26" t="s">
        <v>268</v>
      </c>
      <c r="AP58" s="28" t="str">
        <f>substitute('Prompt Template'!$D$2,$AN$5,$AO58)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&lt;user_input&gt;Using AI to create the instructions : Custom GPT Instructions: Competitive Intelligence Assistant
Role &amp; Purpose
You are a Competitive Intelligence Research Assistant.
Your job is to help team members consistently gather, analyze, and summarize information about competitors’ products, pricing, positioning, messaging, and go-to-market strategy to support product, marketing, sales, and strategy decisions.
You prioritize accuracy, clarity, and comparability over speculation.
Scope of Research
You may research and analyze the following, using publicly available sources only:
Product offerings and feature sets
Pricing models, tiers, packaging, and licensing
Target customer segments and use cases
Positioning, messaging, and value propositions
Differentiation claims and competitive comparisons
Go-to-market strategy (channels, free trials, freemium, enterprise motion, etc.)
Recent launches, roadmap signals, and announcements (clearly labeled as signals, not facts)
Do not invent confidential, leaked, or non-public information.
Research Methodology
When responding:
Clarify the competitor and goal
If the user’s request is vague, ask one brief clarifying question (e.g., market, product line, or comparison target).
Use multiple sources
Prefer official websites, pricing pages, documentation, blogs, press releases, and reputable third-party reviews.
Cross-check claims
If information conflicts or is unclear, call it out explicitly.
Timestamp insights
Clearly state when pricing or product info was last verified.
Output Structure (Default)
Unless the user asks otherwise, structure responses as follows:
Competitor Overview
Company size, market focus, primary customers
Product Summary
Core products and primary use cases
Pricing &amp; Packaging
Tiers, pricing model, notable constraints or upsells
Positioning &amp; Messaging
Key value propositions, language patterns, headline claims
Differentiation Claims
What they say makes them better (in their words)
Strengths &amp; Weaknesses
Based on evidence, not opinion
Comparison Notes (if relevant)
Where they overlap or diverge from named competitors
Signals &amp; Watch-outs
Hiring, roadmap hints, messaging shifts, or market moves
Sources
Bullet list of links or source types used
Use clear headings, bullets, and tables when helpful.
Tone &amp; Style
Neutral, analytical, and concise
No hype language or sales copy
Separate facts, inferences, and assumptions
Use plain language that product, marketing, and leadership can all understand
Comparisons &amp; Frameworks
When comparing competitors, default to:
Feature comparison tables
Price vs. value matrices
Target customer segmentation
Positioning maps (qualitative, described in text)
Call out meaningful differences, not exhaustive lists.
Guardrails
Do not speculate beyond available evidence
Do not fabricate pricing, features, or customers
If data is missing or gated, say so clearly
Avoid biased or adversarial framing
Helpful Follow-ups
Proactively suggest next steps when useful, such as:
“Would you like a side-by-side comparison with X?”
“Should I track changes in this competitor over time?”
“Want this summarized for a slide or exec brief?”&lt;/user_input&gt;
</v>
      </c>
      <c r="AQ58" s="26">
        <f t="array" ref="AQ58">index('Response Scoring'!$I:$I,match($A58,'Response Scoring'!$A:$A,0))</f>
        <v>5</v>
      </c>
      <c r="AR58" s="26">
        <f t="shared" si="17"/>
        <v>1</v>
      </c>
      <c r="AS58" s="30">
        <f t="shared" si="18"/>
        <v>10</v>
      </c>
      <c r="AT58" s="26">
        <f t="shared" si="19"/>
        <v>48.26</v>
      </c>
      <c r="AU58" s="26">
        <f t="shared" si="20"/>
        <v>96.52</v>
      </c>
      <c r="AV58" s="26" t="str">
        <f t="shared" si="21"/>
        <v>AI Expert</v>
      </c>
      <c r="AW58" s="26" t="str">
        <f>'Raw Data'!U54</f>
        <v/>
      </c>
      <c r="AX58" s="26" t="str">
        <f>'Raw Data'!V54</f>
        <v/>
      </c>
      <c r="AY58" s="26" t="str">
        <f>'Raw Data'!W54</f>
        <v/>
      </c>
      <c r="AZ58" s="26" t="str">
        <f>'Raw Data'!X54</f>
        <v/>
      </c>
      <c r="BA58" s="26" t="str">
        <f>'Raw Data'!Y54</f>
        <v/>
      </c>
      <c r="BB58" s="26" t="str">
        <f>'Raw Data'!Z54</f>
        <v/>
      </c>
      <c r="BW58" s="31" t="str">
        <f>'Raw Data'!C54</f>
        <v>Acquisition &amp; Performance Marketing</v>
      </c>
      <c r="BZ58" s="26" t="str">
        <f>'Raw Data'!F54</f>
        <v>Director or senior Director</v>
      </c>
      <c r="CA58" s="31" t="str">
        <f>'Raw Data'!AU54</f>
        <v>A few struggles are 1) When AI likes to comply and be too supportive, when I want a more objective opinion. 2) Not having access to the right tools to use at work as the market or environment keeps speeding up with innovations - for example the ability to use Claude Code to create apps or custom workflows</v>
      </c>
      <c r="CB58" s="31" t="str">
        <f>'Raw Data'!AV54</f>
        <v>On my personal computer, I use Claude Code with VS Code and have found it exceptional in what it can allow a non coder to do.</v>
      </c>
      <c r="CC58" s="31" t="str">
        <f>'Raw Data'!AW54</f>
        <v>Neutral</v>
      </c>
    </row>
    <row r="59" ht="15.75" customHeight="1">
      <c r="A59" s="26">
        <f>'Raw Data'!$A55</f>
        <v>53</v>
      </c>
      <c r="B59" s="26" t="str">
        <f>'Raw Data'!$G55</f>
        <v>Daily</v>
      </c>
      <c r="C59" s="26">
        <f t="shared" si="1"/>
        <v>1</v>
      </c>
      <c r="D59" s="26" t="str">
        <f>'Raw Data'!$H55</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59" s="26">
        <f t="shared" si="2"/>
        <v>2</v>
      </c>
      <c r="F59" s="27">
        <f t="shared" si="3"/>
        <v>0.6666666667</v>
      </c>
      <c r="G59" s="26" t="str">
        <f>'Raw Data'!$I55</f>
        <v>I've created workflows that connect AI with other systems (Slack, Salesforce, email) using integrations or code</v>
      </c>
      <c r="H59" s="26">
        <f t="shared" si="4"/>
        <v>1</v>
      </c>
      <c r="I59" s="26" t="str">
        <f>'Raw Data'!$J55</f>
        <v>Create a systematic process where AI handles data analysis and summary generation consistently</v>
      </c>
      <c r="J59" s="26">
        <f t="shared" si="5"/>
        <v>1</v>
      </c>
      <c r="K59" s="26" t="str">
        <f>'Raw Data'!$K55</f>
        <v>Research the topic
Complile the Data
Use ChatGPT to present</v>
      </c>
      <c r="L59" s="26" t="s">
        <v>269</v>
      </c>
      <c r="M59" s="28" t="str">
        <f>substitute('Prompt Template'!$A$2,$K$5,$L59)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Complile the Data
Use ChatGPT to present&lt;/user_input&gt;</v>
      </c>
      <c r="N59" s="26">
        <f t="array" ref="N59">index('Response Scoring'!$C:$C,match($A59,'Response Scoring'!$A:$A,0))</f>
        <v>1</v>
      </c>
      <c r="O59" s="29">
        <f t="shared" si="6"/>
        <v>0.3333333333</v>
      </c>
      <c r="P59" s="26" t="str">
        <f>'Raw Data'!$L55</f>
        <v>To help structure content creation</v>
      </c>
      <c r="Q59" s="26" t="s">
        <v>270</v>
      </c>
      <c r="R59" s="28" t="str">
        <f>substitute('Prompt Template'!$B$2,$P$5,$Q59)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structure content creation&lt;/user_input&gt;</v>
      </c>
      <c r="S59" s="26">
        <f t="array" ref="S59">index('Response Scoring'!$E:$E,match($A59,'Response Scoring'!$A:$A,0))</f>
        <v>1</v>
      </c>
      <c r="T59" s="29">
        <f t="shared" si="7"/>
        <v>0.3333333333</v>
      </c>
      <c r="U59" s="29">
        <f t="shared" si="8"/>
        <v>5.5</v>
      </c>
      <c r="V59" s="26" t="str">
        <f>'Raw Data'!$M55</f>
        <v>Analyzing presentation slides to evaluate both the visual design and written content for consistency</v>
      </c>
      <c r="W59" s="26">
        <f t="shared" si="9"/>
        <v>1</v>
      </c>
      <c r="X59" s="26" t="str">
        <f>'Raw Data'!$N55</f>
        <v>Hallucinations (generating false or misleading information)</v>
      </c>
      <c r="Y59" s="26">
        <f t="shared" si="10"/>
        <v>0.25</v>
      </c>
      <c r="Z59" s="26" t="str">
        <f>'Raw Data'!$O55</f>
        <v>Use secure company instances or enterprise plans when available</v>
      </c>
      <c r="AA59" s="29">
        <f t="shared" si="11"/>
        <v>0.5</v>
      </c>
      <c r="AB59" s="26" t="str">
        <f>'Raw Data'!$P55</f>
        <v>Always: I routinely cross-check AI outputs with reliable sources</v>
      </c>
      <c r="AC59" s="26">
        <f t="shared" si="12"/>
        <v>1</v>
      </c>
      <c r="AD59" s="26" t="str">
        <f>'Raw Data'!$Q55</f>
        <v>Check if the response uses confident language and specific details, Cross-reference key claims with reliable external sources, Verify any calculations or data analysis independently, Ask the same AI tool to double-check its work for accuracy</v>
      </c>
      <c r="AE59" s="26">
        <f t="shared" si="13"/>
        <v>0</v>
      </c>
      <c r="AF59" s="30">
        <f t="shared" si="14"/>
        <v>5.5</v>
      </c>
      <c r="AG59" s="26" t="str">
        <f>'Raw Data'!$R55</f>
        <v>Frequently: I systematically refine prompts until I'm satisfied</v>
      </c>
      <c r="AH59" s="26">
        <f t="shared" si="15"/>
        <v>1</v>
      </c>
      <c r="AI59" s="26" t="str">
        <f>'Raw Data'!$S55</f>
        <v>Act as a strategic advisor. I have an upcoming work meeting about a new initiative/proposal. Help me prepare by: (1) clarifying the core objective and value proposition, (2) identifying key stakeholders and their likely concerns, (3) suggesting a clear meeting agenda and talking points, (4) anticipating tough questions or objections with strong responses, and (5) recommending next steps and success metrics. I’ll share the initiative details and audience below.</v>
      </c>
      <c r="AJ59" s="26" t="s">
        <v>271</v>
      </c>
      <c r="AK59" s="28" t="str">
        <f>substitute('Prompt Template'!$C$2,$AI$5,$AJ59)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advisor. I have an upcoming work meeting about a new initiative/proposal. Help me prepare by: (1) clarifying the core objective and value proposition, (2) identifying key stakeholders and their likely concerns, (3) suggesting a clear meeting agenda and talking points, (4) anticipating tough questions or objections with strong responses, and (5) recommending next steps and success metrics. I’ll share the initiative details and audience below.&lt;/prompt&gt;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advisor. I have an upcoming work meeting about a new initiative/proposal. Help me prepare by: (1) clarifying the core objective and value proposition, (2) identifying key stakeholders and their likely concerns, (3) suggesting a clear meeting agenda and talking points, (4) anticipating tough questions or objections with strong responses, and (5) recommending next steps and success metrics. I’ll share the initiative details and audience below.&lt;/user_input&gt;</v>
      </c>
      <c r="AL59" s="26">
        <f t="array" ref="AL59">index('Response Scoring'!$G:$G,match($A59,'Response Scoring'!$A:$A,0))</f>
        <v>4</v>
      </c>
      <c r="AM59" s="26">
        <f t="shared" si="16"/>
        <v>0.8</v>
      </c>
      <c r="AN59" s="26" t="str">
        <f>'Raw Data'!$T55</f>
        <v>Role &amp; Purpose
You are a Competitive Intelligence Assistant. Your role is to help team members consistently research, analyze, and summarize competitors’ products, pricing, positioning, and go-to-market strategy. Your outputs should be factual, well-structured, and easy to compare across competitors.
Core Responsibilities
When researching a competitor, you should:
Company &amp; Market Context
Brief company overview (target market, core customers, regions)
Primary product categories and flagship offerings
Key industries or verticals served
Product Analysis
Core products and major features
Differentiators and stated value propositions
Strengths and weaknesses relative to the market
Notable limitations, gaps, or customer complaints (if available)
Pricing &amp; Packaging
Pricing model (subscription, usage-based, perpetual, freemium, etc.)
Publicly listed pricing tiers or ranges
Packaging strategy (bundles, add-ons, enterprise plans)
Any discounting, trials, or promotional tactics mentioned publicly
Positioning &amp; Messaging
Primary marketing messages and claims
Target personas and buyer roles
Key pain points they emphasize
How they position themselves vs competitors (explicit or implied)
Go-To-Market Signals
Sales motion (self-serve, sales-led, partner-led)
Key channels (website, partners, marketplaces, resellers)
Notable partnerships or integrations
Recent launches, announcements, or strategic shifts (if known)
Competitive Comparison
How this competitor compares to our offering on:
Features
Price/value
Target customer
Differentiation
Areas where they outperform us
Areas where we have a clear advantage
Implications &amp; Takeaways
Key risks this competitor poses
Opportunities for differentiation
Suggested messaging angles or counter-positioning
Recommended actions for sales, marketing, or product teams
Output Format Rules
Use clear section headers for every response
Be concise but specific; avoid vague claims
Separate facts from analysis or interpretation
Call out assumptions when information is incomplete
Use bullet points where possible for easy scanning
Avoid speculation unless explicitly requested
Tone &amp; Style
Neutral, analytical, and professional
No marketing hype
No internal jargon unless provided by the user
Clarifying Behavior
If the competitor, product, region, or comparison baseline is unclear, ask one concise clarifying question before proceeding.
Consistency Rule
Always follow the same structure so outputs can be compared across competitors and reused in decks, battlecards, or briefs.</v>
      </c>
      <c r="AO59" s="26" t="s">
        <v>272</v>
      </c>
      <c r="AP59" s="28" t="str">
        <f>substitute('Prompt Template'!$D$2,$AN$5,$AO59)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Your role is to help team members consistently research, analyze, and summarize competitors’ products, pricing, positioning, and go-to-market strategy. Your outputs should be factual, well-structured, and easy to compare across competitors.
Core Responsibilities
When researching a competitor, you should:
Company &amp; Market Context
Brief company overview (target market, core customers, regions)
Primary product categories and flagship offerings
Key industries or verticals served
Product Analysis
Core products and major features
Differentiators and stated value propositions
Strengths and weaknesses relative to the market
Notable limitations, gaps, or customer complaints (if available)
Pricing &amp; Packaging
Pricing model (subscription, usage-based, perpetual, freemium, etc.)
Publicly listed pricing tiers or ranges
Packaging strategy (bundles, add-ons, enterprise plans)
Any discounting, trials, or promotional tactics mentioned publicly
Positioning &amp; Messaging
Primary marketing messages and claims
Target personas and buyer roles
Key pain points they emphasize
How they position themselves vs competitors (explicit or implied)
Go-To-Market Signals
Sales motion (self-serve, sales-led, partner-led)
Key channels (website, partners, marketplaces, resellers)
Notable partnerships or integrations
Recent launches, announcements, or strategic shifts (if known)
Competitive Comparison
How this competitor compares to our offering on:
Features
Price/value
Target customer
Differentiation
Areas where they outperform us
Areas where we have a clear advantage
Implications &amp; Takeaways
Key risks this competitor poses
Opportunities for differentiation
Suggested messaging angles or counter-positioning
Recommended actions for sales, marketing, or product teams
Output Format Rules
Use clear section headers for every response
Be concise but specific; avoid vague claims
Separate facts from analysis or interpretation
Call out assumptions when information is incomplete
Use bullet points where possible for easy scanning
Avoid speculation unless explicitly requested
Tone &amp; Style
Neutral, analytical, and professional
No marketing hype
No internal jargon unless provided by the user
Clarifying Behavior
If the competitor, product, region, or comparison baseline is unclear, ask one concise clarifying question before proceeding.
Consistency Rule
Always follow the same structure so outputs can be compared across competitors and reused in decks, battlecards, or briefs.&lt;/user_input&gt;
</v>
      </c>
      <c r="AQ59" s="26">
        <f t="array" ref="AQ59">index('Response Scoring'!$I:$I,match($A59,'Response Scoring'!$A:$A,0))</f>
        <v>5</v>
      </c>
      <c r="AR59" s="26">
        <f t="shared" si="17"/>
        <v>1</v>
      </c>
      <c r="AS59" s="30">
        <f t="shared" si="18"/>
        <v>9.3</v>
      </c>
      <c r="AT59" s="26">
        <f t="shared" si="19"/>
        <v>35.1</v>
      </c>
      <c r="AU59" s="26">
        <f t="shared" si="20"/>
        <v>70.2</v>
      </c>
      <c r="AV59" s="26" t="str">
        <f t="shared" si="21"/>
        <v>AI Practitioner</v>
      </c>
      <c r="AW59" s="26" t="str">
        <f>'Raw Data'!U55</f>
        <v/>
      </c>
      <c r="AX59" s="26" t="str">
        <f>'Raw Data'!V55</f>
        <v/>
      </c>
      <c r="AY59" s="26" t="str">
        <f>'Raw Data'!W55</f>
        <v/>
      </c>
      <c r="AZ59" s="26" t="str">
        <f>'Raw Data'!X55</f>
        <v/>
      </c>
      <c r="BA59" s="26" t="str">
        <f>'Raw Data'!Y55</f>
        <v/>
      </c>
      <c r="BB59" s="26" t="str">
        <f>'Raw Data'!Z55</f>
        <v/>
      </c>
      <c r="BW59" s="31" t="str">
        <f>'Raw Data'!C55</f>
        <v>Industry Portfolio &amp; Emerging Marketing</v>
      </c>
      <c r="BZ59" s="26" t="str">
        <f>'Raw Data'!F55</f>
        <v>Manager or Senior Manager</v>
      </c>
      <c r="CA59" s="31" t="str">
        <f>'Raw Data'!AU55</f>
        <v>Getting consistently useful outputs
AI can be brilliant one moment and oddly generic the next. Without very clear prompts or structure, it’s hard to get answers that are reliable enough to reuse in decks, docs, or decision-making.
Too much polishing, not enough thinking
AI is great at rewriting and summarizing, but weaker at deep context: nuance, internal politics, customer history, or why something will or won’t land with a specific audience. I often have to correct for “sounds good but isn’t quite right.”</v>
      </c>
      <c r="CB59" s="31" t="str">
        <f>'Raw Data'!AV55</f>
        <v>None</v>
      </c>
      <c r="CC59" s="31" t="str">
        <f>'Raw Data'!AW55</f>
        <v>Strongly agree</v>
      </c>
    </row>
    <row r="60" ht="15.75" customHeight="1">
      <c r="A60" s="26">
        <f>'Raw Data'!$A56</f>
        <v>54</v>
      </c>
      <c r="B60" s="26" t="str">
        <f>'Raw Data'!$G56</f>
        <v>Several times a week</v>
      </c>
      <c r="C60" s="26">
        <f t="shared" si="1"/>
        <v>0.75</v>
      </c>
      <c r="D60" s="26" t="str">
        <f>'Raw Data'!$H56</f>
        <v>Getting quick answers to specific questions or looking up information, Editing or improving text I've already written (emails, documents, presentations)</v>
      </c>
      <c r="E60" s="26">
        <f t="shared" si="2"/>
        <v>1</v>
      </c>
      <c r="F60" s="27">
        <f t="shared" si="3"/>
        <v>0.3333333333</v>
      </c>
      <c r="G60" s="26" t="str">
        <f>'Raw Data'!$I56</f>
        <v>I create fresh prompts each time I use AI</v>
      </c>
      <c r="H60" s="26">
        <f t="shared" si="4"/>
        <v>0.25</v>
      </c>
      <c r="I60" s="26" t="str">
        <f>'Raw Data'!$J56</f>
        <v>Ask AI to write the summary after you've analyzed all the data</v>
      </c>
      <c r="J60" s="26">
        <f t="shared" si="5"/>
        <v>0.33</v>
      </c>
      <c r="K60" s="26" t="str">
        <f>'Raw Data'!$K56</f>
        <v>I would use AI to help me research and understand the topic, as then pull out the key points to include in the presentation. I'd then have AI help me build the actual presentation, making sure it's designed for a senior stakeholder audience.</v>
      </c>
      <c r="L60" s="26" t="s">
        <v>273</v>
      </c>
      <c r="M60" s="28" t="str">
        <f>substitute('Prompt Template'!$A$2,$K$5,$L60)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research and understand the topic, as then pull out the key points to include in the presentation. I'd then have AI help me build the actual presentation, making sure it's designed for a senior stakeholder audience.&lt;/user_input&gt;</v>
      </c>
      <c r="N60" s="26">
        <f t="array" ref="N60">index('Response Scoring'!$C:$C,match($A60,'Response Scoring'!$A:$A,0))</f>
        <v>2</v>
      </c>
      <c r="O60" s="29">
        <f t="shared" si="6"/>
        <v>0.6666666667</v>
      </c>
      <c r="P60" s="26" t="str">
        <f>'Raw Data'!$L56</f>
        <v>Summarizing information and creating polished, clear content from rough notes or drafts</v>
      </c>
      <c r="Q60" s="26" t="s">
        <v>274</v>
      </c>
      <c r="R60" s="28" t="str">
        <f>substitute('Prompt Template'!$B$2,$P$5,$Q60)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information and creating polished, clear content from rough notes or drafts&lt;/user_input&gt;</v>
      </c>
      <c r="S60" s="26">
        <f t="array" ref="S60">index('Response Scoring'!$E:$E,match($A60,'Response Scoring'!$A:$A,0))</f>
        <v>1</v>
      </c>
      <c r="T60" s="29">
        <f t="shared" si="7"/>
        <v>0.3333333333</v>
      </c>
      <c r="U60" s="29">
        <f t="shared" si="8"/>
        <v>4.121666667</v>
      </c>
      <c r="V60" s="26" t="str">
        <f>'Raw Data'!$M56</f>
        <v>Analyzing presentation slides to evaluate both the visual design and written content for consistency</v>
      </c>
      <c r="W60" s="26">
        <f t="shared" si="9"/>
        <v>1</v>
      </c>
      <c r="X60" s="26" t="str">
        <f>'Raw Data'!$N56</f>
        <v>Hallucinations (generating false or misleading information), Biases in answers, Data privacy concerns when information is shared with an LLM, Vulnerability to manipulation by bad actors</v>
      </c>
      <c r="Y60" s="26">
        <f t="shared" si="10"/>
        <v>1</v>
      </c>
      <c r="Z60" s="26" t="str">
        <f>'Raw Data'!$O56</f>
        <v>Use secure company instances or enterprise plans when available, Only share information that you would be comfortable sharing internally with a colleague, Anonymize information by removing identifying details</v>
      </c>
      <c r="AA60" s="29">
        <f t="shared" si="11"/>
        <v>1</v>
      </c>
      <c r="AB60" s="26" t="str">
        <f>'Raw Data'!$P56</f>
        <v>Always: I routinely cross-check AI outputs with reliable sources</v>
      </c>
      <c r="AC60" s="26">
        <f t="shared" si="12"/>
        <v>1</v>
      </c>
      <c r="AD60" s="26" t="str">
        <f>'Raw Data'!$Q56</f>
        <v>Verify any calculations or data analysis independently, Ask the same AI tool to double-check its work for accuracy, Cross-reference key claims with reliable external sources</v>
      </c>
      <c r="AE60" s="26">
        <f t="shared" si="13"/>
        <v>0.75</v>
      </c>
      <c r="AF60" s="30">
        <f t="shared" si="14"/>
        <v>9.5</v>
      </c>
      <c r="AG60" s="26" t="str">
        <f>'Raw Data'!$R56</f>
        <v>Sometimes: I iterate 2-3 times to reach a good result</v>
      </c>
      <c r="AH60" s="26">
        <f t="shared" si="15"/>
        <v>0.67</v>
      </c>
      <c r="AI60" s="26" t="str">
        <f>'Raw Data'!$S56</f>
        <v>I am preparing for a presentation to senior leadership to propose an initiative that requires leadership support. Provide bulleted talking points for a 10 minute pitch based on the attached documents and links. Make sure it is appropriate for senior stakeholders and contains relevant supporting data. Also prepare a list of possible questions the audience will have with corresponding answers. Be critical with the questions and compelling with the responses.</v>
      </c>
      <c r="AJ60" s="26" t="s">
        <v>275</v>
      </c>
      <c r="AK60" s="28" t="str">
        <f>substitute('Prompt Template'!$C$2,$AI$5,$AJ60)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presentation to senior leadership to propose an initiative that requires leadership support. Provide bulleted talking points for a 10 minute pitch based on the attached documents and links. Make sure it is appropriate for senior stakeholders and contains relevant supporting data. Also prepare a list of possible questions the audience will have with corresponding answers. Be critical with the questions and compelling with the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presentation to senior leadership to propose an initiative that requires leadership support. Provide bulleted talking points for a 10 minute pitch based on the attached documents and links. Make sure it is appropriate for senior stakeholders and contains relevant supporting data. Also prepare a list of possible questions the audience will have with corresponding answers. Be critical with the questions and compelling with the responses.&lt;/user_input&gt;</v>
      </c>
      <c r="AL60" s="26">
        <f t="array" ref="AL60">index('Response Scoring'!$G:$G,match($A60,'Response Scoring'!$A:$A,0))</f>
        <v>4</v>
      </c>
      <c r="AM60" s="26">
        <f t="shared" si="16"/>
        <v>0.8</v>
      </c>
      <c r="AN60" s="26" t="str">
        <f>'Raw Data'!$T56</f>
        <v>I don't know how to create custom AI instructions</v>
      </c>
      <c r="AO60" s="26" t="s">
        <v>101</v>
      </c>
      <c r="AP60" s="28" t="str">
        <f>substitute('Prompt Template'!$D$2,$AN$5,$AO60)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60" s="26">
        <f t="array" ref="AQ60">index('Response Scoring'!$I:$I,match($A60,'Response Scoring'!$A:$A,0))</f>
        <v>0</v>
      </c>
      <c r="AR60" s="26">
        <f t="shared" si="17"/>
        <v>0</v>
      </c>
      <c r="AS60" s="30">
        <f t="shared" si="18"/>
        <v>3.805</v>
      </c>
      <c r="AT60" s="26">
        <f t="shared" si="19"/>
        <v>28.0425</v>
      </c>
      <c r="AU60" s="26">
        <f t="shared" si="20"/>
        <v>56.085</v>
      </c>
      <c r="AV60" s="26" t="str">
        <f t="shared" si="21"/>
        <v>AI Experimenter</v>
      </c>
      <c r="AW60" s="26" t="str">
        <f>'Raw Data'!U56</f>
        <v/>
      </c>
      <c r="AX60" s="26" t="str">
        <f>'Raw Data'!V56</f>
        <v/>
      </c>
      <c r="AY60" s="26" t="str">
        <f>'Raw Data'!W56</f>
        <v/>
      </c>
      <c r="AZ60" s="26" t="str">
        <f>'Raw Data'!X56</f>
        <v/>
      </c>
      <c r="BA60" s="26" t="str">
        <f>'Raw Data'!Y56</f>
        <v/>
      </c>
      <c r="BB60" s="26" t="str">
        <f>'Raw Data'!Z56</f>
        <v/>
      </c>
      <c r="BW60" s="31" t="str">
        <f>'Raw Data'!C56</f>
        <v>Digital &amp; eCommerce</v>
      </c>
      <c r="BZ60" s="26" t="str">
        <f>'Raw Data'!F56</f>
        <v>Individual Contributor</v>
      </c>
      <c r="CA60" s="31" t="str">
        <f>'Raw Data'!AU56</f>
        <v>Quickly writing and refining prompts to get the most value from tools. 
I'm intimidated by creating agents.</v>
      </c>
      <c r="CB60" s="31" t="str">
        <f>'Raw Data'!AV56</f>
        <v>None</v>
      </c>
      <c r="CC60" s="31" t="str">
        <f>'Raw Data'!AW56</f>
        <v>Neutral</v>
      </c>
    </row>
    <row r="61" ht="15.75" customHeight="1">
      <c r="A61" s="26">
        <f>'Raw Data'!$A57</f>
        <v>55</v>
      </c>
      <c r="B61" s="26" t="str">
        <f>'Raw Data'!$G57</f>
        <v>Daily</v>
      </c>
      <c r="C61" s="26">
        <f t="shared" si="1"/>
        <v>1</v>
      </c>
      <c r="D61" s="26" t="str">
        <f>'Raw Data'!$H57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61" s="26">
        <f t="shared" si="2"/>
        <v>2</v>
      </c>
      <c r="F61" s="27">
        <f t="shared" si="3"/>
        <v>0.6666666667</v>
      </c>
      <c r="G61" s="26" t="str">
        <f>'Raw Data'!$I57</f>
        <v>I maintain a library of prompts that I reuse frequently</v>
      </c>
      <c r="H61" s="26">
        <f t="shared" si="4"/>
        <v>0.5</v>
      </c>
      <c r="I61" s="26" t="str">
        <f>'Raw Data'!$J57</f>
        <v>Create a systematic process where AI handles data analysis and summary generation consistently</v>
      </c>
      <c r="J61" s="26">
        <f t="shared" si="5"/>
        <v>1</v>
      </c>
      <c r="K61" s="26" t="str">
        <f>'Raw Data'!$K57</f>
        <v>I'd use AI to quickly understand the unfamiliar topic through summaries and explanations, then generate a clear outline for the presentation. Later, I’d use AI to draft content, create visuals or charts, and refine the narrative for senior stakeholders. Finally, I’d ask it to review the deck, highlight gaps, and help me prepare for potential questions.</v>
      </c>
      <c r="L61" s="26" t="s">
        <v>276</v>
      </c>
      <c r="M61" s="28" t="str">
        <f>substitute('Prompt Template'!$A$2,$K$5,$L61)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quickly understand the unfamiliar topic through summaries and explanations, then generate a clear outline for the presentation. Later, I’d use AI to draft content, create visuals or charts, and refine the narrative for senior stakeholders. Finally, I’d ask it to review the deck, highlight gaps, and help me prepare for potential questions.&lt;/user_input&gt;</v>
      </c>
      <c r="N61" s="26">
        <f t="array" ref="N61">index('Response Scoring'!$C:$C,match($A61,'Response Scoring'!$A:$A,0))</f>
        <v>3</v>
      </c>
      <c r="O61" s="29">
        <f t="shared" si="6"/>
        <v>1</v>
      </c>
      <c r="P61" s="26" t="str">
        <f>'Raw Data'!$L57</f>
        <v>The most valuable way I use AI in my work is to speed up content creation, especially research, ideation, and first‑draft development. AI helps me summarize sources quickly, generate content outlines, explore different angles, and refine tone and clarity. This lets me focus more on creativity, strategy, and polishing high‑quality final copy.</v>
      </c>
      <c r="Q61" s="26" t="s">
        <v>277</v>
      </c>
      <c r="R61" s="28" t="str">
        <f>substitute('Prompt Template'!$B$2,$P$5,$Q61)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speed up content creation, especially research, ideation, and first‑draft development. AI helps me summarize sources quickly, generate content outlines, explore different angles, and refine tone and clarity. This lets me focus more on creativity, strategy, and polishing high‑quality final copy.&lt;/user_input&gt;</v>
      </c>
      <c r="S61" s="26">
        <f t="array" ref="S61">index('Response Scoring'!$E:$E,match($A61,'Response Scoring'!$A:$A,0))</f>
        <v>2</v>
      </c>
      <c r="T61" s="29">
        <f t="shared" si="7"/>
        <v>0.6666666667</v>
      </c>
      <c r="U61" s="29">
        <f t="shared" si="8"/>
        <v>7.666666667</v>
      </c>
      <c r="V61" s="26" t="str">
        <f>'Raw Data'!$M57</f>
        <v>Creating a complete slide deck with visual design for an important client presentation</v>
      </c>
      <c r="W61" s="26">
        <f t="shared" si="9"/>
        <v>0</v>
      </c>
      <c r="X61" s="26" t="str">
        <f>'Raw Data'!$N57</f>
        <v>Hallucinations (generating false or misleading information), Biases in answers, Data privacy concerns when information is shared with an LLM, Vulnerability to manipulation by bad actors</v>
      </c>
      <c r="Y61" s="26">
        <f t="shared" si="10"/>
        <v>1</v>
      </c>
      <c r="Z61" s="26" t="str">
        <f>'Raw Data'!$O57</f>
        <v>Only share information that you would be comfortable sharing internally with a colleague, Anonymize information by removing identifying details, Use secure company instances or enterprise plans when available</v>
      </c>
      <c r="AA61" s="29">
        <f t="shared" si="11"/>
        <v>1</v>
      </c>
      <c r="AB61" s="26" t="str">
        <f>'Raw Data'!$P57</f>
        <v>Always: I routinely cross-check AI outputs with reliable sources</v>
      </c>
      <c r="AC61" s="26">
        <f t="shared" si="12"/>
        <v>1</v>
      </c>
      <c r="AD61" s="26" t="str">
        <f>'Raw Data'!$Q57</f>
        <v>Check if the response uses confident language and specific details, Ask the same AI tool to double-check its work for accuracy, Verify any calculations or data analysis independently, Cross-reference key claims with reliable external sources, Look for professional formatting and proper grammar, Use a different AI tool to review and verify the content</v>
      </c>
      <c r="AE61" s="26">
        <f t="shared" si="13"/>
        <v>0</v>
      </c>
      <c r="AF61" s="30">
        <f t="shared" si="14"/>
        <v>6</v>
      </c>
      <c r="AG61" s="26" t="str">
        <f>'Raw Data'!$R57</f>
        <v>Frequently: I systematically refine prompts until I'm satisfied</v>
      </c>
      <c r="AH61" s="26">
        <f t="shared" si="15"/>
        <v>1</v>
      </c>
      <c r="AI61" s="26" t="str">
        <f>'Raw Data'!$S57</f>
        <v>Help me prepare for an upcoming meeting about a new initiative. First, summarize the key context I provide and identify any missing information I should clarify before the meeting. Then create a structured agenda, a list of strategic talking points, potential risks or objections stakeholders might raise, and concise data-backed arguments I can use. Finally, draft a brief executive-style summary I can share after the meeting. Ask follow-up questions if you need more context.</v>
      </c>
      <c r="AJ61" s="26" t="s">
        <v>278</v>
      </c>
      <c r="AK61" s="28" t="str">
        <f>substitute('Prompt Template'!$C$2,$AI$5,$AJ61)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about a new initiative. First, summarize the key context I provide and identify any missing information I should clarify before the meeting. Then create a structured agenda, a list of strategic talking points, potential risks or objections stakeholders might raise, and concise data-backed arguments I can use. Finally, draft a brief executive-style summary I can share after the meeting. Ask follow-up questions if you need more context.&lt;/prompt&gt;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about a new initiative. First, summarize the key context I provide and identify any missing information I should clarify before the meeting. Then create a structured agenda, a list of strategic talking points, potential risks or objections stakeholders might raise, and concise data-backed arguments I can use. Finally, draft a brief executive-style summary I can share after the meeting. Ask follow-up questions if you need more context.&lt;/user_input&gt;</v>
      </c>
      <c r="AL61" s="26">
        <f t="array" ref="AL61">index('Response Scoring'!$G:$G,match($A61,'Response Scoring'!$A:$A,0))</f>
        <v>4</v>
      </c>
      <c r="AM61" s="26">
        <f t="shared" si="16"/>
        <v>0.8</v>
      </c>
      <c r="AN61" s="26" t="str">
        <f>'Raw Data'!$T57</f>
        <v>I don't know how to create custom AI instructions.</v>
      </c>
      <c r="AO61" s="26" t="s">
        <v>230</v>
      </c>
      <c r="AP61" s="28" t="str">
        <f>substitute('Prompt Template'!$D$2,$AN$5,$AO61)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61" s="26">
        <f t="array" ref="AQ61">index('Response Scoring'!$I:$I,match($A61,'Response Scoring'!$A:$A,0))</f>
        <v>0</v>
      </c>
      <c r="AR61" s="26">
        <f t="shared" si="17"/>
        <v>0</v>
      </c>
      <c r="AS61" s="30">
        <f t="shared" si="18"/>
        <v>4.3</v>
      </c>
      <c r="AT61" s="26">
        <f t="shared" si="19"/>
        <v>29.1</v>
      </c>
      <c r="AU61" s="26">
        <f t="shared" si="20"/>
        <v>58.2</v>
      </c>
      <c r="AV61" s="26" t="str">
        <f t="shared" si="21"/>
        <v>AI Experimenter</v>
      </c>
      <c r="AW61" s="26" t="str">
        <f>'Raw Data'!U57</f>
        <v/>
      </c>
      <c r="AX61" s="26" t="str">
        <f>'Raw Data'!V57</f>
        <v/>
      </c>
      <c r="AY61" s="26" t="str">
        <f>'Raw Data'!W57</f>
        <v/>
      </c>
      <c r="AZ61" s="26" t="str">
        <f>'Raw Data'!X57</f>
        <v/>
      </c>
      <c r="BA61" s="26" t="str">
        <f>'Raw Data'!Y57</f>
        <v/>
      </c>
      <c r="BB61" s="26" t="str">
        <f>'Raw Data'!Z57</f>
        <v/>
      </c>
      <c r="BW61" s="31" t="str">
        <f>'Raw Data'!C57</f>
        <v>Industry Portfolio &amp; Emerging Marketing</v>
      </c>
      <c r="BZ61" s="26" t="str">
        <f>'Raw Data'!F57</f>
        <v>Manager or Senior Manager</v>
      </c>
      <c r="CA61" s="31" t="str">
        <f>'Raw Data'!AU57</f>
        <v>At the moment, I feel it's a part of my process. I would not call it a struggle to use AI and instead, look for opportunities to learn more on building custom GPTs to make my workload lighter and flow smoother. Otherwise, the basic AI issues that I face and always ensure to double-check are - hallucinations, improper content, wrong numbers/statistics/facts generated and repetitive responses. But I've learned basics of prompt engineering to deal with these issues on a daily basis.</v>
      </c>
      <c r="CB61" s="31" t="str">
        <f>'Raw Data'!AV57</f>
        <v>None. But I'd love to try using Claude by Anthropic as I've heard that it generates really accurate content and does what is asked.</v>
      </c>
      <c r="CC61" s="31" t="str">
        <f>'Raw Data'!AW57</f>
        <v>Agree</v>
      </c>
    </row>
    <row r="62" ht="15.75" customHeight="1">
      <c r="A62" s="26">
        <f>'Raw Data'!$A58</f>
        <v>56</v>
      </c>
      <c r="B62" s="26" t="str">
        <f>'Raw Data'!$G58</f>
        <v>Daily</v>
      </c>
      <c r="C62" s="26">
        <f t="shared" si="1"/>
        <v>1</v>
      </c>
      <c r="D62" s="26" t="str">
        <f>'Raw Data'!$H58</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62" s="26">
        <f t="shared" si="2"/>
        <v>2</v>
      </c>
      <c r="F62" s="27">
        <f t="shared" si="3"/>
        <v>0.6666666667</v>
      </c>
      <c r="G62" s="26" t="str">
        <f>'Raw Data'!$I58</f>
        <v>I maintain a library of prompts that I reuse frequently</v>
      </c>
      <c r="H62" s="26">
        <f t="shared" si="4"/>
        <v>0.5</v>
      </c>
      <c r="I62" s="26" t="str">
        <f>'Raw Data'!$J58</f>
        <v>Create a systematic process where AI handles data analysis and summary generation consistently</v>
      </c>
      <c r="J62" s="26">
        <f t="shared" si="5"/>
        <v>1</v>
      </c>
      <c r="K62" s="26" t="str">
        <f>'Raw Data'!$K58</f>
        <v>Is the topic unfamiliar to the senior stakeholders, or unfamiliar to me? I'll assume you mean that it's unfamiliar to the senior stakeholders. I would feed AI documents and context that I think is relevant and ask it to create a 5 slide presentation that provides a good general overview, highlighting the pieces that would be most important for senior stakeholders to be aware of.</v>
      </c>
      <c r="L62" s="26" t="s">
        <v>279</v>
      </c>
      <c r="M62" s="28" t="str">
        <f>substitute('Prompt Template'!$A$2,$K$5,$L62)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&lt;user_input&gt;Is the topic unfamiliar to the senior stakeholders, or unfamiliar to me? I'll assume you mean that it's unfamiliar to the senior stakeholders. I would feed AI documents and context that I think is relevant and ask it to create a 5 slide presentation that provides a good general overview, highlighting the pieces that would be most important for senior stakeholders to be aware of.&lt;/user_input&gt;</v>
      </c>
      <c r="N62" s="26">
        <f t="array" ref="N62">index('Response Scoring'!$C:$C,match($A62,'Response Scoring'!$A:$A,0))</f>
        <v>1</v>
      </c>
      <c r="O62" s="29">
        <f t="shared" si="6"/>
        <v>0.3333333333</v>
      </c>
      <c r="P62" s="26" t="str">
        <f>'Raw Data'!$L58</f>
        <v>I've found that analyzing customer surveys as stated in the example above is a fantastic way to use AI. ChatGPT was able to clearly pull out key themes from the last meeting we had with customers. More importantly it was able to identify areas of improvement and things customers wanted to see in the next meeting.</v>
      </c>
      <c r="Q62" s="26" t="s">
        <v>280</v>
      </c>
      <c r="R62" s="28" t="str">
        <f>substitute('Prompt Template'!$B$2,$P$5,$Q62)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found that analyzing customer surveys as stated in the example above is a fantastic way to use AI. ChatGPT was able to clearly pull out key themes from the last meeting we had with customers. More importantly it was able to identify areas of improvement and things customers wanted to see in the next meeting.&lt;/user_input&gt;</v>
      </c>
      <c r="S62" s="26">
        <f t="array" ref="S62">index('Response Scoring'!$E:$E,match($A62,'Response Scoring'!$A:$A,0))</f>
        <v>1</v>
      </c>
      <c r="T62" s="29">
        <f t="shared" si="7"/>
        <v>0.3333333333</v>
      </c>
      <c r="U62" s="29">
        <f t="shared" si="8"/>
        <v>5</v>
      </c>
      <c r="V62" s="26" t="str">
        <f>'Raw Data'!$M58</f>
        <v>Analyzing presentation slides to evaluate both the visual design and written content for consistency</v>
      </c>
      <c r="W62" s="26">
        <f t="shared" si="9"/>
        <v>1</v>
      </c>
      <c r="X62" s="26" t="str">
        <f>'Raw Data'!$N58</f>
        <v>Hallucinations (generating false or misleading information), Data privacy concerns when information is shared with an LLM, Biases in answers</v>
      </c>
      <c r="Y62" s="26">
        <f t="shared" si="10"/>
        <v>0.75</v>
      </c>
      <c r="Z62" s="26" t="str">
        <f>'Raw Data'!$O58</f>
        <v>Anonymize information by removing identifying details, Use secure company instances or enterprise plans when available</v>
      </c>
      <c r="AA62" s="29">
        <f t="shared" si="11"/>
        <v>1</v>
      </c>
      <c r="AB62" s="26" t="str">
        <f>'Raw Data'!$P58</f>
        <v>Sometimes: I do a quick check against known data or references</v>
      </c>
      <c r="AC62" s="26">
        <f t="shared" si="12"/>
        <v>0.67</v>
      </c>
      <c r="AD62" s="26" t="str">
        <f>'Raw Data'!$Q58</f>
        <v>Verify any calculations or data analysis independently, Cross-reference key claims with reliable external sources, Ask the same AI tool to double-check its work for accuracy</v>
      </c>
      <c r="AE62" s="26">
        <f t="shared" si="13"/>
        <v>0.75</v>
      </c>
      <c r="AF62" s="30">
        <f t="shared" si="14"/>
        <v>8.34</v>
      </c>
      <c r="AG62" s="26" t="str">
        <f>'Raw Data'!$R58</f>
        <v>Sometimes: I iterate 2-3 times to reach a good result</v>
      </c>
      <c r="AH62" s="26">
        <f t="shared" si="15"/>
        <v>0.67</v>
      </c>
      <c r="AI62" s="26" t="str">
        <f>'Raw Data'!$S58</f>
        <v>I'm attending a meeting next week about a new program based in Dubai. I am unfamiliar with the region and need to be brought up to speed quickly. Provide me with an overview on event planning in Dubai. Call out areas of risk that I need to be aware of. Also call out areas of opportunity.</v>
      </c>
      <c r="AJ62" s="26" t="s">
        <v>281</v>
      </c>
      <c r="AK62" s="28" t="str">
        <f>substitute('Prompt Template'!$C$2,$AI$5,$AJ62)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attending a meeting next week about a new program based in Dubai. I am unfamiliar with the region and need to be brought up to speed quickly. Provide me with an overview on event planning in Dubai. Call out areas of risk that I need to be aware of. Also call out areas of opportunity.&lt;/prompt&gt;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attending a meeting next week about a new program based in Dubai. I am unfamiliar with the region and need to be brought up to speed quickly. Provide me with an overview on event planning in Dubai. Call out areas of risk that I need to be aware of. Also call out areas of opportunity.&lt;/user_input&gt;</v>
      </c>
      <c r="AL62" s="26">
        <f t="array" ref="AL62">index('Response Scoring'!$G:$G,match($A62,'Response Scoring'!$A:$A,0))</f>
        <v>4</v>
      </c>
      <c r="AM62" s="26">
        <f t="shared" si="16"/>
        <v>0.8</v>
      </c>
      <c r="AN62" s="26" t="str">
        <f>'Raw Data'!$T58</f>
        <v>I don't know how to create a custom agent yet, but I am attending a half day workshop about this very topic in 10 minutes!</v>
      </c>
      <c r="AO62" s="26" t="s">
        <v>282</v>
      </c>
      <c r="AP62" s="28" t="str">
        <f>substitute('Prompt Template'!$D$2,$AN$5,$AO62)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a custom agent yet, but I am attending a half day workshop about this very topic in 10 minutes!&lt;/user_input&gt;
</v>
      </c>
      <c r="AQ62" s="26">
        <f t="array" ref="AQ62">index('Response Scoring'!$I:$I,match($A62,'Response Scoring'!$A:$A,0))</f>
        <v>0</v>
      </c>
      <c r="AR62" s="26">
        <f t="shared" si="17"/>
        <v>0</v>
      </c>
      <c r="AS62" s="30">
        <f t="shared" si="18"/>
        <v>3.805</v>
      </c>
      <c r="AT62" s="26">
        <f t="shared" si="19"/>
        <v>27.62</v>
      </c>
      <c r="AU62" s="26">
        <f t="shared" si="20"/>
        <v>55.24</v>
      </c>
      <c r="AV62" s="26" t="str">
        <f t="shared" si="21"/>
        <v>AI Experimenter</v>
      </c>
      <c r="AW62" s="26" t="str">
        <f>'Raw Data'!U58</f>
        <v/>
      </c>
      <c r="AX62" s="26" t="str">
        <f>'Raw Data'!V58</f>
        <v/>
      </c>
      <c r="AY62" s="26" t="str">
        <f>'Raw Data'!W58</f>
        <v/>
      </c>
      <c r="AZ62" s="26" t="str">
        <f>'Raw Data'!X58</f>
        <v/>
      </c>
      <c r="BA62" s="26" t="str">
        <f>'Raw Data'!Y58</f>
        <v/>
      </c>
      <c r="BB62" s="26" t="str">
        <f>'Raw Data'!Z58</f>
        <v/>
      </c>
      <c r="BW62" s="31" t="str">
        <f>'Raw Data'!C58</f>
        <v>Growth &amp; Partner Marketing</v>
      </c>
      <c r="BZ62" s="26" t="str">
        <f>'Raw Data'!F58</f>
        <v>Individual Contributor</v>
      </c>
      <c r="CA62" s="31" t="str">
        <f>'Raw Data'!AU58</f>
        <v>creating prompts that get ChatGPT to create slides that are ready to go. I feel good about the text and spreadsheet answers I get back from AI, but I am still spending a lot of time putting those answers into slide decks that can be presented to leadership.</v>
      </c>
      <c r="CB62" s="31" t="str">
        <f>'Raw Data'!AV58</f>
        <v>Nothing, I am very happy to have ChatGPT finally. The Autodesk GPT was not cutting it. I also don't think that Copilot is as powerful as ChatGPT. Copilot's answers are very generic and often completely wrong.</v>
      </c>
      <c r="CC62" s="31" t="str">
        <f>'Raw Data'!AW58</f>
        <v>Neutral</v>
      </c>
    </row>
    <row r="63" ht="15.75" customHeight="1">
      <c r="A63" s="26">
        <f>'Raw Data'!$A59</f>
        <v>57</v>
      </c>
      <c r="B63" s="26" t="str">
        <f>'Raw Data'!$G59</f>
        <v>Daily</v>
      </c>
      <c r="C63" s="26">
        <f t="shared" si="1"/>
        <v>1</v>
      </c>
      <c r="D63" s="26" t="str">
        <f>'Raw Data'!$H59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63" s="26">
        <f t="shared" si="2"/>
        <v>3</v>
      </c>
      <c r="F63" s="27">
        <f t="shared" si="3"/>
        <v>1</v>
      </c>
      <c r="G63" s="26" t="str">
        <f>'Raw Data'!$I59</f>
        <v>I've created workflows that connect AI with other systems (Slack, Salesforce, email) using integrations or code</v>
      </c>
      <c r="H63" s="26">
        <f t="shared" si="4"/>
        <v>1</v>
      </c>
      <c r="I63" s="26" t="str">
        <f>'Raw Data'!$J59</f>
        <v>Create a systematic process where AI handles data analysis and summary generation consistently</v>
      </c>
      <c r="J63" s="26">
        <f t="shared" si="5"/>
        <v>1</v>
      </c>
      <c r="K63" s="26" t="str">
        <f>'Raw Data'!$K59</f>
        <v>Use AI to identify sources of information and summarise them. Review the summary vs the source material to ensure accuracy. Once happy with the source summary, use AI to suggest a framework of the presentation comparing length of presentation to the number of slides required. I would create a summary of this and validate it with the stakeholders. Once all agreed, I would get the slides designed. I would use AI for this but its still terrible at creating PPT slides</v>
      </c>
      <c r="L63" s="26" t="s">
        <v>283</v>
      </c>
      <c r="M63" s="28" t="str">
        <f>substitute('Prompt Template'!$A$2,$K$5,$L63)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identify sources of information and summarise them. Review the summary vs the source material to ensure accuracy. Once happy with the source summary, use AI to suggest a framework of the presentation comparing length of presentation to the number of slides required. I would create a summary of this and validate it with the stakeholders. Once all agreed, I would get the slides designed. I would use AI for this but its still terrible at creating PPT slides&lt;/user_input&gt;</v>
      </c>
      <c r="N63" s="26">
        <f t="array" ref="N63">index('Response Scoring'!$C:$C,match($A63,'Response Scoring'!$A:$A,0))</f>
        <v>3</v>
      </c>
      <c r="O63" s="29">
        <f t="shared" si="6"/>
        <v>1</v>
      </c>
      <c r="P63" s="26" t="str">
        <f>'Raw Data'!$L59</f>
        <v>Created a case study from a customer in hours from an interview recording, vs days or weeks working with an agency. However there are many other use cases - efficiencies in copy/email writing, reports on account insight, etc.</v>
      </c>
      <c r="Q63" s="26" t="s">
        <v>284</v>
      </c>
      <c r="R63" s="28" t="str">
        <f>substitute('Prompt Template'!$B$2,$P$5,$Q63)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&lt;user_input&gt;Created a case study from a customer in hours from an interview recording, vs days or weeks working with an agency. However there are many other use cases - efficiencies in copy/email writing, reports on account insight, etc.&lt;/user_input&gt;</v>
      </c>
      <c r="S63" s="26">
        <f t="array" ref="S63">index('Response Scoring'!$E:$E,match($A63,'Response Scoring'!$A:$A,0))</f>
        <v>2</v>
      </c>
      <c r="T63" s="29">
        <f t="shared" si="7"/>
        <v>0.6666666667</v>
      </c>
      <c r="U63" s="29">
        <f t="shared" si="8"/>
        <v>8.666666667</v>
      </c>
      <c r="V63" s="26" t="str">
        <f>'Raw Data'!$M59</f>
        <v>Analyzing presentation slides to evaluate both the visual design and written content for consistency</v>
      </c>
      <c r="W63" s="26">
        <f t="shared" si="9"/>
        <v>1</v>
      </c>
      <c r="X63" s="26" t="str">
        <f>'Raw Data'!$N59</f>
        <v>Hallucinations (generating false or misleading information), Biases in answers, Data privacy concerns when information is shared with an LLM, Vulnerability to manipulation by bad actors</v>
      </c>
      <c r="Y63" s="26">
        <f t="shared" si="10"/>
        <v>1</v>
      </c>
      <c r="Z63" s="26" t="str">
        <f>'Raw Data'!$O59</f>
        <v>Use secure company instances or enterprise plans when available, Only share information that you would be comfortable sharing internally with a colleague, Anonymize information by removing identifying details</v>
      </c>
      <c r="AA63" s="29">
        <f t="shared" si="11"/>
        <v>1</v>
      </c>
      <c r="AB63" s="26" t="str">
        <f>'Raw Data'!$P59</f>
        <v>Always: I routinely cross-check AI outputs with reliable sources</v>
      </c>
      <c r="AC63" s="26">
        <f t="shared" si="12"/>
        <v>1</v>
      </c>
      <c r="AD63" s="26" t="str">
        <f>'Raw Data'!$Q59</f>
        <v>Cross-reference key claims with reliable external sources, Verify any calculations or data analysis independently, Ask the same AI tool to double-check its work for accuracy</v>
      </c>
      <c r="AE63" s="26">
        <f t="shared" si="13"/>
        <v>0.75</v>
      </c>
      <c r="AF63" s="30">
        <f t="shared" si="14"/>
        <v>9.5</v>
      </c>
      <c r="AG63" s="26" t="str">
        <f>'Raw Data'!$R59</f>
        <v>Frequently: I systematically refine prompts until I'm satisfied</v>
      </c>
      <c r="AH63" s="26">
        <f t="shared" si="15"/>
        <v>1</v>
      </c>
      <c r="AI63" s="26" t="str">
        <f>'Raw Data'!$S59</f>
        <v>I would use dictation. Describe the initiative / proposal in free form speech in order to create a clear and concise framework to be shared in the meeting.</v>
      </c>
      <c r="AJ63" s="26" t="s">
        <v>285</v>
      </c>
      <c r="AK63" s="28" t="str">
        <f>substitute('Prompt Template'!$C$2,$AI$5,$AJ63)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dictation. Describe the initiative / proposal in free form speech in order to create a clear and concise framework to be shared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dictation. Describe the initiative / proposal in free form speech in order to create a clear and concise framework to be shared in the meeting.&lt;/user_input&gt;</v>
      </c>
      <c r="AL63" s="26">
        <f t="array" ref="AL63">index('Response Scoring'!$G:$G,match($A63,'Response Scoring'!$A:$A,0))</f>
        <v>2</v>
      </c>
      <c r="AM63" s="26">
        <f t="shared" si="16"/>
        <v>0.4</v>
      </c>
      <c r="AN63" s="26" t="str">
        <f>'Raw Data'!$T59</f>
        <v>## Competitive Intelligence Agent — Instructions
### Role
You are a Competitive Intelligence (CI) analyst for a B2B software company. Your job is to help teammates quickly gather, verify, and synthesise competitor intelligence on **products, pricing, packaging, positioning, messaging, and go-to-market**.
You produce outputs that are **evidence-based**, **date-stamped**, and **ready to paste into internal docs**.
### Operating principles
1. **Evidence first**: Prefer primary sources (competitor site, pricing pages, docs, app stores, SEC filings, official blogs, webinars). Use secondary sources (review sites, analyst notes, forums) only to triangulate and label them as such.
2. **Freshness matters**: Always state “As of YYYY-MM-DD” and prioritise the newest evidence. If sources conflict, explain why and which you trust more.
3. **Be comparable**: Use consistent categories and formatting so outputs can be compared across competitors and over time.
4. **Separate facts from interpretation**:
   * **Facts** = directly supported by sources.
   * **Inferences** = your reasoning from facts, clearly marked.
   * **Hypotheses** = ideas to validate, clearly marked.
5. **No hallucinations**: If you can’t verify, say so and propose how to verify.
### What you cover (scope)
For each competitor (or set of competitors), collect and summarise:
**A) Positioning &amp; messaging**
* Category/claim (“what they say they are”)
* Core value props (top 3–5)
* Target segments &amp; personas (explicit + implied)
* Proof points (logos, metrics, awards, case studies)
* Differentiation claims (explicit comparisons, “only” statements)
**B) Product**
* Main modules/features (grouped)
* Key workflows and JTBD
* Integrations/ecosystem
* Platform requirements (cloud/on-prem, OS, device, data residency if stated)
* AI features (what, where, limits, governance, training data statements if available)
* Roadmap signals (careful: only based on public hints)
**C) Pricing &amp; packaging**
* Packaging model (tiered, usage-based, seat-based, bundles)
* Public list price(s) and units (per seat/month, per credit, etc.)
* What’s included per tier (limits/thresholds)
* Add-ons and paid upgrades
* Trials, freemium, promos, regional differences
* Enterprise/licensing cues (contact sales triggers, minimums, contract terms when stated)
**D) Commercial/GTM**
* Primary channels (PLG, sales-led, partner-led)
* Sales motion signals (demo gates, sales CTAs, SDR language)
* Partner ecosystem, marketplaces
* Customer proof by segment/industry
**E) SWOT + implications**
* Strengths / Weaknesses / Opportunities / Threats (evidence-linked)
* Likely positioning threats to us
* Suggested counter-messaging angles (non-deceptive, respectful)
* Landmine notes (claims we should avoid unless substantiated)
### Required output formats
Always offer **one** of these structured deliverables (pick the best based on the request), and keep headings identical each time:
#### 1) CI “One-pager” (default)
* **Summary (5 bullets)**
* **Positioning**
* **Product**
* **Pricing &amp; Packaging**
* **GTM Signals**
* **What they’re optimising for (inference)**
* **Risks / Watch-outs**
* **Recommended actions**
* **Sources (with dates)**
#### 2) Comparison matrix (when multiple competitors)
A table with rows as capabilities/pricing elements and columns per competitor + “Our note”.
#### 3) Sales battlecard (when asked)
* “What they’ll claim”
* “Where they’re strong”
* “Where they’re weak”
* “How to respond”
* “Trap questions to ask”
* “Proof to bring”
* “Do not say”
### Source and citation rules
* Every key claim should have a source link and retrieval date.
* Prefer citing:
  1. Pricing pages / packaging pages
  2. Product docs / release notes
  3. Official blog / press releases
  4. Customer stories / case studies
  5. Investor materials (if public company)
  6. Review sites (G2, Capterra) as supporting only
* When quoting, keep quotes short and attribute them.
### Research workflow (how you work)
When given a competitor + topic, follow this sequence:
1. **Clarify the research objective** (without asking lots of questions):
   * Intended use: “battlecard / pricing check / positioning update / exec brief”
   * Target market: SMB / Mid / Ent + geography if relevant
     If missing, assume “B2B SaaS, global, mid-market+”.
2. **Collect primary artefacts** (minimum set):
   * Homepage / product page
   * Pricing page(s) and pricing FAQ
   * Docs page or help centre
   * Recent announcements / release notes (last 6–12 months if available)
   * 1–3 customer stories in relevant segments
3. **Extract into a standard schema**:
   * Fill the categories in Scope A–E with bullet evidence.
4. **Triangulate**:
   * Verify pricing and tier inclusions across at least two sources when possible (e.g., pricing page + FAQ / docs).
   * Note uncertainties clearly.
5. **Synthesis**:
   * Summarise what matters: shifts, threats, and actionable implications.
### Style requirements
* Be concise, skimmable, and practical.
* Use British English spelling.
* Prefer bullets over paragraphs.
* Use numbers, limits, and exact tier names where known.
* Be explicit about confidence: **High / Medium / Low**.
### Safety / compliance guardrails
* Use only public, authorised information.
* Do not request or suggest acquiring confidential information, credentials, or bypassing paywalls/access controls.
* Do not fabricate “leaked” roadmaps or internal details.
### Default assumptions (unless told otherwise)
* Audience: product marketing + sales enablement.
* Time horizon: “current state + notable changes in last 12 months”.
* Output: CI One-pager.</v>
      </c>
      <c r="AO63" s="26" t="s">
        <v>286</v>
      </c>
      <c r="AP63" s="28" t="str">
        <f>substitute('Prompt Template'!$D$2,$AN$5,$AO63)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Competitive Intelligence Agent — Instructions
### Role
You are a Competitive Intelligence (CI) analyst for a B2B software company. Your job is to help teammates quickly gather, verify, and synthesise competitor intelligence on **products, pricing, packaging, positioning, messaging, and go-to-market**.
You produce outputs that are **evidence-based**, **date-stamped**, and **ready to paste into internal docs**.
### Operating principles
1. **Evidence first**: Prefer primary sources (competitor site, pricing pages, docs, app stores, SEC filings, official blogs, webinars). Use secondary sources (review sites, analyst notes, forums) only to triangulate and label them as such.
2. **Freshness matters**: Always state “As of YYYY-MM-DD” and prioritise the newest evidence. If sources conflict, explain why and which you trust more.
3. **Be comparable**: Use consistent categories and formatting so outputs can be compared across competitors and over time.
4. **Separate facts from interpretation**:
   * **Facts** = directly supported by sources.
   * **Inferences** = your reasoning from facts, clearly marked.
   * **Hypotheses** = ideas to validate, clearly marked.
5. **No hallucinations**: If you can’t verify, say so and propose how to verify.
### What you cover (scope)
For each competitor (or set of competitors), collect and summarise:
**A) Positioning &amp; messaging**
* Category/claim (“what they say they are”)
* Core value props (top 3–5)
* Target segments &amp; personas (explicit + implied)
* Proof points (logos, metrics, awards, case studies)
* Differentiation claims (explicit comparisons, “only” statements)
**B) Product**
* Main modules/features (grouped)
* Key workflows and JTBD
* Integrations/ecosystem
* Platform requirements (cloud/on-prem, OS, device, data residency if stated)
* AI features (what, where, limits, governance, training data statements if available)
* Roadmap signals (careful: only based on public hints)
**C) Pricing &amp; packaging**
* Packaging model (tiered, usage-based, seat-based, bundles)
* Public list price(s) and units (per seat/month, per credit, etc.)
* What’s included per tier (limits/thresholds)
* Add-ons and paid upgrades
* Trials, freemium, promos, regional differences
* Enterprise/licensing cues (contact sales triggers, minimums, contract terms when stated)
**D) Commercial/GTM**
* Primary channels (PLG, sales-led, partner-led)
* Sales motion signals (demo gates, sales CTAs, SDR language)
* Partner ecosystem, marketplaces
* Customer proof by segment/industry
**E) SWOT + implications**
* Strengths / Weaknesses / Opportunities / Threats (evidence-linked)
* Likely positioning threats to us
* Suggested counter-messaging angles (non-deceptive, respectful)
* Landmine notes (claims we should avoid unless substantiated)
### Required output formats
Always offer **one** of these structured deliverables (pick the best based on the request), and keep headings identical each time:
#### 1) CI “One-pager” (default)
* **Summary (5 bullets)**
* **Positioning**
* **Product**
* **Pricing &amp; Packaging**
* **GTM Signals**
* **What they’re optimising for (inference)**
* **Risks / Watch-outs**
* **Recommended actions**
* **Sources (with dates)**
#### 2) Comparison matrix (when multiple competitors)
A table with rows as capabilities/pricing elements and columns per competitor + “Our note”.
#### 3) Sales battlecard (when asked)
* “What they’ll claim”
* “Where they’re strong”
* “Where they’re weak”
* “How to respond”
* “Trap questions to ask”
* “Proof to bring”
* “Do not say”
### Source and citation rules
* Every key claim should have a source link and retrieval date.
* Prefer citing:
  1. Pricing pages / packaging pages
  2. Product docs / release notes
  3. Official blog / press releases
  4. Customer stories / case studies
  5. Investor materials (if public company)
  6. Review sites (G2, Capterra) as supporting only
* When quoting, keep quotes short and attribute them.
### Research workflow (how you work)
When given a competitor + topic, follow this sequence:
1. **Clarify the research objective** (without asking lots of questions):
   * Intended use: “battlecard / pricing check / positioning update / exec brief”
   * Target market: SMB / Mid / Ent + geography if relevant
     If missing, assume “B2B SaaS, global, mid-market+”.
2. **Collect primary artefacts** (minimum set):
   * Homepage / product page
   * Pricing page(s) and pricing FAQ
   * Docs page or help centre
   * Recent announcements / release notes (last 6–12 months if available)
   * 1–3 customer stories in relevant segments
3. **Extract into a standard schema**:
   * Fill the categories in Scope A–E with bullet evidence.
4. **Triangulate**:
   * Verify pricing and tier inclusions across at least two sources when possible (e.g., pricing page + FAQ / docs).
   * Note uncertainties clearly.
5. **Synthesis**:
   * Summarise what matters: shifts, threats, and actionable implications.
### Style requirements
* Be concise, skimmable, and practical.
* Use British English spelling.
* Prefer bullets over paragraphs.
* Use numbers, limits, and exact tier names where known.
* Be explicit about confidence: **High / Medium / Low**.
### Safety / compliance guardrails
* Use only public, authorised information.
* Do not request or suggest acquiring confidential information, credentials, or bypassing paywalls/access controls.
* Do not fabricate “leaked” roadmaps or internal details.
### Default assumptions (unless told otherwise)
* Audience: product marketing + sales enablement.
* Time horizon: “current state + notable changes in last 12 months”.
* Output: CI One-pager.&lt;/user_input&gt;
</v>
      </c>
      <c r="AQ63" s="26">
        <f t="array" ref="AQ63">index('Response Scoring'!$I:$I,match($A63,'Response Scoring'!$A:$A,0))</f>
        <v>5</v>
      </c>
      <c r="AR63" s="26">
        <f t="shared" si="17"/>
        <v>1</v>
      </c>
      <c r="AS63" s="30">
        <f t="shared" si="18"/>
        <v>7.9</v>
      </c>
      <c r="AT63" s="26">
        <f t="shared" si="19"/>
        <v>43.05</v>
      </c>
      <c r="AU63" s="26">
        <f t="shared" si="20"/>
        <v>86.1</v>
      </c>
      <c r="AV63" s="26" t="str">
        <f t="shared" si="21"/>
        <v>AI Expert</v>
      </c>
      <c r="AW63" s="26" t="str">
        <f>'Raw Data'!U59</f>
        <v/>
      </c>
      <c r="AX63" s="26" t="str">
        <f>'Raw Data'!V59</f>
        <v/>
      </c>
      <c r="AY63" s="26" t="str">
        <f>'Raw Data'!W59</f>
        <v/>
      </c>
      <c r="AZ63" s="26" t="str">
        <f>'Raw Data'!X59</f>
        <v/>
      </c>
      <c r="BA63" s="26" t="str">
        <f>'Raw Data'!Y59</f>
        <v/>
      </c>
      <c r="BB63" s="26" t="str">
        <f>'Raw Data'!Z59</f>
        <v/>
      </c>
      <c r="BW63" s="31" t="str">
        <f>'Raw Data'!C59</f>
        <v>Growth &amp; Partner Marketing</v>
      </c>
      <c r="BZ63" s="26" t="str">
        <f>'Raw Data'!F59</f>
        <v>Individual Contributor</v>
      </c>
      <c r="CA63" s="31" t="str">
        <f>'Raw Data'!AU59</f>
        <v>Governance and standardisation, vs create your own.</v>
      </c>
      <c r="CB63" s="31" t="str">
        <f>'Raw Data'!AV59</f>
        <v>nonw</v>
      </c>
      <c r="CC63" s="31" t="str">
        <f>'Raw Data'!AW59</f>
        <v>Disagree</v>
      </c>
    </row>
    <row r="64" ht="15.75" customHeight="1">
      <c r="A64" s="26">
        <f>'Raw Data'!$A60</f>
        <v>58</v>
      </c>
      <c r="B64" s="26" t="str">
        <f>'Raw Data'!$G60</f>
        <v>Daily</v>
      </c>
      <c r="C64" s="26">
        <f t="shared" si="1"/>
        <v>1</v>
      </c>
      <c r="D64" s="26" t="str">
        <f>'Raw Data'!$H60</f>
        <v>Writing or debugging code, scripts, or formulas, Editing or improving text I've already written (emails, documents, presentations), 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64" s="26">
        <f t="shared" si="2"/>
        <v>3</v>
      </c>
      <c r="F64" s="27">
        <f t="shared" si="3"/>
        <v>1</v>
      </c>
      <c r="G64" s="26" t="str">
        <f>'Raw Data'!$I60</f>
        <v>I maintain a library of prompts that I reuse frequently</v>
      </c>
      <c r="H64" s="26">
        <f t="shared" si="4"/>
        <v>0.5</v>
      </c>
      <c r="I64" s="26" t="str">
        <f>'Raw Data'!$J60</f>
        <v>Ask AI to write the summary after you've analyzed all the data</v>
      </c>
      <c r="J64" s="26">
        <f t="shared" si="5"/>
        <v>0.33</v>
      </c>
      <c r="K64" s="26" t="str">
        <f>'Raw Data'!$K60</f>
        <v>Get the raw data and ask AI to analyze the data and identify the potential challenges. D
Do a deep research on the key themes and prepare a presentation 
Use my executive presentation agent to write key topics and summary
Use my SQL Agent to write relevant codes to extract additional information
Go back to executive summary agent to refine the data and create a new presentation
Humanize and personalize the presentation by adding relevant information</v>
      </c>
      <c r="L64" s="26" t="s">
        <v>287</v>
      </c>
      <c r="M64" s="28" t="str">
        <f>substitute('Prompt Template'!$A$2,$K$5,$L64)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&lt;user_input&gt;Get the raw data and ask AI to analyze the data and identify the potential challenges. D
Do a deep research on the key themes and prepare a presentation 
Use my executive presentation agent to write key topics and summary
Use my SQL Agent to write relevant codes to extract additional information
Go back to executive summary agent to refine the data and create a new presentation
Humanize and personalize the presentation by adding relevant information&lt;/user_input&gt;</v>
      </c>
      <c r="N64" s="26">
        <f t="array" ref="N64">index('Response Scoring'!$C:$C,match($A64,'Response Scoring'!$A:$A,0))</f>
        <v>3</v>
      </c>
      <c r="O64" s="29">
        <f t="shared" si="6"/>
        <v>1</v>
      </c>
      <c r="P64" s="26" t="str">
        <f>'Raw Data'!$L60</f>
        <v>Writing SQL, identify patterns from data and help analyze data using popular data model and Python ( I don't know Python relay on chat gpt with this)</v>
      </c>
      <c r="Q64" s="26" t="s">
        <v>288</v>
      </c>
      <c r="R64" s="28" t="str">
        <f>substitute('Prompt Template'!$B$2,$P$5,$Q64)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SQL, identify patterns from data and help analyze data using popular data model and Python ( I don't know Python relay on chat gpt with this)&lt;/user_input&gt;</v>
      </c>
      <c r="S64" s="26">
        <f t="array" ref="S64">index('Response Scoring'!$E:$E,match($A64,'Response Scoring'!$A:$A,0))</f>
        <v>2</v>
      </c>
      <c r="T64" s="29">
        <f t="shared" si="7"/>
        <v>0.6666666667</v>
      </c>
      <c r="U64" s="29">
        <f t="shared" si="8"/>
        <v>7.496666667</v>
      </c>
      <c r="V64" s="26" t="str">
        <f>'Raw Data'!$M60</f>
        <v>Analyzing presentation slides to evaluate both the visual design and written content for consistency</v>
      </c>
      <c r="W64" s="26">
        <f t="shared" si="9"/>
        <v>1</v>
      </c>
      <c r="X64" s="26" t="str">
        <f>'Raw Data'!$N60</f>
        <v>Hallucinations (generating false or misleading information), Biases in answers, Vulnerability to manipulation by bad actors, Data privacy concerns when information is shared with an LLM</v>
      </c>
      <c r="Y64" s="26">
        <f t="shared" si="10"/>
        <v>1</v>
      </c>
      <c r="Z64" s="26" t="str">
        <f>'Raw Data'!$O60</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A64" s="29">
        <f t="shared" si="11"/>
        <v>0</v>
      </c>
      <c r="AB64" s="26" t="str">
        <f>'Raw Data'!$P60</f>
        <v>Always: I routinely cross-check AI outputs with reliable sources</v>
      </c>
      <c r="AC64" s="26">
        <f t="shared" si="12"/>
        <v>1</v>
      </c>
      <c r="AD64" s="26" t="str">
        <f>'Raw Data'!$Q60</f>
        <v>Verify any calculations or data analysis independently, Cross-reference key claims with reliable external sources, Check if the response uses confident language and specific details</v>
      </c>
      <c r="AE64" s="26">
        <f t="shared" si="13"/>
        <v>0</v>
      </c>
      <c r="AF64" s="30">
        <f t="shared" si="14"/>
        <v>6</v>
      </c>
      <c r="AG64" s="26" t="str">
        <f>'Raw Data'!$R60</f>
        <v>Frequently: I systematically refine prompts until I'm satisfied</v>
      </c>
      <c r="AH64" s="26">
        <f t="shared" si="15"/>
        <v>1</v>
      </c>
      <c r="AI64" s="26" t="str">
        <f>'Raw Data'!$S60</f>
        <v>Help me prepare for an upcoming meeting where I will present and discuss a new initiative. Summarize the MQL peovlwm we’re trying to solve, clarify the proposed solution, outline expected impact and success metrics, and highlight key risks, dependencies, and stakeholder considerations. Then generate 3–5 concise talking points and 3 questions I should ask the group to drive alignment and next steps.</v>
      </c>
      <c r="AJ64" s="26" t="s">
        <v>289</v>
      </c>
      <c r="AK64" s="28" t="str">
        <f>substitute('Prompt Template'!$C$2,$AI$5,$AJ64)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where I will present and discuss a new initiative. Summarize the MQL peovlwm we’re trying to solve, clarify the proposed solution, outline expected impact and success metrics, and highlight key risks, dependencies, and stakeholder considerations. Then generate 3–5 concise talking points and 3 questions I should ask the group to drive alignment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where I will present and discuss a new initiative. Summarize the MQL peovlwm we’re trying to solve, clarify the proposed solution, outline expected impact and success metrics, and highlight key risks, dependencies, and stakeholder considerations. Then generate 3–5 concise talking points and 3 questions I should ask the group to drive alignment and next steps.&lt;/user_input&gt;</v>
      </c>
      <c r="AL64" s="26">
        <f t="array" ref="AL64">index('Response Scoring'!$G:$G,match($A64,'Response Scoring'!$A:$A,0))</f>
        <v>3</v>
      </c>
      <c r="AM64" s="26">
        <f t="shared" si="16"/>
        <v>0.6</v>
      </c>
      <c r="AN64" s="26" t="str">
        <f>'Raw Data'!$T60</f>
        <v>Purpose
You are a Competitive Intelligence (CI) Research Assistant. Your role is to help team members systematically gather, analyze, and summarize information about competitors’ products, pricing, positioning, messaging, and go‑to‑market motions.
Your outputs must always be structured, fact‑based, comparable across competitors, and presentation‑ready.
How You Should Work
1. Follow a Consistent Research Framework
For every competitor, collect insights using the structure below:
1. Company Overview
Brief description
Target customer segments (industry, size, geography)
Business model
2. Product &amp; Feature Summary
Product portfolio overview
Key differentiating features
Feature gaps vs. our offerings
3. Pricing &amp; Packaging
Pricing model(s): subscription, usage‑based, tiered, freemium, etc.
Public price points
Bundles, add‑ons, upsell or cross‑sell paths
Discounts or promotions (if publicly visible)
Note if pricing is not published and summarize analyst commentary if available
4. Positioning &amp; Messaging
Value propositions
Core customer pains they address
Messaging themes
Taglines, headline claims
5. Go‑to‑Market Motions
Sales model (inside sales, self‑serve, partner‑led)
Channel ecosystem
Notable market plays (e.g., land‑and‑expand, usage‑led, platform‑led)
6. Recent Announcements &amp; Signals
Product launches
Partnerships or acquisitions
Major customer wins
Strategic shifts
7. Strengths &amp; Weaknesses
Summary from the user’s point of view
Patterns in product, pricing, or messaging
Implications for our team
8. Opportunities &amp; Threats (Optional)
Where we can differentiate
Areas where they pose competitive risk
Signals to monitor
2. Use Public, Ethical, Trustworthy Sources Only
Acceptable sources:
Official company websites and documentation
Public pricing pages
Analyst reports
Press releases and news
Industry review sites (G2, Gartner Peer Insights, TrustRadius)
Public demos, webinars, and product videos
Never use confidential, internal, or improperly obtained information.
3. Always Cite Sources
For every insight:
Include a URL or named reference
Summarize in your own words
Do not copy proprietary text verbatim
4. Produce Outputs in Clear, Comparable Formats
Default formats should be:
Executive Summary (5–10 bullets)
Full CI Report (using the structured framework above)
Comparison Table (against our product or multiple competitors)
Battlecard (if requested)
5. Maintain a Neutral, Analytical Tone
Avoid:
Assumptions
Biased statements
Promotional language
Focus on facts, patterns, and implications.
6. Ask Clarifying Questions When Needed
Examples:
Which competitor(s)?
Which product line or segment?
Output format (summary, full report, battlecard)?
Intended audience (sales, product, leadership)?
7. Produce Fast, Actionable Insights
Prioritize:
Clarity
Accuracy
Comparability
Practical recommendations</v>
      </c>
      <c r="AO64" s="26" t="s">
        <v>290</v>
      </c>
      <c r="AP64" s="28" t="str">
        <f>substitute('Prompt Template'!$D$2,$AN$5,$AO64)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(CI) Research Assistant. Your role is to help team members systematically gather, analyze, and summarize information about competitors’ products, pricing, positioning, messaging, and go‑to‑market motions.
Your outputs must always be structured, fact‑based, comparable across competitors, and presentation‑ready.
How You Should Work
1. Follow a Consistent Research Framework
For every competitor, collect insights using the structure below:
1. Company Overview
Brief description
Target customer segments (industry, size, geography)
Business model
2. Product &amp; Feature Summary
Product portfolio overview
Key differentiating features
Feature gaps vs. our offerings
3. Pricing &amp; Packaging
Pricing model(s): subscription, usage‑based, tiered, freemium, etc.
Public price points
Bundles, add‑ons, upsell or cross‑sell paths
Discounts or promotions (if publicly visible)
Note if pricing is not published and summarize analyst commentary if available
4. Positioning &amp; Messaging
Value propositions
Core customer pains they address
Messaging themes
Taglines, headline claims
5. Go‑to‑Market Motions
Sales model (inside sales, self‑serve, partner‑led)
Channel ecosystem
Notable market plays (e.g., land‑and‑expand, usage‑led, platform‑led)
6. Recent Announcements &amp; Signals
Product launches
Partnerships or acquisitions
Major customer wins
Strategic shifts
7. Strengths &amp; Weaknesses
Summary from the user’s point of view
Patterns in product, pricing, or messaging
Implications for our team
8. Opportunities &amp; Threats (Optional)
Where we can differentiate
Areas where they pose competitive risk
Signals to monitor
2. Use Public, Ethical, Trustworthy Sources Only
Acceptable sources:
Official company websites and documentation
Public pricing pages
Analyst reports
Press releases and news
Industry review sites (G2, Gartner Peer Insights, TrustRadius)
Public demos, webinars, and product videos
Never use confidential, internal, or improperly obtained information.
3. Always Cite Sources
For every insight:
Include a URL or named reference
Summarize in your own words
Do not copy proprietary text verbatim
4. Produce Outputs in Clear, Comparable Formats
Default formats should be:
Executive Summary (5–10 bullets)
Full CI Report (using the structured framework above)
Comparison Table (against our product or multiple competitors)
Battlecard (if requested)
5. Maintain a Neutral, Analytical Tone
Avoid:
Assumptions
Biased statements
Promotional language
Focus on facts, patterns, and implications.
6. Ask Clarifying Questions When Needed
Examples:
Which competitor(s)?
Which product line or segment?
Output format (summary, full report, battlecard)?
Intended audience (sales, product, leadership)?
7. Produce Fast, Actionable Insights
Prioritize:
Clarity
Accuracy
Comparability
Practical recommendations&lt;/user_input&gt;
</v>
      </c>
      <c r="AQ64" s="26">
        <f t="array" ref="AQ64">index('Response Scoring'!$I:$I,match($A64,'Response Scoring'!$A:$A,0))</f>
        <v>5</v>
      </c>
      <c r="AR64" s="26">
        <f t="shared" si="17"/>
        <v>1</v>
      </c>
      <c r="AS64" s="30">
        <f t="shared" si="18"/>
        <v>8.6</v>
      </c>
      <c r="AT64" s="26">
        <f t="shared" si="19"/>
        <v>37.445</v>
      </c>
      <c r="AU64" s="26">
        <f t="shared" si="20"/>
        <v>74.89</v>
      </c>
      <c r="AV64" s="26" t="str">
        <f t="shared" si="21"/>
        <v>AI Practitioner</v>
      </c>
      <c r="AW64" s="26" t="str">
        <f>'Raw Data'!U60</f>
        <v/>
      </c>
      <c r="AX64" s="26" t="str">
        <f>'Raw Data'!V60</f>
        <v/>
      </c>
      <c r="AY64" s="26" t="str">
        <f>'Raw Data'!W60</f>
        <v/>
      </c>
      <c r="AZ64" s="26" t="str">
        <f>'Raw Data'!X60</f>
        <v/>
      </c>
      <c r="BA64" s="26" t="str">
        <f>'Raw Data'!Y60</f>
        <v/>
      </c>
      <c r="BB64" s="26" t="str">
        <f>'Raw Data'!Z60</f>
        <v/>
      </c>
      <c r="BW64" s="31" t="str">
        <f>'Raw Data'!C60</f>
        <v>Marketing Strategy &amp; Planning</v>
      </c>
      <c r="BZ64" s="26" t="str">
        <f>'Raw Data'!F60</f>
        <v>Individual Contributor</v>
      </c>
      <c r="CA64" s="31" t="str">
        <f>'Raw Data'!AU60</f>
        <v>Multiple AI tools from different platform like co-pilot, ROVO, CORTEX etc, getting a tool to integrate and help answer questions in a reliable manner will be helpful</v>
      </c>
      <c r="CB64" s="31" t="str">
        <f>'Raw Data'!AV60</f>
        <v>Using only approved AI tools</v>
      </c>
      <c r="CC64" s="31" t="str">
        <f>'Raw Data'!AW60</f>
        <v>Strongly agree</v>
      </c>
    </row>
    <row r="65" ht="15.75" customHeight="1">
      <c r="A65" s="26">
        <f>'Raw Data'!$A61</f>
        <v>59</v>
      </c>
      <c r="B65" s="26" t="str">
        <f>'Raw Data'!$G61</f>
        <v>Daily</v>
      </c>
      <c r="C65" s="26">
        <f t="shared" si="1"/>
        <v>1</v>
      </c>
      <c r="D65" s="26" t="str">
        <f>'Raw Data'!$H61</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 Analyzing data or documents to extract insights or summaries</v>
      </c>
      <c r="E65" s="26">
        <f t="shared" si="2"/>
        <v>3</v>
      </c>
      <c r="F65" s="27">
        <f t="shared" si="3"/>
        <v>1</v>
      </c>
      <c r="G65" s="26" t="str">
        <f>'Raw Data'!$I61</f>
        <v>I maintain a library of prompts that I reuse frequently</v>
      </c>
      <c r="H65" s="26">
        <f t="shared" si="4"/>
        <v>0.5</v>
      </c>
      <c r="I65" s="26" t="str">
        <f>'Raw Data'!$J61</f>
        <v>Create a systematic process where AI handles data analysis and summary generation consistently</v>
      </c>
      <c r="J65" s="26">
        <f t="shared" si="5"/>
        <v>1</v>
      </c>
      <c r="K65" s="26" t="str">
        <f>'Raw Data'!$K61</f>
        <v>I'd start by leveraging it as a researcher then thought partner to quickly become more confident with the topic at hand. Then leveraging existing knowledge and information I would craft prompts to have AI help me structure messages, outputs and also performance stress test to prepare for push back or potential questions from the audience. lastly, I'd ask it to help be develop the visual materials - editing and putting everything in my own words and ensuring ADSK brand is applied.</v>
      </c>
      <c r="L65" s="26" t="s">
        <v>291</v>
      </c>
      <c r="M65" s="28" t="str">
        <f>substitute('Prompt Template'!$A$2,$K$5,$L65)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leveraging it as a researcher then thought partner to quickly become more confident with the topic at hand. Then leveraging existing knowledge and information I would craft prompts to have AI help me structure messages, outputs and also performance stress test to prepare for push back or potential questions from the audience. lastly, I'd ask it to help be develop the visual materials - editing and putting everything in my own words and ensuring ADSK brand is applied.&lt;/user_input&gt;</v>
      </c>
      <c r="N65" s="26">
        <f t="array" ref="N65">index('Response Scoring'!$C:$C,match($A65,'Response Scoring'!$A:$A,0))</f>
        <v>3</v>
      </c>
      <c r="O65" s="29">
        <f t="shared" si="6"/>
        <v>1</v>
      </c>
      <c r="P65" s="26" t="str">
        <f>'Raw Data'!$L61</f>
        <v>I leverage AI for an extreme array of efforts to optimize outputs, gain efficiency in my day and stand out. I'm learning how to apply AI where it really matters to gain a greater edge, so less as productivity shortcut and more through a strategic application lens. I often turn to it to help me brainstorm and refine ideas, pressure test a problem/solution statement, and curate and refine recommendations and proposals using both internal sources and bringing in external third party insights based on a specific topic. I often then use AI to help me explore alternative perspectives and trade-offs, and find any gaps or gotchas based on the draft output crafted. I also heavily rely on AI to synthesize responses and weighty detail for varying audiences, when I need to communicate the single thought across both marketers and leadership that is 'communication ready.' And lastly, I heavily lean into using AI to help me spot patterns in our plans or strategy documentation, applying if/then logic to arrive at a clear and confident POV.</v>
      </c>
      <c r="Q65" s="26" t="s">
        <v>292</v>
      </c>
      <c r="R65" s="28" t="str">
        <f>substitute('Prompt Template'!$B$2,$P$5,$Q65)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leverage AI for an extreme array of efforts to optimize outputs, gain efficiency in my day and stand out. I'm learning how to apply AI where it really matters to gain a greater edge, so less as productivity shortcut and more through a strategic application lens. I often turn to it to help me brainstorm and refine ideas, pressure test a problem/solution statement, and curate and refine recommendations and proposals using both internal sources and bringing in external third party insights based on a specific topic. I often then use AI to help me explore alternative perspectives and trade-offs, and find any gaps or gotchas based on the draft output crafted. I also heavily rely on AI to synthesize responses and weighty detail for varying audiences, when I need to communicate the single thought across both marketers and leadership that is 'communication ready.' And lastly, I heavily lean into using AI to help me spot patterns in our plans or strategy documentation, applying if/then logic to arrive at a clear and confident POV.&lt;/user_input&gt;</v>
      </c>
      <c r="S65" s="26">
        <f t="array" ref="S65">index('Response Scoring'!$E:$E,match($A65,'Response Scoring'!$A:$A,0))</f>
        <v>2</v>
      </c>
      <c r="T65" s="29">
        <f t="shared" si="7"/>
        <v>0.6666666667</v>
      </c>
      <c r="U65" s="29">
        <f t="shared" si="8"/>
        <v>8.166666667</v>
      </c>
      <c r="V65" s="26" t="str">
        <f>'Raw Data'!$M61</f>
        <v>Providing real-time updates on breaking news events happening right now</v>
      </c>
      <c r="W65" s="26">
        <f t="shared" si="9"/>
        <v>0</v>
      </c>
      <c r="X65" s="26" t="str">
        <f>'Raw Data'!$N61</f>
        <v>Hallucinations (generating false or misleading information), Biases in answers, Data privacy concerns when information is shared with an LLM, Vulnerability to manipulation by bad actors</v>
      </c>
      <c r="Y65" s="26">
        <f t="shared" si="10"/>
        <v>1</v>
      </c>
      <c r="Z65" s="26" t="str">
        <f>'Raw Data'!$O61</f>
        <v>Verify that the AI tool has SSL/HTTPS encryption before using it, Anonymize information by removing identifying details, Use secure company instances or enterprise plans when available</v>
      </c>
      <c r="AA65" s="29">
        <f t="shared" si="11"/>
        <v>0</v>
      </c>
      <c r="AB65" s="26" t="str">
        <f>'Raw Data'!$P61</f>
        <v>Always: I routinely cross-check AI outputs with reliable sources</v>
      </c>
      <c r="AC65" s="26">
        <f t="shared" si="12"/>
        <v>1</v>
      </c>
      <c r="AD65" s="26" t="str">
        <f>'Raw Data'!$Q61</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65" s="26">
        <f t="shared" si="13"/>
        <v>0</v>
      </c>
      <c r="AF65" s="30">
        <f t="shared" si="14"/>
        <v>4</v>
      </c>
      <c r="AG65" s="26" t="str">
        <f>'Raw Data'!$R61</f>
        <v>Frequently: I systematically refine prompts until I'm satisfied</v>
      </c>
      <c r="AH65" s="26">
        <f t="shared" si="15"/>
        <v>1</v>
      </c>
      <c r="AI65" s="26" t="str">
        <f>'Raw Data'!$S61</f>
        <v>You are my strategic thought partner. I am preparing for a work meeting to discuss our new xyzzy proposal. This is a new initiative, and we're presenting details for approval to our executive staff. Help me prepare by doing the following:
1) Clarify the core problem or opportunity we're addressing and why it matters now.
2) Craft a point of view and direction, not just options.
Identify the key assumptions underlying this proposal and flag where they may be challenged.
3) Anticipate likely executive questions, objections, or concerns, and propose concise, credible responses.
4) Frame in an 'communication ready' way for exec audience that covers the “why,” “what,” and “so what.”
5) Outline the decision or outcome I should aim to drive in this meeting.
6) Give me a topper/TLDR/executive summary statement that is crisp and clear to share as pre-read for exec audience. 
Optimize for clarity, and leadership audience. Distinguish what matters most for exec audience versus key supporting detail.
Ask clarifying questions if critical to improving the output.
I would follow with a prompt to pressure-test the proposal from an executive perspective and tell me where it is weakest or unclear, and what key questions might come up (including recommendaed responses/talk track).</v>
      </c>
      <c r="AJ65" s="26" t="s">
        <v>293</v>
      </c>
      <c r="AK65" s="28" t="str">
        <f>substitute('Prompt Template'!$C$2,$AI$5,$AJ65)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strategic thought partner. I am preparing for a work meeting to discuss our new xyzzy proposal. This is a new initiative, and we're presenting details for approval to our executive staff. Help me prepare by doing the following:
1) Clarify the core problem or opportunity we're addressing and why it matters now.
2) Craft a point of view and direction, not just options.
Identify the key assumptions underlying this proposal and flag where they may be challenged.
3) Anticipate likely executive questions, objections, or concerns, and propose concise, credible responses.
4) Frame in an 'communication ready' way for exec audience that covers the “why,” “what,” and “so what.”
5) Outline the decision or outcome I should aim to drive in this meeting.
6) Give me a topper/TLDR/executive summary statement that is crisp and clear to share as pre-read for exec audience. 
Optimize for clarity, and leadership audience. Distinguish what matters most for exec audience versus key supporting detail.
Ask clarifying questions if critical to improving the output.
I would follow with a prompt to pressure-test the proposal from an executive perspective and tell me where it is weakest or unclear, and what key questions might come up (including recommendaed responses/talk track).&lt;/prompt&gt;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strategic thought partner. I am preparing for a work meeting to discuss our new xyzzy proposal. This is a new initiative, and we're presenting details for approval to our executive staff. Help me prepare by doing the following:
1) Clarify the core problem or opportunity we're addressing and why it matters now.
2) Craft a point of view and direction, not just options.
Identify the key assumptions underlying this proposal and flag where they may be challenged.
3) Anticipate likely executive questions, objections, or concerns, and propose concise, credible responses.
4) Frame in an 'communication ready' way for exec audience that covers the “why,” “what,” and “so what.”
5) Outline the decision or outcome I should aim to drive in this meeting.
6) Give me a topper/TLDR/executive summary statement that is crisp and clear to share as pre-read for exec audience. 
Optimize for clarity, and leadership audience. Distinguish what matters most for exec audience versus key supporting detail.
Ask clarifying questions if critical to improving the output.
I would follow with a prompt to pressure-test the proposal from an executive perspective and tell me where it is weakest or unclear, and what key questions might come up (including recommendaed responses/talk track).&lt;/user_input&gt;</v>
      </c>
      <c r="AL65" s="26">
        <f t="array" ref="AL65">index('Response Scoring'!$G:$G,match($A65,'Response Scoring'!$A:$A,0))</f>
        <v>4</v>
      </c>
      <c r="AM65" s="26">
        <f t="shared" si="16"/>
        <v>0.8</v>
      </c>
      <c r="AN65" s="26" t="str">
        <f>'Raw Data'!$T61</f>
        <v>I often use AI to help me craft these custom instructions in tools like Airtable when using an agent. Here is an example: You are a competitive intelligence assistant designed to help Autodesk marketing teams gather, synthesize, and compare competitor information in a consistent, structured, and decision-oriented way. Your goal is not to summarize sources, but to extract insights that inform positioning, strategy, and go-to-market decisions.
Optimize for clarity, accuracy, and executive relevance.</v>
      </c>
      <c r="AO65" s="26" t="s">
        <v>294</v>
      </c>
      <c r="AP65" s="28" t="str">
        <f>substitute('Prompt Template'!$D$2,$AN$5,$AO65)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often use AI to help me craft these custom instructions in tools like Airtable when using an agent. Here is an example: You are a competitive intelligence assistant designed to help Autodesk marketing teams gather, synthesize, and compare competitor information in a consistent, structured, and decision-oriented way. Your goal is not to summarize sources, but to extract insights that inform positioning, strategy, and go-to-market decisions.
Optimize for clarity, accuracy, and executive relevance.&lt;/user_input&gt;
</v>
      </c>
      <c r="AQ65" s="26">
        <f t="array" ref="AQ65">index('Response Scoring'!$I:$I,match($A65,'Response Scoring'!$A:$A,0))</f>
        <v>3</v>
      </c>
      <c r="AR65" s="26">
        <f t="shared" si="17"/>
        <v>0.6</v>
      </c>
      <c r="AS65" s="30">
        <f t="shared" si="18"/>
        <v>7.3</v>
      </c>
      <c r="AT65" s="26">
        <f t="shared" si="19"/>
        <v>32.85</v>
      </c>
      <c r="AU65" s="26">
        <f t="shared" si="20"/>
        <v>65.7</v>
      </c>
      <c r="AV65" s="26" t="str">
        <f t="shared" si="21"/>
        <v>AI Practitioner</v>
      </c>
      <c r="AW65" s="26" t="str">
        <f>'Raw Data'!U61</f>
        <v/>
      </c>
      <c r="AX65" s="26" t="str">
        <f>'Raw Data'!V61</f>
        <v/>
      </c>
      <c r="AY65" s="26" t="str">
        <f>'Raw Data'!W61</f>
        <v/>
      </c>
      <c r="AZ65" s="26" t="str">
        <f>'Raw Data'!X61</f>
        <v/>
      </c>
      <c r="BA65" s="26" t="str">
        <f>'Raw Data'!Y61</f>
        <v/>
      </c>
      <c r="BB65" s="26" t="str">
        <f>'Raw Data'!Z61</f>
        <v/>
      </c>
      <c r="BW65" s="31" t="str">
        <f>'Raw Data'!C61</f>
        <v>Marketing Strategy &amp; Planning</v>
      </c>
      <c r="BZ65" s="26" t="str">
        <f>'Raw Data'!F61</f>
        <v>Individual Contributor</v>
      </c>
      <c r="CA65" s="31" t="str">
        <f>'Raw Data'!AU61</f>
        <v>Using more than 1 main tool</v>
      </c>
      <c r="CB65" s="31" t="str">
        <f>'Raw Data'!AV61</f>
        <v>n/a</v>
      </c>
      <c r="CC65" s="31" t="str">
        <f>'Raw Data'!AW61</f>
        <v>Agree</v>
      </c>
    </row>
    <row r="66" ht="15.75" customHeight="1">
      <c r="A66" s="26">
        <f>'Raw Data'!$A62</f>
        <v>60</v>
      </c>
      <c r="B66" s="26" t="str">
        <f>'Raw Data'!$G62</f>
        <v>Daily</v>
      </c>
      <c r="C66" s="26">
        <f t="shared" si="1"/>
        <v>1</v>
      </c>
      <c r="D66" s="26" t="str">
        <f>'Raw Data'!$H62</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66" s="26">
        <f t="shared" si="2"/>
        <v>2</v>
      </c>
      <c r="F66" s="27">
        <f t="shared" si="3"/>
        <v>0.6666666667</v>
      </c>
      <c r="G66" s="26" t="str">
        <f>'Raw Data'!$I62</f>
        <v>I create fresh prompts each time I use AI</v>
      </c>
      <c r="H66" s="26">
        <f t="shared" si="4"/>
        <v>0.25</v>
      </c>
      <c r="I66" s="26" t="str">
        <f>'Raw Data'!$J62</f>
        <v>Create a systematic process where AI handles data analysis and summary generation consistently</v>
      </c>
      <c r="J66" s="26">
        <f t="shared" si="5"/>
        <v>1</v>
      </c>
      <c r="K66" s="26" t="str">
        <f>'Raw Data'!$K62</f>
        <v>I'd ask AI to help me analyze data and results. After gathering all data and insights, I'd create a detailed brief for what I want to come through in the presentation (goals, objectives, learnings, next steps), and I'd ask AI to propose a draft outline for the presentation. I'd then finesse from there, editing language and adding additional content to ensure it flows well and drives home key outcomes I want to come across. Once the presentation is created, I'd also iterate with AI on my voiceover script to ensure it's punchy and clear.</v>
      </c>
      <c r="L66" s="26" t="s">
        <v>295</v>
      </c>
      <c r="M66" s="28" t="str">
        <f>substitute('Prompt Template'!$A$2,$K$5,$L66)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ask AI to help me analyze data and results. After gathering all data and insights, I'd create a detailed brief for what I want to come through in the presentation (goals, objectives, learnings, next steps), and I'd ask AI to propose a draft outline for the presentation. I'd then finesse from there, editing language and adding additional content to ensure it flows well and drives home key outcomes I want to come across. Once the presentation is created, I'd also iterate with AI on my voiceover script to ensure it's punchy and clear.&lt;/user_input&gt;</v>
      </c>
      <c r="N66" s="26">
        <f t="array" ref="N66">index('Response Scoring'!$C:$C,match($A66,'Response Scoring'!$A:$A,0))</f>
        <v>2</v>
      </c>
      <c r="O66" s="29">
        <f t="shared" si="6"/>
        <v>0.6666666667</v>
      </c>
      <c r="P66" s="26" t="str">
        <f>'Raw Data'!$L62</f>
        <v>AI hugely accelerates the process of creating briefs for contractors, agencies, and video crews we work with. When we create written customer stories for example, we'll interview the customer then pass the interview through AI to transcribe it. From there, I'll work with AI to create a clear brief for a copywriter highlighting the key themes and story moments we want to come through. In the past, the process of transcribing and translating into a brief would have taken a day (depending on the transcription service). Now, we're able to turn it around in under an hour.</v>
      </c>
      <c r="Q66" s="26" t="s">
        <v>296</v>
      </c>
      <c r="R66" s="28" t="str">
        <f>substitute('Prompt Template'!$B$2,$P$5,$Q66)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hugely accelerates the process of creating briefs for contractors, agencies, and video crews we work with. When we create written customer stories for example, we'll interview the customer then pass the interview through AI to transcribe it. From there, I'll work with AI to create a clear brief for a copywriter highlighting the key themes and story moments we want to come through. In the past, the process of transcribing and translating into a brief would have taken a day (depending on the transcription service). Now, we're able to turn it around in under an hour.&lt;/user_input&gt;</v>
      </c>
      <c r="S66" s="26">
        <f t="array" ref="S66">index('Response Scoring'!$E:$E,match($A66,'Response Scoring'!$A:$A,0))</f>
        <v>3</v>
      </c>
      <c r="T66" s="29">
        <f t="shared" si="7"/>
        <v>1</v>
      </c>
      <c r="U66" s="29">
        <f t="shared" si="8"/>
        <v>8.083333333</v>
      </c>
      <c r="V66" s="26" t="str">
        <f>'Raw Data'!$M62</f>
        <v>Analyzing presentation slides to evaluate both the visual design and written content for consistency</v>
      </c>
      <c r="W66" s="26">
        <f t="shared" si="9"/>
        <v>1</v>
      </c>
      <c r="X66" s="26" t="str">
        <f>'Raw Data'!$N62</f>
        <v>Hallucinations (generating false or misleading information), Biases in answers, Data privacy concerns when information is shared with an LLM</v>
      </c>
      <c r="Y66" s="26">
        <f t="shared" si="10"/>
        <v>0.75</v>
      </c>
      <c r="Z66" s="26" t="str">
        <f>'Raw Data'!$O62</f>
        <v>Anonymize information by removing identifying details, Use secure company instances or enterprise plans when available</v>
      </c>
      <c r="AA66" s="29">
        <f t="shared" si="11"/>
        <v>1</v>
      </c>
      <c r="AB66" s="26" t="str">
        <f>'Raw Data'!$P62</f>
        <v>Always: I routinely cross-check AI outputs with reliable sources</v>
      </c>
      <c r="AC66" s="26">
        <f t="shared" si="12"/>
        <v>1</v>
      </c>
      <c r="AD66" s="26" t="str">
        <f>'Raw Data'!$Q62</f>
        <v>Cross-reference key claims with reliable external sources, Verify any calculations or data analysis independently</v>
      </c>
      <c r="AE66" s="26">
        <f t="shared" si="13"/>
        <v>0.5</v>
      </c>
      <c r="AF66" s="30">
        <f t="shared" si="14"/>
        <v>8.5</v>
      </c>
      <c r="AG66" s="26" t="str">
        <f>'Raw Data'!$R62</f>
        <v>Frequently: I systematically refine prompts until I'm satisfied</v>
      </c>
      <c r="AH66" s="26">
        <f t="shared" si="15"/>
        <v>1</v>
      </c>
      <c r="AI66" s="26" t="str">
        <f>'Raw Data'!$S62</f>
        <v>Hi, I'm preparing for a work meeting to discuss [new project]. The goal of this project is [goal here]. Based on the attached info (I'd attach any relevant kickoff materials, presentations, etc.), please provide an overview of the most important points to have top-of-mind for this first meeting as well as a proposed agenda to guide the conversation. By the end of this first call, we would like to have a clear idea of decision owners and next steps.</v>
      </c>
      <c r="AJ66" s="26" t="s">
        <v>297</v>
      </c>
      <c r="AK66" s="28" t="str">
        <f>substitute('Prompt Template'!$C$2,$AI$5,$AJ66)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I'm preparing for a work meeting to discuss [new project]. The goal of this project is [goal here]. Based on the attached info (I'd attach any relevant kickoff materials, presentations, etc.), please provide an overview of the most important points to have top-of-mind for this first meeting as well as a proposed agenda to guide the conversation. By the end of this first call, we would like to have a clear idea of decision owners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I'm preparing for a work meeting to discuss [new project]. The goal of this project is [goal here]. Based on the attached info (I'd attach any relevant kickoff materials, presentations, etc.), please provide an overview of the most important points to have top-of-mind for this first meeting as well as a proposed agenda to guide the conversation. By the end of this first call, we would like to have a clear idea of decision owners and next steps.&lt;/user_input&gt;</v>
      </c>
      <c r="AL66" s="26">
        <f t="array" ref="AL66">index('Response Scoring'!$G:$G,match($A66,'Response Scoring'!$A:$A,0))</f>
        <v>4</v>
      </c>
      <c r="AM66" s="26">
        <f t="shared" si="16"/>
        <v>0.8</v>
      </c>
      <c r="AN66" s="26" t="str">
        <f>'Raw Data'!$T62</f>
        <v>I don't know how to create custom AI instructions</v>
      </c>
      <c r="AO66" s="26" t="s">
        <v>101</v>
      </c>
      <c r="AP66" s="28" t="str">
        <f>substitute('Prompt Template'!$D$2,$AN$5,$AO66)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66" s="26">
        <f t="array" ref="AQ66">index('Response Scoring'!$I:$I,match($A66,'Response Scoring'!$A:$A,0))</f>
        <v>0</v>
      </c>
      <c r="AR66" s="26">
        <f t="shared" si="17"/>
        <v>0</v>
      </c>
      <c r="AS66" s="30">
        <f t="shared" si="18"/>
        <v>4.3</v>
      </c>
      <c r="AT66" s="26">
        <f t="shared" si="19"/>
        <v>33.475</v>
      </c>
      <c r="AU66" s="26">
        <f t="shared" si="20"/>
        <v>66.95</v>
      </c>
      <c r="AV66" s="26" t="str">
        <f t="shared" si="21"/>
        <v>AI Practitioner</v>
      </c>
      <c r="AW66" s="26" t="str">
        <f>'Raw Data'!U62</f>
        <v/>
      </c>
      <c r="AX66" s="26" t="str">
        <f>'Raw Data'!V62</f>
        <v/>
      </c>
      <c r="AY66" s="26" t="str">
        <f>'Raw Data'!W62</f>
        <v/>
      </c>
      <c r="AZ66" s="26" t="str">
        <f>'Raw Data'!X62</f>
        <v/>
      </c>
      <c r="BA66" s="26" t="str">
        <f>'Raw Data'!Y62</f>
        <v/>
      </c>
      <c r="BB66" s="26" t="str">
        <f>'Raw Data'!Z62</f>
        <v/>
      </c>
      <c r="BW66" s="31" t="str">
        <f>'Raw Data'!C62</f>
        <v>Industry Portfolio &amp; Emerging Marketing</v>
      </c>
      <c r="BZ66" s="26" t="str">
        <f>'Raw Data'!F62</f>
        <v>Manager or Senior Manager</v>
      </c>
      <c r="CA66" s="31" t="str">
        <f>'Raw Data'!AU62</f>
        <v>N/A</v>
      </c>
      <c r="CB66" s="31" t="str">
        <f>'Raw Data'!AV62</f>
        <v>N/A</v>
      </c>
      <c r="CC66" s="31" t="str">
        <f>'Raw Data'!AW62</f>
        <v>Agree</v>
      </c>
    </row>
    <row r="67" ht="15.75" customHeight="1">
      <c r="A67" s="26">
        <f>'Raw Data'!$A63</f>
        <v>61</v>
      </c>
      <c r="B67" s="26" t="str">
        <f>'Raw Data'!$G63</f>
        <v>Daily</v>
      </c>
      <c r="C67" s="26">
        <f t="shared" si="1"/>
        <v>1</v>
      </c>
      <c r="D67" s="26" t="str">
        <f>'Raw Data'!$H63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67" s="26">
        <f t="shared" si="2"/>
        <v>3</v>
      </c>
      <c r="F67" s="27">
        <f t="shared" si="3"/>
        <v>1</v>
      </c>
      <c r="G67" s="26" t="str">
        <f>'Raw Data'!$I63</f>
        <v>I've built custom AI tools (i.e. CustomGPTs, Copilot Agents) for repetitive tasks</v>
      </c>
      <c r="H67" s="26">
        <f t="shared" si="4"/>
        <v>0.75</v>
      </c>
      <c r="I67" s="26" t="str">
        <f>'Raw Data'!$J63</f>
        <v>Create a systematic process where AI handles data analysis and summary generation consistently</v>
      </c>
      <c r="J67" s="26">
        <f t="shared" si="5"/>
        <v>1</v>
      </c>
      <c r="K67" s="26" t="str">
        <f>'Raw Data'!$K63</f>
        <v>I'll use AI to understand the topic well enough to ask intelligent questions, shape the topic around stakeholder's priorities , structure the deck before touching the PowerPoint, prepare content drafting and validation, executive polish &amp; simplification, help to prepare for Q&amp;A and stress testing, and help for rehearsal &amp; confidence.</v>
      </c>
      <c r="L67" s="26" t="s">
        <v>298</v>
      </c>
      <c r="M67" s="28" t="str">
        <f>substitute('Prompt Template'!$A$2,$K$5,$L67)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&lt;user_input&gt;I'll use AI to understand the topic well enough to ask intelligent questions, shape the topic around stakeholder's priorities , structure the deck before touching the PowerPoint, prepare content drafting and validation, executive polish &amp; simplification, help to prepare for Q&amp;A and stress testing, and help for rehearsal &amp; confidence.&lt;/user_input&gt;</v>
      </c>
      <c r="N67" s="26">
        <f t="array" ref="N67">index('Response Scoring'!$C:$C,match($A67,'Response Scoring'!$A:$A,0))</f>
        <v>3</v>
      </c>
      <c r="O67" s="29">
        <f t="shared" si="6"/>
        <v>1</v>
      </c>
      <c r="P67" s="26" t="str">
        <f>'Raw Data'!$L63</f>
        <v>I utilise AI to analyse data prior to the enrichment process. This enables me to pose targeted questions that help identify potential gaps and generate recommendations consistent with project requirements. Upon receiving the analysed data, I employ it to standardise and ensure quality, thereby increasing efficiency throughout the project's various phases. At the initiation stage, my analysis is completed in 40 minutes rather than 2.5 hours. For project delivery, preparation now requires only one hour, compared to the previous three hours.</v>
      </c>
      <c r="Q67" s="26" t="s">
        <v>299</v>
      </c>
      <c r="R67" s="28" t="str">
        <f>substitute('Prompt Template'!$B$2,$P$5,$Q67)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utilise AI to analyse data prior to the enrichment process. This enables me to pose targeted questions that help identify potential gaps and generate recommendations consistent with project requirements. Upon receiving the analysed data, I employ it to standardise and ensure quality, thereby increasing efficiency throughout the project's various phases. At the initiation stage, my analysis is completed in 40 minutes rather than 2.5 hours. For project delivery, preparation now requires only one hour, compared to the previous three hours.&lt;/user_input&gt;</v>
      </c>
      <c r="S67" s="26">
        <f t="array" ref="S67">index('Response Scoring'!$E:$E,match($A67,'Response Scoring'!$A:$A,0))</f>
        <v>3</v>
      </c>
      <c r="T67" s="29">
        <f t="shared" si="7"/>
        <v>1</v>
      </c>
      <c r="U67" s="29">
        <f t="shared" si="8"/>
        <v>9.75</v>
      </c>
      <c r="V67" s="26" t="str">
        <f>'Raw Data'!$M63</f>
        <v>Creating a complete slide deck with visual design for an important client presentation</v>
      </c>
      <c r="W67" s="26">
        <f t="shared" si="9"/>
        <v>0</v>
      </c>
      <c r="X67" s="26" t="str">
        <f>'Raw Data'!$N63</f>
        <v>Hallucinations (generating false or misleading information), Biases in answers, Data privacy concerns when information is shared with an LLM, Vulnerability to manipulation by bad actors</v>
      </c>
      <c r="Y67" s="26">
        <f t="shared" si="10"/>
        <v>1</v>
      </c>
      <c r="Z67" s="26" t="str">
        <f>'Raw Data'!$O63</f>
        <v>Anonymize information by removing identifying details, Use secure company instances or enterprise plans when available</v>
      </c>
      <c r="AA67" s="29">
        <f t="shared" si="11"/>
        <v>1</v>
      </c>
      <c r="AB67" s="26" t="str">
        <f>'Raw Data'!$P63</f>
        <v>Always: I routinely cross-check AI outputs with reliable sources</v>
      </c>
      <c r="AC67" s="26">
        <f t="shared" si="12"/>
        <v>1</v>
      </c>
      <c r="AD67" s="26" t="str">
        <f>'Raw Data'!$Q63</f>
        <v>Cross-reference key claims with reliable external sources, Ask the same AI tool to double-check its work for accuracy, Look for professional formatting and proper grammar, Use a different AI tool to review and verify the content, Check if the response uses confident language and specific details, Verify any calculations or data analysis independently</v>
      </c>
      <c r="AE67" s="26">
        <f t="shared" si="13"/>
        <v>0</v>
      </c>
      <c r="AF67" s="30">
        <f t="shared" si="14"/>
        <v>6</v>
      </c>
      <c r="AG67" s="26" t="str">
        <f>'Raw Data'!$R63</f>
        <v>Frequently: I systematically refine prompts until I'm satisfied</v>
      </c>
      <c r="AH67" s="26">
        <f t="shared" si="15"/>
        <v>1</v>
      </c>
      <c r="AI67" s="26" t="str">
        <f>'Raw Data'!$S63</f>
        <v>You are a strategic business advisor and meeting prep coach.
I am preparing for a work meeting to discuss a new initiative/proposal.
Context:
•	Initiative/proposal summary: [brief description]
•	Purpose of the meeting: [e.g., alignment, approval, feedback, decision]
•	Audience &amp; stakeholders: [roles, seniority, decision-makers, skeptics]
•	My role in the meeting: presenter
•	Time allotted: 1 hour
Please help me with the following:
1.	Clarify and sharpen the core message and objective of this meeting
2.	Identify the top 3–5 points I must communicate clearly
3.	Anticipate likely questions, objections, or risks, and provide strong responses
4.	Recommend a clear meeting structure or agenda
5.	Suggest data, examples, or evidence I should reference
6.	Provide talking points tailored to executive and cross-functional stakeholders
7.	Identify what a successful outcome looks like and how to steer the conversation toward it
Keep the advice concise, practical, and aligned to real workplace dynamics. If assumptions are needed, state them explicitly.</v>
      </c>
      <c r="AJ67" s="26" t="s">
        <v>300</v>
      </c>
      <c r="AK67" s="28" t="str">
        <f>substitute('Prompt Template'!$C$2,$AI$5,$AJ67)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strategic business advisor and meeting prep coach.
I am preparing for a work meeting to discuss a new initiative/proposal.
Context:
•	Initiative/proposal summary: [brief description]
•	Purpose of the meeting: [e.g., alignment, approval, feedback, decision]
•	Audience &amp; stakeholders: [roles, seniority, decision-makers, skeptics]
•	My role in the meeting: presenter
•	Time allotted: 1 hour
Please help me with the following:
1.	Clarify and sharpen the core message and objective of this meeting
2.	Identify the top 3–5 points I must communicate clearly
3.	Anticipate likely questions, objections, or risks, and provide strong responses
4.	Recommend a clear meeting structure or agenda
5.	Suggest data, examples, or evidence I should reference
6.	Provide talking points tailored to executive and cross-functional stakeholders
7.	Identify what a successful outcome looks like and how to steer the conversation toward it
Keep the advice concise, practical, and aligned to real workplace dynamics. If assumptions are needed, state them explicitly.&lt;/prompt&gt;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strategic business advisor and meeting prep coach.
I am preparing for a work meeting to discuss a new initiative/proposal.
Context:
•	Initiative/proposal summary: [brief description]
•	Purpose of the meeting: [e.g., alignment, approval, feedback, decision]
•	Audience &amp; stakeholders: [roles, seniority, decision-makers, skeptics]
•	My role in the meeting: presenter
•	Time allotted: 1 hour
Please help me with the following:
1.	Clarify and sharpen the core message and objective of this meeting
2.	Identify the top 3–5 points I must communicate clearly
3.	Anticipate likely questions, objections, or risks, and provide strong responses
4.	Recommend a clear meeting structure or agenda
5.	Suggest data, examples, or evidence I should reference
6.	Provide talking points tailored to executive and cross-functional stakeholders
7.	Identify what a successful outcome looks like and how to steer the conversation toward it
Keep the advice concise, practical, and aligned to real workplace dynamics. If assumptions are needed, state them explicitly.&lt;/user_input&gt;</v>
      </c>
      <c r="AL67" s="26">
        <f t="array" ref="AL67">index('Response Scoring'!$G:$G,match($A67,'Response Scoring'!$A:$A,0))</f>
        <v>5</v>
      </c>
      <c r="AM67" s="26">
        <f t="shared" si="16"/>
        <v>1</v>
      </c>
      <c r="AN67" s="26" t="str">
        <f>'Raw Data'!$T63</f>
        <v># Custom GPT Instructions — Competitive Intelligence Assistant
## Role &amp; Mission
You are a **Competitive Intelligence Assistant** responsible for producing **repeatable, high-quality competitive briefs** that can be exported, stored, and compared over time.  
Your primary output is a **structured Competitive Brief** following the standardized template below.
Your work supports **product, pricing, positioning, strategy, and sales enablement** decisions.
You must operate ethically and rely **only on publicly available information**.
---
## Core Principles
1. **Consistency first**
   - Always use the same structure, headings, and tables.
   - Ensure outputs are comparable across competitors and time periods.
2. **Fact-based analysis**
   - Clearly separate:
     - Verified facts
     - Reasonable inferences
     - Unknowns or assumptions
   - Never fabricate data.
3. **Business relevance**
   - Focus on insights that influence:
     - Buyer choice
     - Willingness to pay
     - Differentiation
     - Switching costs
   - Avoid unprioritized feature dumps.
4. **Transparency**
   - Explicitly list assumptions and gaps.
   - Cite sources whenever possible.
---
## Default Workflow
When a competitor is requested (unless the user specifies otherwise):
1. Identify:
   - Competitor name
   - Product(s)
   - Target segment and geography
   - Comparison target (e.g., “vs us”)
2. Research:
   - Product capabilities
   - Pricing and packaging
   - Positioning and messaging
   - Go-to-market signals
3. Synthesize findings into:
   - Strengths
   - Weaknesses
   - Competitive implications
4. Output the results using the **Standard Competitive Brief Template** below.
---
## Standard Competitive Brief Template (MANDATORY OUTPUT FORMAT)
### 1. Brief Metadata
- Competitor Name:
- Products / SKUs Covered:
- Market / Segment:
- Geography:
- Primary Comparison Target:
- Date Created:
- Confidence Level (High / Medium / Low):
---
### 2. Executive Summary (TL;DR)
Provide 3–5 bullets answering:
- Why this competitor matters
- Where they are strongest
- Where they are weakest
- Net takeaway for us
---
### 3. Company &amp; Product Overview
- Company description (use their own language where possible)
- Core products
- Primary use cases
- Target buyer and user
- Customer profile signals
---
### 4. Product Capabilities
**Core Capabilities**
| Capability Area | Description | Notes |
|-----------------|------------|-------|
**Differentiators (Their Claims)**
- …
**Gaps / Limitations**
- …
**Product Maturity Signals**
- Release cadence
- Platform depth
- Integrations / ecosystem
- Roadmap signals (if public)
---
### 5. Pricing &amp; Packaging
**Pricing Model**
- Model type
- Entry point
- Contract assumptions
**Published Pricing (if available)**
| Tier / Plan | Price | Key Inclusions | Key Exclusions |
**Packaging Strategy Insights**
- What is gated
- Upsell strategy
- Trial / discounting behavior
---
### 6. Positioning &amp; Messaging
- Core value proposition
- Primary messaging themes
- Buyer personas targeted
- Competitive framing patterns
---
### 7. Go-To-Market Signals
- Sales motion
- Channels
- Content strategy
- Geographic emphasis
---
### 8. Strengths in Competitive Deals
- Where they win
- Why buyers choose them
- Checklist advantages
---
### 9. Weaknesses &amp; Objection Angles
- Where they struggle
- Buyer concerns
- Tradeoffs customers accept
---
### 10. Competitive Implications for Us
**Strategic Risks**
- …
**Opportunities**
- …
**Recommended Actions**
- Product
- Pricing / Packaging
- Messaging
- Sales enablement
---
### 11. Comparison Snapshot (Optional)
| Dimension | Competitor | Us | Notes |
|---------|------------|----|------|
---
### 12. Assumptions &amp; Open Questions
- Assumptions made
- Unknowns / gaps
- Recommended follow-up research
---
### 13. Sources
List all public sources used (links or citations).
---
## Comparison Mode Rules
When multiple competitors are requested:
- Use side-by-side tables
- Normalize terminology and pricing units
- Highlight meaningful differences only
- Call out unclear or missing data explicitly
---
## What You Must NOT Do
- Do not guess prices or capabilities without labeling them as estimates
- Do not use confidential, leaked, or gated information
- Do not use marketing language
- Do not present opinions as facts
- Do not omit assumptions or sources
---
## Tone &amp; Style
- Neutral, analytical, and precise
- Written for product, strategy, and operations leaders
- Clear enough to be reused in exec readouts or internal documentation</v>
      </c>
      <c r="AO67" s="26" t="s">
        <v>301</v>
      </c>
      <c r="AP67" s="28" t="str">
        <f>substitute('Prompt Template'!$D$2,$AN$5,$AO67)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GPT Instructions — Competitive Intelligence Assistant
## Role &amp; Mission
You are a **Competitive Intelligence Assistant** responsible for producing **repeatable, high-quality competitive briefs** that can be exported, stored, and compared over time.  
Your primary output is a **structured Competitive Brief** following the standardized template below.
Your work supports **product, pricing, positioning, strategy, and sales enablement** decisions.
You must operate ethically and rely **only on publicly available information**.
---
## Core Principles
1. **Consistency first**
   - Always use the same structure, headings, and tables.
   - Ensure outputs are comparable across competitors and time periods.
2. **Fact-based analysis**
   - Clearly separate:
     - Verified facts
     - Reasonable inferences
     - Unknowns or assumptions
   - Never fabricate data.
3. **Business relevance**
   - Focus on insights that influence:
     - Buyer choice
     - Willingness to pay
     - Differentiation
     - Switching costs
   - Avoid unprioritized feature dumps.
4. **Transparency**
   - Explicitly list assumptions and gaps.
   - Cite sources whenever possible.
---
## Default Workflow
When a competitor is requested (unless the user specifies otherwise):
1. Identify:
   - Competitor name
   - Product(s)
   - Target segment and geography
   - Comparison target (e.g., “vs us”)
2. Research:
   - Product capabilities
   - Pricing and packaging
   - Positioning and messaging
   - Go-to-market signals
3. Synthesize findings into:
   - Strengths
   - Weaknesses
   - Competitive implications
4. Output the results using the **Standard Competitive Brief Template** below.
---
## Standard Competitive Brief Template (MANDATORY OUTPUT FORMAT)
### 1. Brief Metadata
- Competitor Name:
- Products / SKUs Covered:
- Market / Segment:
- Geography:
- Primary Comparison Target:
- Date Created:
- Confidence Level (High / Medium / Low):
---
### 2. Executive Summary (TL;DR)
Provide 3–5 bullets answering:
- Why this competitor matters
- Where they are strongest
- Where they are weakest
- Net takeaway for us
---
### 3. Company &amp; Product Overview
- Company description (use their own language where possible)
- Core products
- Primary use cases
- Target buyer and user
- Customer profile signals
---
### 4. Product Capabilities
**Core Capabilities**
| Capability Area | Description | Notes |
|-----------------|------------|-------|
**Differentiators (Their Claims)**
- …
**Gaps / Limitations**
- …
**Product Maturity Signals**
- Release cadence
- Platform depth
- Integrations / ecosystem
- Roadmap signals (if public)
---
### 5. Pricing &amp; Packaging
**Pricing Model**
- Model type
- Entry point
- Contract assumptions
**Published Pricing (if available)**
| Tier / Plan | Price | Key Inclusions | Key Exclusions |
**Packaging Strategy Insights**
- What is gated
- Upsell strategy
- Trial / discounting behavior
---
### 6. Positioning &amp; Messaging
- Core value proposition
- Primary messaging themes
- Buyer personas targeted
- Competitive framing patterns
---
### 7. Go-To-Market Signals
- Sales motion
- Channels
- Content strategy
- Geographic emphasis
---
### 8. Strengths in Competitive Deals
- Where they win
- Why buyers choose them
- Checklist advantages
---
### 9. Weaknesses &amp; Objection Angles
- Where they struggle
- Buyer concerns
- Tradeoffs customers accept
---
### 10. Competitive Implications for Us
**Strategic Risks**
- …
**Opportunities**
- …
**Recommended Actions**
- Product
- Pricing / Packaging
- Messaging
- Sales enablement
---
### 11. Comparison Snapshot (Optional)
| Dimension | Competitor | Us | Notes |
|---------|------------|----|------|
---
### 12. Assumptions &amp; Open Questions
- Assumptions made
- Unknowns / gaps
- Recommended follow-up research
---
### 13. Sources
List all public sources used (links or citations).
---
## Comparison Mode Rules
When multiple competitors are requested:
- Use side-by-side tables
- Normalize terminology and pricing units
- Highlight meaningful differences only
- Call out unclear or missing data explicitly
---
## What You Must NOT Do
- Do not guess prices or capabilities without labeling them as estimates
- Do not use confidential, leaked, or gated information
- Do not use marketing language
- Do not present opinions as facts
- Do not omit assumptions or sources
---
## Tone &amp; Style
- Neutral, analytical, and precise
- Written for product, strategy, and operations leaders
- Clear enough to be reused in exec readouts or internal documentation&lt;/user_input&gt;
</v>
      </c>
      <c r="AQ67" s="26">
        <f t="array" ref="AQ67">index('Response Scoring'!$I:$I,match($A67,'Response Scoring'!$A:$A,0))</f>
        <v>5</v>
      </c>
      <c r="AR67" s="26">
        <f t="shared" si="17"/>
        <v>1</v>
      </c>
      <c r="AS67" s="30">
        <f t="shared" si="18"/>
        <v>10</v>
      </c>
      <c r="AT67" s="26">
        <f t="shared" si="19"/>
        <v>43.625</v>
      </c>
      <c r="AU67" s="26">
        <f t="shared" si="20"/>
        <v>87.25</v>
      </c>
      <c r="AV67" s="26" t="str">
        <f t="shared" si="21"/>
        <v>AI Expert</v>
      </c>
      <c r="AW67" s="26" t="str">
        <f>'Raw Data'!U63</f>
        <v/>
      </c>
      <c r="AX67" s="26" t="str">
        <f>'Raw Data'!V63</f>
        <v/>
      </c>
      <c r="AY67" s="26" t="str">
        <f>'Raw Data'!W63</f>
        <v/>
      </c>
      <c r="AZ67" s="26" t="str">
        <f>'Raw Data'!X63</f>
        <v/>
      </c>
      <c r="BA67" s="26" t="str">
        <f>'Raw Data'!Y63</f>
        <v/>
      </c>
      <c r="BB67" s="26" t="str">
        <f>'Raw Data'!Z63</f>
        <v/>
      </c>
      <c r="BW67" s="31" t="str">
        <f>'Raw Data'!C63</f>
        <v>Digital &amp; eCommerce</v>
      </c>
      <c r="BZ67" s="26" t="str">
        <f>'Raw Data'!F63</f>
        <v>Individual Contributor</v>
      </c>
      <c r="CA67" s="31" t="str">
        <f>'Raw Data'!AU63</f>
        <v>Cleaning or restructuring data again and again before AI can help. Unclear prompt because the problem itself isn't well defined yet.</v>
      </c>
      <c r="CB67" s="31" t="str">
        <f>'Raw Data'!AV63</f>
        <v>I've been using for personal activities other AI tooks such as Perplexity and Claude</v>
      </c>
      <c r="CC67" s="31" t="str">
        <f>'Raw Data'!AW63</f>
        <v>Strongly agree</v>
      </c>
    </row>
    <row r="68" ht="15.75" customHeight="1">
      <c r="A68" s="26">
        <f>'Raw Data'!$A64</f>
        <v>62</v>
      </c>
      <c r="B68" s="26" t="str">
        <f>'Raw Data'!$G64</f>
        <v>Daily</v>
      </c>
      <c r="C68" s="26">
        <f t="shared" si="1"/>
        <v>1</v>
      </c>
      <c r="D68" s="26" t="str">
        <f>'Raw Data'!$H64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68" s="26">
        <f t="shared" si="2"/>
        <v>3</v>
      </c>
      <c r="F68" s="27">
        <f t="shared" si="3"/>
        <v>1</v>
      </c>
      <c r="G68" s="26" t="str">
        <f>'Raw Data'!$I64</f>
        <v>I create fresh prompts each time I use AI</v>
      </c>
      <c r="H68" s="26">
        <f t="shared" si="4"/>
        <v>0.25</v>
      </c>
      <c r="I68" s="26" t="str">
        <f>'Raw Data'!$J64</f>
        <v>Create a systematic process where AI handles data analysis and summary generation consistently</v>
      </c>
      <c r="J68" s="26">
        <f t="shared" si="5"/>
        <v>1</v>
      </c>
      <c r="K68" s="26" t="str">
        <f>'Raw Data'!$K64</f>
        <v>I would use AI to get up to speed fast by summarizing the topic, key terminology, and business implications, then validate critical points with trusted sources</v>
      </c>
      <c r="L68" s="26" t="s">
        <v>302</v>
      </c>
      <c r="M68" s="28" t="str">
        <f>substitute('Prompt Template'!$A$2,$K$5,$L68)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get up to speed fast by summarizing the topic, key terminology, and business implications, then validate critical points with trusted sources&lt;/user_input&gt;</v>
      </c>
      <c r="N68" s="26">
        <f t="array" ref="N68">index('Response Scoring'!$C:$C,match($A68,'Response Scoring'!$A:$A,0))</f>
        <v>1</v>
      </c>
      <c r="O68" s="29">
        <f t="shared" si="6"/>
        <v>0.3333333333</v>
      </c>
      <c r="P68" s="26" t="str">
        <f>'Raw Data'!$L64</f>
        <v>I primarily use AI as a strategic thinking partner to synthesize information, clarify perspective, and support senior-level marketing work. It helps me work more efficiently by sharpening positioning, messaging, and audience-relevant insights, and by reducing time spent on analysis and decision-making. I also use AI to reflect on my own workflows and improve how I work.</v>
      </c>
      <c r="Q68" s="26" t="s">
        <v>303</v>
      </c>
      <c r="R68" s="28" t="str">
        <f>substitute('Prompt Template'!$B$2,$P$5,$Q68)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primarily use AI as a strategic thinking partner to synthesize information, clarify perspective, and support senior-level marketing work. It helps me work more efficiently by sharpening positioning, messaging, and audience-relevant insights, and by reducing time spent on analysis and decision-making. I also use AI to reflect on my own workflows and improve how I work.&lt;/user_input&gt;</v>
      </c>
      <c r="S68" s="26">
        <f t="array" ref="S68">index('Response Scoring'!$E:$E,match($A68,'Response Scoring'!$A:$A,0))</f>
        <v>2</v>
      </c>
      <c r="T68" s="29">
        <f t="shared" si="7"/>
        <v>0.6666666667</v>
      </c>
      <c r="U68" s="29">
        <f t="shared" si="8"/>
        <v>6.583333333</v>
      </c>
      <c r="V68" s="26" t="str">
        <f>'Raw Data'!$M64</f>
        <v>Analyzing presentation slides to evaluate both the visual design and written content for consistency</v>
      </c>
      <c r="W68" s="26">
        <f t="shared" si="9"/>
        <v>1</v>
      </c>
      <c r="X68" s="26" t="str">
        <f>'Raw Data'!$N64</f>
        <v>Hallucinations (generating false or misleading information), Data privacy concerns when information is shared with an LLM, Biases in answers</v>
      </c>
      <c r="Y68" s="26">
        <f t="shared" si="10"/>
        <v>0.75</v>
      </c>
      <c r="Z68" s="26" t="str">
        <f>'Raw Data'!$O64</f>
        <v>Only share information that you would be comfortable sharing internally with a colleague, Anonymize information by removing identifying details, Use secure company instances or enterprise plans when available</v>
      </c>
      <c r="AA68" s="29">
        <f t="shared" si="11"/>
        <v>1</v>
      </c>
      <c r="AB68" s="26" t="str">
        <f>'Raw Data'!$P64</f>
        <v>Always: I routinely cross-check AI outputs with reliable sources</v>
      </c>
      <c r="AC68" s="26">
        <f t="shared" si="12"/>
        <v>1</v>
      </c>
      <c r="AD68" s="26" t="str">
        <f>'Raw Data'!$Q64</f>
        <v>Cross-reference key claims with reliable external sources, Verify any calculations or data analysis independently, Ask the same AI tool to double-check its work for accuracy</v>
      </c>
      <c r="AE68" s="26">
        <f t="shared" si="13"/>
        <v>0.75</v>
      </c>
      <c r="AF68" s="30">
        <f t="shared" si="14"/>
        <v>9</v>
      </c>
      <c r="AG68" s="26" t="str">
        <f>'Raw Data'!$R64</f>
        <v>Frequently: I systematically refine prompts until I'm satisfied</v>
      </c>
      <c r="AH68" s="26">
        <f t="shared" si="15"/>
        <v>1</v>
      </c>
      <c r="AI68" s="26" t="str">
        <f>'Raw Data'!$S64</f>
        <v>You are a strategic advisor with deep knowledge of Autodesk, our customers, and the design and make industries. Help me prepare for an internal meeting to discuss a new initiative or proposal. Provide a concise, executive-ready summary that clearly frames the business context, the problem to solve, and the proposed approach. Include key stakeholder considerations, top risks, success metrics, and recommended talking points. Optimize for senior leaders by keeping the output brief, structured, and focused on decision-making.</v>
      </c>
      <c r="AJ68" s="26" t="s">
        <v>304</v>
      </c>
      <c r="AK68" s="28" t="str">
        <f>substitute('Prompt Template'!$C$2,$AI$5,$AJ68)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strategic advisor with deep knowledge of Autodesk, our customers, and the design and make industries. Help me prepare for an internal meeting to discuss a new initiative or proposal. Provide a concise, executive-ready summary that clearly frames the business context, the problem to solve, and the proposed approach. Include key stakeholder considerations, top risks, success metrics, and recommended talking points. Optimize for senior leaders by keeping the output brief, structured, and focused on decision-making.&lt;/prompt&gt;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strategic advisor with deep knowledge of Autodesk, our customers, and the design and make industries. Help me prepare for an internal meeting to discuss a new initiative or proposal. Provide a concise, executive-ready summary that clearly frames the business context, the problem to solve, and the proposed approach. Include key stakeholder considerations, top risks, success metrics, and recommended talking points. Optimize for senior leaders by keeping the output brief, structured, and focused on decision-making.&lt;/user_input&gt;</v>
      </c>
      <c r="AL68" s="26">
        <f t="array" ref="AL68">index('Response Scoring'!$G:$G,match($A68,'Response Scoring'!$A:$A,0))</f>
        <v>4</v>
      </c>
      <c r="AM68" s="26">
        <f t="shared" si="16"/>
        <v>0.8</v>
      </c>
      <c r="AN68" s="26" t="str">
        <f>'Raw Data'!$T64</f>
        <v># Custom GPT Instructions  
## Competitive Intelligence Analyst for Autodesk
### Role Definition
You are an AI Competitive Intelligence Analyst supporting Autodesk teams. Your job is to deliver consistent, evidence-based competitive intelligence on products, pricing, positioning, and go-to-market strategy. Your outputs must be structured, comparable across competitors, and suitable for executive review, marketing strategy, product planning, and sales enablement.
You prioritize accuracy, clarity, and usefulness over volume.
---
## Primary Objective
Enable Autodesk teams to quickly understand:
- How a competitor competes
- Where they are strong or vulnerable
- What their strategy signals about the market
- What it means for Autodesk’s positioning and decisions
A reader should be able to scan your output in under 5 minutes and act on it.
---
## Operating Principles
### 1. Always Anchor on Context
At the start of every response:
- Identify the competitor, product(s), segment, customer type, and geography.
- If the prompt is vague, make explicit assumptions and label them clearly.
- Do not proceed with analysis without a defined competitive frame.
---
### 2. Follow a Standard Intelligence Framework
Unless explicitly instructed otherwise, structure all analysis using the following lenses:
#### Product
- Core capabilities and workflows supported
- Differentiation versus category norms
- Platform maturity and extensibility
- Ecosystem, integrations, and partners
#### Pricing and Packaging
- Pricing model (subscription, usage-based, perpetual, freemium)
- Tiers, bundles, and feature gating
- Transparency of pricing
- Notable pricing tactics (land-and-expand, aggressive entry pricing, enterprise lock-in)
#### Target Customers and Use Cases
- Primary industries and roles targeted
- Customer size and sophistication
- Jobs-to-be-done the product emphasizes
#### Positioning and Messaging
- Core value propositions and proof points
- Language and narratives repeated across channels
- Competitive framing (what they attack or ignore)
#### Go-To-Market Signals
- Sales motion (self-serve, sales-led, hybrid)
- Partner strategy
- Geographic or vertical focus
- Recent launches, acquisitions, or pivots (last 12–18 months)
---
### 3. Source Discipline Is Mandatory
You must:
- Use only public, reputable sources.
- Prioritize first-party competitor materials, then third-party validation.
- Cross-check claims when possible.
Accepted sources include:
- Official product and pricing pages
- Press releases and investor materials
- Analyst reports (Gartner, Forrester, IDC)
- Review platforms (G2, TrustRadius)
- Reputable industry publications
Rules:
- Cite all sources at the end with links and dates.
- Never invent features, pricing, or roadmap details.
- Clearly label inference or hypothesis as such.
---
### 4. Analyze, Do Not Paraphrase
Your value is interpretation.
You must:
- Translate facts into implications for Autodesk.
- Identify patterns, inconsistencies, or strategic intent.
- Call out where positioning is strong, weak, or unsubstantiated.
- Separate what the competitor claims from what evidence supports.
Avoid:
- Copying marketing language without critique
- Neutral summaries with no insight
- Generic SWOT-style filler
---
### 5. Explicitly Surface Uncertainty
If information is missing or unclear:
- State what is unknown
- Explain why it matters
- Suggest how a team could validate it
This builds trust and prevents false confidence.
---
### 6. Output Format (Default)
Use this structure unless instructed otherwise:
#### Executive Summary
5–7 bullets highlighting the most important competitive takeaways.
#### Detailed Analysis
Organized by:
- Product
- Pricing and Packaging
- Target Customers and Use Cases
- Positioning and Messaging
- Go-To-Market Signals
#### Implications for Autodesk
- Clear, action-oriented insights
- Where Autodesk is advantaged, at risk, or misaligned
#### Open Questions and Gaps
- What remains unknown
- Why it matters
#### Sources
- Bullet list of links with publication dates
---
### 7. Optimize for Reuse
- Use concise, slide-ready language.
- Favor bullets, tables, and comparisons.
- Be consistent in terminology across analyses.
- Avoid unnecessary prose.
Your output should be easy to reuse in:
- Competitive briefs
- Strategy decks
- Sales enablement materials
---
## Constraints
- Do not use confidential or non-public Autodesk information.
- Do not speculate without labeling it clearly.
- Do not express personal opinions or marketing hype.
---
## Success Criteria
A strong response allows an Autodesk marketer, PM, or sales leader to:
- Understand a competitor quickly
- Confidently compare them to Autodesk
- Make informed positioning, pricing, or product decisions based on evidence</v>
      </c>
      <c r="AO68" s="26" t="s">
        <v>305</v>
      </c>
      <c r="AP68" s="28" t="str">
        <f>substitute('Prompt Template'!$D$2,$AN$5,$AO68)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GPT Instructions  
## Competitive Intelligence Analyst for Autodesk
### Role Definition
You are an AI Competitive Intelligence Analyst supporting Autodesk teams. Your job is to deliver consistent, evidence-based competitive intelligence on products, pricing, positioning, and go-to-market strategy. Your outputs must be structured, comparable across competitors, and suitable for executive review, marketing strategy, product planning, and sales enablement.
You prioritize accuracy, clarity, and usefulness over volume.
---
## Primary Objective
Enable Autodesk teams to quickly understand:
- How a competitor competes
- Where they are strong or vulnerable
- What their strategy signals about the market
- What it means for Autodesk’s positioning and decisions
A reader should be able to scan your output in under 5 minutes and act on it.
---
## Operating Principles
### 1. Always Anchor on Context
At the start of every response:
- Identify the competitor, product(s), segment, customer type, and geography.
- If the prompt is vague, make explicit assumptions and label them clearly.
- Do not proceed with analysis without a defined competitive frame.
---
### 2. Follow a Standard Intelligence Framework
Unless explicitly instructed otherwise, structure all analysis using the following lenses:
#### Product
- Core capabilities and workflows supported
- Differentiation versus category norms
- Platform maturity and extensibility
- Ecosystem, integrations, and partners
#### Pricing and Packaging
- Pricing model (subscription, usage-based, perpetual, freemium)
- Tiers, bundles, and feature gating
- Transparency of pricing
- Notable pricing tactics (land-and-expand, aggressive entry pricing, enterprise lock-in)
#### Target Customers and Use Cases
- Primary industries and roles targeted
- Customer size and sophistication
- Jobs-to-be-done the product emphasizes
#### Positioning and Messaging
- Core value propositions and proof points
- Language and narratives repeated across channels
- Competitive framing (what they attack or ignore)
#### Go-To-Market Signals
- Sales motion (self-serve, sales-led, hybrid)
- Partner strategy
- Geographic or vertical focus
- Recent launches, acquisitions, or pivots (last 12–18 months)
---
### 3. Source Discipline Is Mandatory
You must:
- Use only public, reputable sources.
- Prioritize first-party competitor materials, then third-party validation.
- Cross-check claims when possible.
Accepted sources include:
- Official product and pricing pages
- Press releases and investor materials
- Analyst reports (Gartner, Forrester, IDC)
- Review platforms (G2, TrustRadius)
- Reputable industry publications
Rules:
- Cite all sources at the end with links and dates.
- Never invent features, pricing, or roadmap details.
- Clearly label inference or hypothesis as such.
---
### 4. Analyze, Do Not Paraphrase
Your value is interpretation.
You must:
- Translate facts into implications for Autodesk.
- Identify patterns, inconsistencies, or strategic intent.
- Call out where positioning is strong, weak, or unsubstantiated.
- Separate what the competitor claims from what evidence supports.
Avoid:
- Copying marketing language without critique
- Neutral summaries with no insight
- Generic SWOT-style filler
---
### 5. Explicitly Surface Uncertainty
If information is missing or unclear:
- State what is unknown
- Explain why it matters
- Suggest how a team could validate it
This builds trust and prevents false confidence.
---
### 6. Output Format (Default)
Use this structure unless instructed otherwise:
#### Executive Summary
5–7 bullets highlighting the most important competitive takeaways.
#### Detailed Analysis
Organized by:
- Product
- Pricing and Packaging
- Target Customers and Use Cases
- Positioning and Messaging
- Go-To-Market Signals
#### Implications for Autodesk
- Clear, action-oriented insights
- Where Autodesk is advantaged, at risk, or misaligned
#### Open Questions and Gaps
- What remains unknown
- Why it matters
#### Sources
- Bullet list of links with publication dates
---
### 7. Optimize for Reuse
- Use concise, slide-ready language.
- Favor bullets, tables, and comparisons.
- Be consistent in terminology across analyses.
- Avoid unnecessary prose.
Your output should be easy to reuse in:
- Competitive briefs
- Strategy decks
- Sales enablement materials
---
## Constraints
- Do not use confidential or non-public Autodesk information.
- Do not speculate without labeling it clearly.
- Do not express personal opinions or marketing hype.
---
## Success Criteria
A strong response allows an Autodesk marketer, PM, or sales leader to:
- Understand a competitor quickly
- Confidently compare them to Autodesk
- Make informed positioning, pricing, or product decisions based on evidence&lt;/user_input&gt;
</v>
      </c>
      <c r="AQ68" s="26">
        <f t="array" ref="AQ68">index('Response Scoring'!$I:$I,match($A68,'Response Scoring'!$A:$A,0))</f>
        <v>5</v>
      </c>
      <c r="AR68" s="26">
        <f t="shared" si="17"/>
        <v>1</v>
      </c>
      <c r="AS68" s="30">
        <f t="shared" si="18"/>
        <v>9.3</v>
      </c>
      <c r="AT68" s="26">
        <f t="shared" si="19"/>
        <v>41.975</v>
      </c>
      <c r="AU68" s="26">
        <f t="shared" si="20"/>
        <v>83.95</v>
      </c>
      <c r="AV68" s="26" t="str">
        <f t="shared" si="21"/>
        <v>AI Expert</v>
      </c>
      <c r="AW68" s="26" t="str">
        <f>'Raw Data'!U64</f>
        <v/>
      </c>
      <c r="AX68" s="26" t="str">
        <f>'Raw Data'!V64</f>
        <v/>
      </c>
      <c r="AY68" s="26" t="str">
        <f>'Raw Data'!W64</f>
        <v/>
      </c>
      <c r="AZ68" s="26" t="str">
        <f>'Raw Data'!X64</f>
        <v/>
      </c>
      <c r="BA68" s="26" t="str">
        <f>'Raw Data'!Y64</f>
        <v/>
      </c>
      <c r="BB68" s="26" t="str">
        <f>'Raw Data'!Z64</f>
        <v/>
      </c>
      <c r="BW68" s="31" t="str">
        <f>'Raw Data'!C64</f>
        <v>Education</v>
      </c>
      <c r="BZ68" s="26" t="str">
        <f>'Raw Data'!F64</f>
        <v>Individual Contributor</v>
      </c>
      <c r="CA68" s="31" t="str">
        <f>'Raw Data'!AU64</f>
        <v>There is a lack of clear guidance on how AI can be used in customer-facing creative.</v>
      </c>
      <c r="CB68" s="31" t="str">
        <f>'Raw Data'!AV64</f>
        <v>n/a</v>
      </c>
      <c r="CC68" s="31" t="str">
        <f>'Raw Data'!AW64</f>
        <v>Strongly agree</v>
      </c>
    </row>
    <row r="69" ht="15.75" customHeight="1">
      <c r="A69" s="26">
        <f>'Raw Data'!$A65</f>
        <v>63</v>
      </c>
      <c r="B69" s="26" t="str">
        <f>'Raw Data'!$G65</f>
        <v>Several times a week</v>
      </c>
      <c r="C69" s="26">
        <f t="shared" si="1"/>
        <v>0.75</v>
      </c>
      <c r="D69" s="26" t="str">
        <f>'Raw Data'!$H65</f>
        <v>Editing or improving text I've already written (emails, documents, presentations), Brainstorming ideas, testing concepts, or getting feedback on my thinking</v>
      </c>
      <c r="E69" s="26">
        <f t="shared" si="2"/>
        <v>2</v>
      </c>
      <c r="F69" s="27">
        <f t="shared" si="3"/>
        <v>0.6666666667</v>
      </c>
      <c r="G69" s="26" t="str">
        <f>'Raw Data'!$I65</f>
        <v>I create fresh prompts each time I use AI</v>
      </c>
      <c r="H69" s="26">
        <f t="shared" si="4"/>
        <v>0.25</v>
      </c>
      <c r="I69" s="26" t="str">
        <f>'Raw Data'!$J65</f>
        <v>Create a systematic process where AI handles data analysis and summary generation consistently</v>
      </c>
      <c r="J69" s="26">
        <f t="shared" si="5"/>
        <v>1</v>
      </c>
      <c r="K69" s="26" t="str">
        <f>'Raw Data'!$K65</f>
        <v>I would use AI to identify gaps in reasoning, clarify and consolidate info</v>
      </c>
      <c r="L69" s="26" t="s">
        <v>306</v>
      </c>
      <c r="M69" s="28" t="str">
        <f>substitute('Prompt Template'!$A$2,$K$5,$L69)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identify gaps in reasoning, clarify and consolidate info&lt;/user_input&gt;</v>
      </c>
      <c r="N69" s="26">
        <f t="array" ref="N69">index('Response Scoring'!$C:$C,match($A69,'Response Scoring'!$A:$A,0))</f>
        <v>1</v>
      </c>
      <c r="O69" s="29">
        <f t="shared" si="6"/>
        <v>0.3333333333</v>
      </c>
      <c r="P69" s="26" t="str">
        <f>'Raw Data'!$L65</f>
        <v>It helps me write more concise communications to my team, and helps ensure the correct tone.</v>
      </c>
      <c r="Q69" s="26" t="s">
        <v>307</v>
      </c>
      <c r="R69" s="28" t="str">
        <f>substitute('Prompt Template'!$B$2,$P$5,$Q69)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write more concise communications to my team, and helps ensure the correct tone.&lt;/user_input&gt;</v>
      </c>
      <c r="S69" s="26">
        <f t="array" ref="S69">index('Response Scoring'!$E:$E,match($A69,'Response Scoring'!$A:$A,0))</f>
        <v>1</v>
      </c>
      <c r="T69" s="29">
        <f t="shared" si="7"/>
        <v>0.3333333333</v>
      </c>
      <c r="U69" s="29">
        <f t="shared" si="8"/>
        <v>4.625</v>
      </c>
      <c r="V69" s="26" t="str">
        <f>'Raw Data'!$M65</f>
        <v>Analyzing presentation slides to evaluate both the visual design and written content for consistency</v>
      </c>
      <c r="W69" s="26">
        <f t="shared" si="9"/>
        <v>1</v>
      </c>
      <c r="X69" s="26" t="str">
        <f>'Raw Data'!$N65</f>
        <v>Hallucinations (generating false or misleading information), Data privacy concerns when information is shared with an LLM, Biases in answers</v>
      </c>
      <c r="Y69" s="26">
        <f t="shared" si="10"/>
        <v>0.75</v>
      </c>
      <c r="Z69" s="26" t="str">
        <f>'Raw Data'!$O65</f>
        <v>Anonymize information by removing identifying details, Use secure company instances or enterprise plans when available, Verify that the AI tool has SSL/HTTPS encryption before using it</v>
      </c>
      <c r="AA69" s="29">
        <f t="shared" si="11"/>
        <v>0</v>
      </c>
      <c r="AB69" s="26" t="str">
        <f>'Raw Data'!$P65</f>
        <v>Sometimes: I do a quick check against known data or references</v>
      </c>
      <c r="AC69" s="26">
        <f t="shared" si="12"/>
        <v>0.67</v>
      </c>
      <c r="AD69" s="26" t="str">
        <f>'Raw Data'!$Q65</f>
        <v>Cross-reference key claims with reliable external sources, Look for professional formatting and proper grammar, Ask the same AI tool to double-check its work for accuracy, Verify any calculations or data analysis independently</v>
      </c>
      <c r="AE69" s="26">
        <f t="shared" si="13"/>
        <v>0</v>
      </c>
      <c r="AF69" s="30">
        <f t="shared" si="14"/>
        <v>4.84</v>
      </c>
      <c r="AG69" s="26" t="str">
        <f>'Raw Data'!$R65</f>
        <v>Sometimes: I iterate 2-3 times to reach a good result</v>
      </c>
      <c r="AH69" s="26">
        <f t="shared" si="15"/>
        <v>0.67</v>
      </c>
      <c r="AI69" s="26" t="str">
        <f>'Raw Data'!$S65</f>
        <v>I am preparing for a meeting to discuss XYZ new proposal. I would like to accomplish x during this meeting. We have 45 minutes and the following individuals will be attending. Please create a sample agenda for this meeting.</v>
      </c>
      <c r="AJ69" s="26" t="s">
        <v>308</v>
      </c>
      <c r="AK69" s="28" t="str">
        <f>substitute('Prompt Template'!$C$2,$AI$5,$AJ69)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XYZ new proposal. I would like to accomplish x during this meeting. We have 45 minutes and the following individuals will be attending. Please create a sample agenda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XYZ new proposal. I would like to accomplish x during this meeting. We have 45 minutes and the following individuals will be attending. Please create a sample agenda for this meeting.&lt;/user_input&gt;</v>
      </c>
      <c r="AL69" s="26">
        <f t="array" ref="AL69">index('Response Scoring'!$G:$G,match($A69,'Response Scoring'!$A:$A,0))</f>
        <v>2</v>
      </c>
      <c r="AM69" s="26">
        <f t="shared" si="16"/>
        <v>0.4</v>
      </c>
      <c r="AN69" s="26" t="str">
        <f>'Raw Data'!$T65</f>
        <v>I want to understand my competitors products, pricing and positioning. Every x number of days investigate xyz companies on their homepages and reseller pages  and compile info on their products pricing and positioning. Compare this to last week's findings which can be found here and create a summary of what has changed for each company.</v>
      </c>
      <c r="AO69" s="26" t="s">
        <v>309</v>
      </c>
      <c r="AP69" s="28" t="str">
        <f>substitute('Prompt Template'!$D$2,$AN$5,$AO69)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want to understand my competitors products, pricing and positioning. Every x number of days investigate xyz companies on their homepages and reseller pages  and compile info on their products pricing and positioning. Compare this to last week's findings which can be found here and create a summary of what has changed for each company.&lt;/user_input&gt;
</v>
      </c>
      <c r="AQ69" s="26">
        <f t="array" ref="AQ69">index('Response Scoring'!$I:$I,match($A69,'Response Scoring'!$A:$A,0))</f>
        <v>2</v>
      </c>
      <c r="AR69" s="26">
        <f t="shared" si="17"/>
        <v>0.4</v>
      </c>
      <c r="AS69" s="30">
        <f t="shared" si="18"/>
        <v>4.405</v>
      </c>
      <c r="AT69" s="26">
        <f t="shared" si="19"/>
        <v>23.0075</v>
      </c>
      <c r="AU69" s="26">
        <f t="shared" si="20"/>
        <v>46.015</v>
      </c>
      <c r="AV69" s="26" t="str">
        <f t="shared" si="21"/>
        <v>AI Experimenter</v>
      </c>
      <c r="AW69" s="26" t="str">
        <f>'Raw Data'!U65</f>
        <v/>
      </c>
      <c r="AX69" s="26" t="str">
        <f>'Raw Data'!V65</f>
        <v/>
      </c>
      <c r="AY69" s="26" t="str">
        <f>'Raw Data'!W65</f>
        <v/>
      </c>
      <c r="AZ69" s="26" t="str">
        <f>'Raw Data'!X65</f>
        <v/>
      </c>
      <c r="BA69" s="26" t="str">
        <f>'Raw Data'!Y65</f>
        <v/>
      </c>
      <c r="BB69" s="26" t="str">
        <f>'Raw Data'!Z65</f>
        <v/>
      </c>
      <c r="BW69" s="31" t="str">
        <f>'Raw Data'!C65</f>
        <v>Acquisition &amp; Performance Marketing</v>
      </c>
      <c r="BZ69" s="26" t="str">
        <f>'Raw Data'!F65</f>
        <v>Manager or Senior Manager</v>
      </c>
      <c r="CA69" s="31" t="str">
        <f>'Raw Data'!AU65</f>
        <v/>
      </c>
      <c r="CB69" s="31" t="str">
        <f>'Raw Data'!AV65</f>
        <v>none</v>
      </c>
      <c r="CC69" s="31" t="str">
        <f>'Raw Data'!AW65</f>
        <v>Neutral</v>
      </c>
    </row>
    <row r="70" ht="15.75" customHeight="1">
      <c r="A70" s="26">
        <f>'Raw Data'!$A66</f>
        <v>64</v>
      </c>
      <c r="B70" s="26" t="str">
        <f>'Raw Data'!$G66</f>
        <v>Daily</v>
      </c>
      <c r="C70" s="26">
        <f t="shared" si="1"/>
        <v>1</v>
      </c>
      <c r="D70" s="26" t="str">
        <f>'Raw Data'!$H66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70" s="26">
        <f t="shared" si="2"/>
        <v>2</v>
      </c>
      <c r="F70" s="27">
        <f t="shared" si="3"/>
        <v>0.6666666667</v>
      </c>
      <c r="G70" s="26" t="str">
        <f>'Raw Data'!$I66</f>
        <v>I create fresh prompts each time I use AI</v>
      </c>
      <c r="H70" s="26">
        <f t="shared" si="4"/>
        <v>0.25</v>
      </c>
      <c r="I70" s="26" t="str">
        <f>'Raw Data'!$J66</f>
        <v>Create a systematic process where AI handles data analysis and summary generation consistently</v>
      </c>
      <c r="J70" s="26">
        <f t="shared" si="5"/>
        <v>1</v>
      </c>
      <c r="K70" s="26" t="str">
        <f>'Raw Data'!$K66</f>
        <v>1. Use AI to build baseline understanding and context on the unfamiliar topic.
2. Use AI to help structure a clear storyline and define the key takeaways before building slides.
3. Create presentation and use AI to review content and/or provide suggestions before finalizing presentation. 
4. Ask AI to provide speaker notes using final presentation.</v>
      </c>
      <c r="L70" s="26" t="s">
        <v>310</v>
      </c>
      <c r="M70" s="28" t="str">
        <f>substitute('Prompt Template'!$A$2,$K$5,$L70)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Use AI to build baseline understanding and context on the unfamiliar topic.
2. Use AI to help structure a clear storyline and define the key takeaways before building slides.
3. Create presentation and use AI to review content and/or provide suggestions before finalizing presentation. 
4. Ask AI to provide speaker notes using final presentation.&lt;/user_input&gt;</v>
      </c>
      <c r="N70" s="26">
        <f t="array" ref="N70">index('Response Scoring'!$C:$C,match($A70,'Response Scoring'!$A:$A,0))</f>
        <v>3</v>
      </c>
      <c r="O70" s="29">
        <f t="shared" si="6"/>
        <v>1</v>
      </c>
      <c r="P70" s="26" t="str">
        <f>'Raw Data'!$L66</f>
        <v>To improve time efficiency when analyzing data by accelerating data analysis and insight generation that would otherwise require manual, time‑consuming effort.</v>
      </c>
      <c r="Q70" s="26" t="s">
        <v>311</v>
      </c>
      <c r="R70" s="28" t="str">
        <f>substitute('Prompt Template'!$B$2,$P$5,$Q70)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improve time efficiency when analyzing data by accelerating data analysis and insight generation that would otherwise require manual, time‑consuming effort.&lt;/user_input&gt;</v>
      </c>
      <c r="S70" s="26">
        <f t="array" ref="S70">index('Response Scoring'!$E:$E,match($A70,'Response Scoring'!$A:$A,0))</f>
        <v>1</v>
      </c>
      <c r="T70" s="29">
        <f t="shared" si="7"/>
        <v>0.3333333333</v>
      </c>
      <c r="U70" s="29">
        <f t="shared" si="8"/>
        <v>6.083333333</v>
      </c>
      <c r="V70" s="26" t="str">
        <f>'Raw Data'!$M66</f>
        <v>Analyzing presentation slides to evaluate both the visual design and written content for consistency</v>
      </c>
      <c r="W70" s="26">
        <f t="shared" si="9"/>
        <v>1</v>
      </c>
      <c r="X70" s="26" t="str">
        <f>'Raw Data'!$N66</f>
        <v>Hallucinations (generating false or misleading information), Biases in answers, Data privacy concerns when information is shared with an LLM</v>
      </c>
      <c r="Y70" s="26">
        <f t="shared" si="10"/>
        <v>0.75</v>
      </c>
      <c r="Z70" s="26" t="str">
        <f>'Raw Data'!$O66</f>
        <v>Anonymize information by removing identifying details</v>
      </c>
      <c r="AA70" s="29">
        <f t="shared" si="11"/>
        <v>0.5</v>
      </c>
      <c r="AB70" s="26" t="str">
        <f>'Raw Data'!$P66</f>
        <v>Sometimes: I do a quick check against known data or references</v>
      </c>
      <c r="AC70" s="26">
        <f t="shared" si="12"/>
        <v>0.67</v>
      </c>
      <c r="AD70" s="26" t="str">
        <f>'Raw Data'!$Q66</f>
        <v>Cross-reference key claims with reliable external sources, Verify any calculations or data analysis independently, Check if the response uses confident language and specific details</v>
      </c>
      <c r="AE70" s="26">
        <f t="shared" si="13"/>
        <v>0</v>
      </c>
      <c r="AF70" s="30">
        <f t="shared" si="14"/>
        <v>5.84</v>
      </c>
      <c r="AG70" s="26" t="str">
        <f>'Raw Data'!$R66</f>
        <v>Frequently: I systematically refine prompts until I'm satisfied</v>
      </c>
      <c r="AH70" s="26">
        <f t="shared" si="15"/>
        <v>1</v>
      </c>
      <c r="AI70" s="26" t="str">
        <f>'Raw Data'!$S66</f>
        <v>Context: I am preparing for a work meeting to discuss a new initiative with cross-functional stakeholders. Below are the meeting details:
Initiative (topic):
Meeting Audience (teams):
My role: 
Goal of the meeting: alignment, feedback and next steps
What I need from you:
Executive summary
A short overview of the initiative, why it matters, and what is being asked.
Discussion prep
Likely questions I’ll be asked
Smart questions I should ask
A concise opening and closing talk track
Style guidance
Keep clear and concise
Focus on outcomes and impact
Be clear and neutral
Do not invent details—flag gaps as open questions</v>
      </c>
      <c r="AJ70" s="26" t="s">
        <v>312</v>
      </c>
      <c r="AK70" s="28" t="str">
        <f>substitute('Prompt Template'!$C$2,$AI$5,$AJ70)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 I am preparing for a work meeting to discuss a new initiative with cross-functional stakeholders. Below are the meeting details:
Initiative (topic):
Meeting Audience (teams):
My role: 
Goal of the meeting: alignment, feedback and next steps
What I need from you:
Executive summary
A short overview of the initiative, why it matters, and what is being asked.
Discussion prep
Likely questions I’ll be asked
Smart questions I should ask
A concise opening and closing talk track
Style guidance
Keep clear and concise
Focus on outcomes and impact
Be clear and neutral
Do not invent details—flag gaps as open questions&lt;/prompt&gt;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 I am preparing for a work meeting to discuss a new initiative with cross-functional stakeholders. Below are the meeting details:
Initiative (topic):
Meeting Audience (teams):
My role: 
Goal of the meeting: alignment, feedback and next steps
What I need from you:
Executive summary
A short overview of the initiative, why it matters, and what is being asked.
Discussion prep
Likely questions I’ll be asked
Smart questions I should ask
A concise opening and closing talk track
Style guidance
Keep clear and concise
Focus on outcomes and impact
Be clear and neutral
Do not invent details—flag gaps as open questions&lt;/user_input&gt;</v>
      </c>
      <c r="AL70" s="26">
        <f t="array" ref="AL70">index('Response Scoring'!$G:$G,match($A70,'Response Scoring'!$A:$A,0))</f>
        <v>4</v>
      </c>
      <c r="AM70" s="26">
        <f t="shared" si="16"/>
        <v>0.8</v>
      </c>
      <c r="AN70" s="26" t="str">
        <f>'Raw Data'!$T66</f>
        <v>Still building this muscle ;)</v>
      </c>
      <c r="AO70" s="26" t="s">
        <v>313</v>
      </c>
      <c r="AP70" s="28" t="str">
        <f>substitute('Prompt Template'!$D$2,$AN$5,$AO70)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&lt;user_input&gt;Still building this muscle ;)&lt;/user_input&gt;
</v>
      </c>
      <c r="AQ70" s="26">
        <f t="array" ref="AQ70">index('Response Scoring'!$I:$I,match($A70,'Response Scoring'!$A:$A,0))</f>
        <v>0</v>
      </c>
      <c r="AR70" s="26">
        <f t="shared" si="17"/>
        <v>0</v>
      </c>
      <c r="AS70" s="30">
        <f t="shared" si="18"/>
        <v>4.3</v>
      </c>
      <c r="AT70" s="26">
        <f t="shared" si="19"/>
        <v>26.485</v>
      </c>
      <c r="AU70" s="26">
        <f t="shared" si="20"/>
        <v>52.97</v>
      </c>
      <c r="AV70" s="26" t="str">
        <f t="shared" si="21"/>
        <v>AI Experimenter</v>
      </c>
      <c r="AW70" s="26" t="str">
        <f>'Raw Data'!U66</f>
        <v/>
      </c>
      <c r="AX70" s="26" t="str">
        <f>'Raw Data'!V66</f>
        <v/>
      </c>
      <c r="AY70" s="26" t="str">
        <f>'Raw Data'!W66</f>
        <v/>
      </c>
      <c r="AZ70" s="26" t="str">
        <f>'Raw Data'!X66</f>
        <v/>
      </c>
      <c r="BA70" s="26" t="str">
        <f>'Raw Data'!Y66</f>
        <v/>
      </c>
      <c r="BB70" s="26" t="str">
        <f>'Raw Data'!Z66</f>
        <v/>
      </c>
      <c r="BW70" s="31" t="str">
        <f>'Raw Data'!C66</f>
        <v>Growth &amp; Partner Marketing</v>
      </c>
      <c r="BZ70" s="26" t="str">
        <f>'Raw Data'!F66</f>
        <v>Individual Contributor</v>
      </c>
      <c r="CA70" s="31" t="str">
        <f>'Raw Data'!AU66</f>
        <v>Agents, prompts</v>
      </c>
      <c r="CB70" s="31" t="str">
        <f>'Raw Data'!AV66</f>
        <v>None</v>
      </c>
      <c r="CC70" s="31" t="str">
        <f>'Raw Data'!AW66</f>
        <v>Agree</v>
      </c>
    </row>
    <row r="71" ht="15.75" customHeight="1">
      <c r="A71" s="26">
        <f>'Raw Data'!$A67</f>
        <v>65</v>
      </c>
      <c r="B71" s="26" t="str">
        <f>'Raw Data'!$G67</f>
        <v>Daily</v>
      </c>
      <c r="C71" s="26">
        <f t="shared" si="1"/>
        <v>1</v>
      </c>
      <c r="D71" s="26" t="str">
        <f>'Raw Data'!$H67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71" s="26">
        <f t="shared" si="2"/>
        <v>3</v>
      </c>
      <c r="F71" s="27">
        <f t="shared" si="3"/>
        <v>1</v>
      </c>
      <c r="G71" s="26" t="str">
        <f>'Raw Data'!$I67</f>
        <v>I've built custom AI tools (i.e. CustomGPTs, Copilot Agents) for repetitive tasks</v>
      </c>
      <c r="H71" s="26">
        <f t="shared" si="4"/>
        <v>0.75</v>
      </c>
      <c r="I71" s="26" t="str">
        <f>'Raw Data'!$J67</f>
        <v>Create a systematic process where AI handles data analysis and summary generation consistently</v>
      </c>
      <c r="J71" s="26">
        <f t="shared" si="5"/>
        <v>1</v>
      </c>
      <c r="K71" s="26" t="str">
        <f>'Raw Data'!$K67</f>
        <v>If I had one week to create a high‑stakes presentation on an unfamiliar topic, I would use AI tools to quickly synthesize background materials, summarize related documents, and build a clear understanding of the key themes and stakeholder priorities. I’d then use AI to propose potential narratives and generate an initial slide outline, refining it as I deepen my understanding. Throughout the process, I’d validate AI outputs by cross‑checking facts against original sources, reviewing for accuracy, and adjusting the tone and framing to ensure the content reflects our business context. Finally, I’d use AI to tighten the story, strengthen transitions, and prepare for stakeholder questions—while ensuring the final work reflects my own judgment and strategic intent.</v>
      </c>
      <c r="L71" s="26" t="s">
        <v>314</v>
      </c>
      <c r="M71" s="28" t="str">
        <f>substitute('Prompt Template'!$A$2,$K$5,$L71)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 high‑stakes presentation on an unfamiliar topic, I would use AI tools to quickly synthesize background materials, summarize related documents, and build a clear understanding of the key themes and stakeholder priorities. I’d then use AI to propose potential narratives and generate an initial slide outline, refining it as I deepen my understanding. Throughout the process, I’d validate AI outputs by cross‑checking facts against original sources, reviewing for accuracy, and adjusting the tone and framing to ensure the content reflects our business context. Finally, I’d use AI to tighten the story, strengthen transitions, and prepare for stakeholder questions—while ensuring the final work reflects my own judgment and strategic intent.&lt;/user_input&gt;</v>
      </c>
      <c r="N71" s="26">
        <f t="array" ref="N71">index('Response Scoring'!$C:$C,match($A71,'Response Scoring'!$A:$A,0))</f>
        <v>3</v>
      </c>
      <c r="O71" s="29">
        <f t="shared" si="6"/>
        <v>1</v>
      </c>
      <c r="P71" s="26" t="str">
        <f>'Raw Data'!$L67</f>
        <v>The most valuable way I use AI in my work is to accelerate research, problem‑solving, and content creation so I can move from idea to execution much faster. I rely on AI to summarize complex inputs—emails, briefs, customer insights, meeting notes, and data outputs—which helps me quickly see patterns, uncover blockers, and make more informed decisions. AI also helps me draft first versions of strategic docs, presentations, experiments, and customer messaging, which I then refine with my own expertise. Across campaigns and operational workflows, AI lets me automate repetitive tasks, explore more variations, and focus my time on higher‑impact thinking and cross‑functional alignment.</v>
      </c>
      <c r="Q71" s="26" t="s">
        <v>315</v>
      </c>
      <c r="R71" s="28" t="str">
        <f>substitute('Prompt Template'!$B$2,$P$5,$Q71)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accelerate research, problem‑solving, and content creation so I can move from idea to execution much faster. I rely on AI to summarize complex inputs—emails, briefs, customer insights, meeting notes, and data outputs—which helps me quickly see patterns, uncover blockers, and make more informed decisions. AI also helps me draft first versions of strategic docs, presentations, experiments, and customer messaging, which I then refine with my own expertise. Across campaigns and operational workflows, AI lets me automate repetitive tasks, explore more variations, and focus my time on higher‑impact thinking and cross‑functional alignment.&lt;/user_input&gt;</v>
      </c>
      <c r="S71" s="26">
        <f t="array" ref="S71">index('Response Scoring'!$E:$E,match($A71,'Response Scoring'!$A:$A,0))</f>
        <v>2</v>
      </c>
      <c r="T71" s="29">
        <f t="shared" si="7"/>
        <v>0.6666666667</v>
      </c>
      <c r="U71" s="29">
        <f t="shared" si="8"/>
        <v>8.416666667</v>
      </c>
      <c r="V71" s="26" t="str">
        <f>'Raw Data'!$M67</f>
        <v>Analyzing presentation slides to evaluate both the visual design and written content for consistency</v>
      </c>
      <c r="W71" s="26">
        <f t="shared" si="9"/>
        <v>1</v>
      </c>
      <c r="X71" s="26" t="str">
        <f>'Raw Data'!$N67</f>
        <v>Hallucinations (generating false or misleading information), Biases in answers, Data privacy concerns when information is shared with an LLM, Vulnerability to manipulation by bad actors</v>
      </c>
      <c r="Y71" s="26">
        <f t="shared" si="10"/>
        <v>1</v>
      </c>
      <c r="Z71" s="26" t="str">
        <f>'Raw Data'!$O67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71" s="29">
        <f t="shared" si="11"/>
        <v>0</v>
      </c>
      <c r="AB71" s="26" t="str">
        <f>'Raw Data'!$P67</f>
        <v>Always: I routinely cross-check AI outputs with reliable sources</v>
      </c>
      <c r="AC71" s="26">
        <f t="shared" si="12"/>
        <v>1</v>
      </c>
      <c r="AD71" s="26" t="str">
        <f>'Raw Data'!$Q67</f>
        <v>Check if the response uses confident language and specific details, Cross-reference key claims with reliable external sources, Verify any calculations or data analysis independently, Ask the same AI tool to double-check its work for accuracy, Look for professional formatting and proper grammar, Use a different AI tool to review and verify the content</v>
      </c>
      <c r="AE71" s="26">
        <f t="shared" si="13"/>
        <v>0</v>
      </c>
      <c r="AF71" s="30">
        <f t="shared" si="14"/>
        <v>6</v>
      </c>
      <c r="AG71" s="26" t="str">
        <f>'Raw Data'!$R67</f>
        <v>Frequently: I systematically refine prompts until I'm satisfied</v>
      </c>
      <c r="AH71" s="26">
        <f t="shared" si="15"/>
        <v>1</v>
      </c>
      <c r="AI71" s="26" t="str">
        <f>'Raw Data'!$S67</f>
        <v>Help me prepare for an upcoming work meeting where we will discuss a new initiative/proposal. Please:
1. Summarize the most relevant information across my recent emails, chats, documents, and past meeting notes related to this initiative;
2. Identify the goals, open questions, risks, past decisions, and any stakeholder perspectives I should be aware of;
3. Suggest a clear meeting agenda and talking points;
4. Provide recommended questions I should ask to drive clarity and alignment;
5. Highlight any follow-up items or data I should gather beforehand.
Ask me one question at a time until you have enough information to prepare for the meeting.</v>
      </c>
      <c r="AJ71" s="26" t="s">
        <v>316</v>
      </c>
      <c r="AK71" s="28" t="str">
        <f>substitute('Prompt Template'!$C$2,$AI$5,$AJ71)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we will discuss a new initiative/proposal. Please:
1. Summarize the most relevant information across my recent emails, chats, documents, and past meeting notes related to this initiative;
2. Identify the goals, open questions, risks, past decisions, and any stakeholder perspectives I should be aware of;
3. Suggest a clear meeting agenda and talking points;
4. Provide recommended questions I should ask to drive clarity and alignment;
5. Highlight any follow-up items or data I should gather beforehand.
Ask me one question at a time until you have enough information to prepare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we will discuss a new initiative/proposal. Please:
1. Summarize the most relevant information across my recent emails, chats, documents, and past meeting notes related to this initiative;
2. Identify the goals, open questions, risks, past decisions, and any stakeholder perspectives I should be aware of;
3. Suggest a clear meeting agenda and talking points;
4. Provide recommended questions I should ask to drive clarity and alignment;
5. Highlight any follow-up items or data I should gather beforehand.
Ask me one question at a time until you have enough information to prepare for the meeting.&lt;/user_input&gt;</v>
      </c>
      <c r="AL71" s="26">
        <f t="array" ref="AL71">index('Response Scoring'!$G:$G,match($A71,'Response Scoring'!$A:$A,0))</f>
        <v>4</v>
      </c>
      <c r="AM71" s="26">
        <f t="shared" si="16"/>
        <v>0.8</v>
      </c>
      <c r="AN71" s="26" t="str">
        <f>'Raw Data'!$T67</f>
        <v>Title
Competitive Intelligence Research Assistant
Role &amp; Purpose
You are a Competitive Intelligence Research Assistant for a B2B SaaS/technology marketing team.
Your job is to help team members quickly and consistently research competitors’ products, pricing, and positioning and return findings in a clear, structured format they can use in decks, briefs, and strategy docs.
What to Do (High-Level Behavior)
Clarify the request.
Always confirm: which competitor(s), which product or product line, which region/segment, and what the output will be used for (e.g., pitch deck, email brief, messaging doc).
Search broadly, then narrow.
Start with official and authoritative sources (competitor website, product pages, docs, pricing pages, investor/analyst materials, press releases).
Then consult credible secondary sources (industry blogs, review sites, comparison sites, app stores, conference talks, etc.) if needed.
Synthesize, don’t just copy.
Translate findings into plain-language summaries, highlight the “so what?” for our team, and call out anything that might affect positioning, pricing, or go‑to‑market strategy.
Be consistent and structured.
Always use the same headings and data fields so different team members get comparable outputs across competitors.
Be cautious and honest.
If information is uncertain, outdated, or not found, say so explicitly.
Never guess financials, user counts, or roadmap details—label them as [unclear], [estimate], or [not publicly available].
Data to Capture (Per Competitor / Product)
For each request, organize your answer with these sections:
Competitor Overview
Company name
Key product(s) in scope
Target customers/segments (e.g., SMB vs enterprise, industries, roles)
Primary use cases / jobs-to-be-done
Product &amp; Features
Short product description (2–3 sentences)
Core feature set (bulleted list)
Differentiators they emphasize (e.g., speed, ease of use, integrations, AI features, ecosystem)
Notable gaps or limitations mentioned publicly or in reviews (label as “external perspective”)
Positioning &amp; Messaging
Their top 3–5 value propositions in their own language (quote or paraphrase clearly)
Key themes in headlines and hero copy
How they describe the buyer pain they solve
Audience or persona callouts (e.g., “designed for product-led teams,” “for government agencies,” etc.)
Pricing &amp; Packaging
Pricing model (e.g., seat-based, usage-based, tiered, freemium, enterprise-only, etc.)
Publicly listed price points (with currency and billing terms) or ranges if exact numbers are unclear
Tiers/packages and what’s included at each level
Notes on discounts, free trials, or promotions (only if clearly stated)
Any “gotchas” (minimums, add-ons, implementation fees) when known
Go-to-Market &amp; Channels
Primary channels (direct sales, self-serve, partners, marketplaces, etc.)
Notable campaigns, offers, or motions (e.g., PLG motion, product tours, webinars, vertical plays)
Partnerships or integrations they highlight prominently
Signals &amp; Recent Changes
Any recent product launches, rebrands, pricing changes, or new positioning (ideally with dates).
Quotes or headlines from recent announcements that show how their story is evolving.
Quick Comparison Hooks (Optional)
3–5 bullet points on where they are strong vs a generic competitor (e.g., “strong in X market,” “robust ecosystem”).
3–5 bullet points on potential weak points or areas where an alternative could differentiate (clearly labeled as analysis/opinion).
Research &amp; Citation Rules
Prefer primary sources. When possible, rely on the competitor’s own site, docs, announcements, and official materials.
Avoid speculation. If something cannot be verified from credible sources, mark it as [not confirmed] instead of assuming.
Timebox recency. When describing “recent” changes, try to reference sources from the last 6–12 months, and include dates where available.
No confidential or internal data. Only use publicly accessible information and what the user explicitly provides in the chat.
Output Format
Always respond in this structure, even if some sections are short:
Request Summary
Competitor Overview
Product &amp; Features
Positioning &amp; Messaging
Pricing &amp; Packaging
Go-to-Market &amp; Channels
Signals &amp; Recent Changes
Quick Comparison Hooks (Optional)
Sources &amp; Links
Under Sources &amp; Links, list the URLs and a short note (e.g., “Official pricing page,” “G2 review profile,” “Recent press release”).
Tone &amp; Style
Neutral and factual when describing competitors.
Crisp, scannable, and de‑jargoned for busy marketers and stakeholders.
Use bullets, short paragraphs, and bold labels for key insights.
Flag assumptions, estimates, or weak evidence clearly so users don’t mistake them for facts.
Handling Ambiguity &amp; Follow-Ups
If a user’s request is vague (e.g., “research Competitor X”), ask 1–2 clarifying questions such as:
“Which product or product line are you most interested in?”
“Which region/segment should I prioritize?”
“Is this for messaging, pricing negotiation, or high-level awareness?”
If the user doesn’t respond, default to:
The competitor’s flagship product,
The global public website,
A high-level, one-page summary following the structure above.</v>
      </c>
      <c r="AO71" s="26" t="s">
        <v>317</v>
      </c>
      <c r="AP71" s="28" t="str">
        <f>substitute('Prompt Template'!$D$2,$AN$5,$AO71)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&lt;user_input&gt;Title
Competitive Intelligence Research Assistant
Role &amp; Purpose
You are a Competitive Intelligence Research Assistant for a B2B SaaS/technology marketing team.
Your job is to help team members quickly and consistently research competitors’ products, pricing, and positioning and return findings in a clear, structured format they can use in decks, briefs, and strategy docs.
What to Do (High-Level Behavior)
Clarify the request.
Always confirm: which competitor(s), which product or product line, which region/segment, and what the output will be used for (e.g., pitch deck, email brief, messaging doc).
Search broadly, then narrow.
Start with official and authoritative sources (competitor website, product pages, docs, pricing pages, investor/analyst materials, press releases).
Then consult credible secondary sources (industry blogs, review sites, comparison sites, app stores, conference talks, etc.) if needed.
Synthesize, don’t just copy.
Translate findings into plain-language summaries, highlight the “so what?” for our team, and call out anything that might affect positioning, pricing, or go‑to‑market strategy.
Be consistent and structured.
Always use the same headings and data fields so different team members get comparable outputs across competitors.
Be cautious and honest.
If information is uncertain, outdated, or not found, say so explicitly.
Never guess financials, user counts, or roadmap details—label them as [unclear], [estimate], or [not publicly available].
Data to Capture (Per Competitor / Product)
For each request, organize your answer with these sections:
Competitor Overview
Company name
Key product(s) in scope
Target customers/segments (e.g., SMB vs enterprise, industries, roles)
Primary use cases / jobs-to-be-done
Product &amp; Features
Short product description (2–3 sentences)
Core feature set (bulleted list)
Differentiators they emphasize (e.g., speed, ease of use, integrations, AI features, ecosystem)
Notable gaps or limitations mentioned publicly or in reviews (label as “external perspective”)
Positioning &amp; Messaging
Their top 3–5 value propositions in their own language (quote or paraphrase clearly)
Key themes in headlines and hero copy
How they describe the buyer pain they solve
Audience or persona callouts (e.g., “designed for product-led teams,” “for government agencies,” etc.)
Pricing &amp; Packaging
Pricing model (e.g., seat-based, usage-based, tiered, freemium, enterprise-only, etc.)
Publicly listed price points (with currency and billing terms) or ranges if exact numbers are unclear
Tiers/packages and what’s included at each level
Notes on discounts, free trials, or promotions (only if clearly stated)
Any “gotchas” (minimums, add-ons, implementation fees) when known
Go-to-Market &amp; Channels
Primary channels (direct sales, self-serve, partners, marketplaces, etc.)
Notable campaigns, offers, or motions (e.g., PLG motion, product tours, webinars, vertical plays)
Partnerships or integrations they highlight prominently
Signals &amp; Recent Changes
Any recent product launches, rebrands, pricing changes, or new positioning (ideally with dates).
Quotes or headlines from recent announcements that show how their story is evolving.
Quick Comparison Hooks (Optional)
3–5 bullet points on where they are strong vs a generic competitor (e.g., “strong in X market,” “robust ecosystem”).
3–5 bullet points on potential weak points or areas where an alternative could differentiate (clearly labeled as analysis/opinion).
Research &amp; Citation Rules
Prefer primary sources. When possible, rely on the competitor’s own site, docs, announcements, and official materials.
Avoid speculation. If something cannot be verified from credible sources, mark it as [not confirmed] instead of assuming.
Timebox recency. When describing “recent” changes, try to reference sources from the last 6–12 months, and include dates where available.
No confidential or internal data. Only use publicly accessible information and what the user explicitly provides in the chat.
Output Format
Always respond in this structure, even if some sections are short:
Request Summary
Competitor Overview
Product &amp; Features
Positioning &amp; Messaging
Pricing &amp; Packaging
Go-to-Market &amp; Channels
Signals &amp; Recent Changes
Quick Comparison Hooks (Optional)
Sources &amp; Links
Under Sources &amp; Links, list the URLs and a short note (e.g., “Official pricing page,” “G2 review profile,” “Recent press release”).
Tone &amp; Style
Neutral and factual when describing competitors.
Crisp, scannable, and de‑jargoned for busy marketers and stakeholders.
Use bullets, short paragraphs, and bold labels for key insights.
Flag assumptions, estimates, or weak evidence clearly so users don’t mistake them for facts.
Handling Ambiguity &amp; Follow-Ups
If a user’s request is vague (e.g., “research Competitor X”), ask 1–2 clarifying questions such as:
“Which product or product line are you most interested in?”
“Which region/segment should I prioritize?”
“Is this for messaging, pricing negotiation, or high-level awareness?”
If the user doesn’t respond, default to:
The competitor’s flagship product,
The global public website,
A high-level, one-page summary following the structure above.&lt;/user_input&gt;
</v>
      </c>
      <c r="AQ71" s="26">
        <f t="array" ref="AQ71">index('Response Scoring'!$I:$I,match($A71,'Response Scoring'!$A:$A,0))</f>
        <v>5</v>
      </c>
      <c r="AR71" s="26">
        <f t="shared" si="17"/>
        <v>1</v>
      </c>
      <c r="AS71" s="30">
        <f t="shared" si="18"/>
        <v>9.3</v>
      </c>
      <c r="AT71" s="26">
        <f t="shared" si="19"/>
        <v>40.225</v>
      </c>
      <c r="AU71" s="26">
        <f t="shared" si="20"/>
        <v>80.45</v>
      </c>
      <c r="AV71" s="26" t="str">
        <f t="shared" si="21"/>
        <v>AI Expert</v>
      </c>
      <c r="AW71" s="26" t="str">
        <f>'Raw Data'!U67</f>
        <v/>
      </c>
      <c r="AX71" s="26" t="str">
        <f>'Raw Data'!V67</f>
        <v/>
      </c>
      <c r="AY71" s="26" t="str">
        <f>'Raw Data'!W67</f>
        <v/>
      </c>
      <c r="AZ71" s="26" t="str">
        <f>'Raw Data'!X67</f>
        <v/>
      </c>
      <c r="BA71" s="26" t="str">
        <f>'Raw Data'!Y67</f>
        <v/>
      </c>
      <c r="BB71" s="26" t="str">
        <f>'Raw Data'!Z67</f>
        <v/>
      </c>
      <c r="BW71" s="31" t="str">
        <f>'Raw Data'!C67</f>
        <v>Digital &amp; eCommerce</v>
      </c>
      <c r="BZ71" s="26" t="str">
        <f>'Raw Data'!F67</f>
        <v>Individual Contributor</v>
      </c>
      <c r="CA71" s="31" t="str">
        <f>'Raw Data'!AU67</f>
        <v>The biggest challenge I face in my day‑to‑day work is that our core platforms—Slack, Airtable, and Snowflake, etc.—aren’t consistently connected to the same LLMs, which forces unnecessary context‑switching and duplication of effort. For example, Slack AI isn’t planned for enablement internally, while Airtable’s built‑in AI is fully released across Autodesk and Snowflake is heavily promoting its own AI agents and copilot features for data workflows. Because ChatGPT tends to be prioritized first for new automations or custom GPTs, I often end up building or testing workflows there—even though Microsoft Copilot would integrate more naturally with the systems we rely on most. 
This creates a fragmented experience where I’m toggling between tools, recreating agents across platforms, and losing efficiency simply because the underlying LLM connections aren’t unified. Ideally, we’d prioritize enabling the same LLM(s) across our highest‑priority work systems so we can build once, automate once, and avoid maintaining two parallel sets of prompts, agents, and workflows.</v>
      </c>
      <c r="CB71" s="31" t="str">
        <f>'Raw Data'!AV67</f>
        <v>N/A</v>
      </c>
      <c r="CC71" s="31" t="str">
        <f>'Raw Data'!AW67</f>
        <v>Agree</v>
      </c>
    </row>
    <row r="72" ht="15.75" customHeight="1">
      <c r="A72" s="26">
        <f>'Raw Data'!$A68</f>
        <v>66</v>
      </c>
      <c r="B72" s="26" t="str">
        <f>'Raw Data'!$G68</f>
        <v>Daily</v>
      </c>
      <c r="C72" s="26">
        <f t="shared" si="1"/>
        <v>1</v>
      </c>
      <c r="D72" s="26" t="str">
        <f>'Raw Data'!$H68</f>
        <v>Editing or improving text I've already written (emails, documents, presentations), Getting quick answers to specific questions or looking up information, Creating first drafts of content from scratch (reports, proposals, marketing copy), Brainstorming ideas, testing concepts, or getting feedback on my thinking</v>
      </c>
      <c r="E72" s="26">
        <f t="shared" si="2"/>
        <v>2</v>
      </c>
      <c r="F72" s="27">
        <f t="shared" si="3"/>
        <v>0.6666666667</v>
      </c>
      <c r="G72" s="26" t="str">
        <f>'Raw Data'!$I68</f>
        <v>I create fresh prompts each time I use AI</v>
      </c>
      <c r="H72" s="26">
        <f t="shared" si="4"/>
        <v>0.25</v>
      </c>
      <c r="I72" s="26" t="str">
        <f>'Raw Data'!$J68</f>
        <v>Create a systematic process where AI handles data analysis and summary generation consistently</v>
      </c>
      <c r="J72" s="26">
        <f t="shared" si="5"/>
        <v>1</v>
      </c>
      <c r="K72" s="26" t="str">
        <f>'Raw Data'!$K68</f>
        <v>I give it clear instructions and all supporting documents.</v>
      </c>
      <c r="L72" s="26" t="s">
        <v>318</v>
      </c>
      <c r="M72" s="28" t="str">
        <f>substitute('Prompt Template'!$A$2,$K$5,$L72)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give it clear instructions and all supporting documents.&lt;/user_input&gt;</v>
      </c>
      <c r="N72" s="26">
        <f t="array" ref="N72">index('Response Scoring'!$C:$C,match($A72,'Response Scoring'!$A:$A,0))</f>
        <v>1</v>
      </c>
      <c r="O72" s="29">
        <f t="shared" si="6"/>
        <v>0.3333333333</v>
      </c>
      <c r="P72" s="26" t="str">
        <f>'Raw Data'!$L68</f>
        <v>To take my writing from good to great.</v>
      </c>
      <c r="Q72" s="26" t="s">
        <v>319</v>
      </c>
      <c r="R72" s="28" t="str">
        <f>substitute('Prompt Template'!$B$2,$P$5,$Q72)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take my writing from good to great.&lt;/user_input&gt;</v>
      </c>
      <c r="S72" s="26">
        <f t="array" ref="S72">index('Response Scoring'!$E:$E,match($A72,'Response Scoring'!$A:$A,0))</f>
        <v>1</v>
      </c>
      <c r="T72" s="29">
        <f t="shared" si="7"/>
        <v>0.3333333333</v>
      </c>
      <c r="U72" s="29">
        <f t="shared" si="8"/>
        <v>4.75</v>
      </c>
      <c r="V72" s="26" t="str">
        <f>'Raw Data'!$M68</f>
        <v>Analyzing presentation slides to evaluate both the visual design and written content for consistency</v>
      </c>
      <c r="W72" s="26">
        <f t="shared" si="9"/>
        <v>1</v>
      </c>
      <c r="X72" s="26" t="str">
        <f>'Raw Data'!$N68</f>
        <v>Hallucinations (generating false or misleading information), Biases in answers, Data privacy concerns when information is shared with an LLM, Vulnerability to manipulation by bad actors</v>
      </c>
      <c r="Y72" s="26">
        <f t="shared" si="10"/>
        <v>1</v>
      </c>
      <c r="Z72" s="26" t="str">
        <f>'Raw Data'!$O68</f>
        <v>Only share information that you would be comfortable sharing internally with a colleague, Anonymize information by removing identifying details, Use secure company instances or enterprise plans when available</v>
      </c>
      <c r="AA72" s="29">
        <f t="shared" si="11"/>
        <v>1</v>
      </c>
      <c r="AB72" s="26" t="str">
        <f>'Raw Data'!$P68</f>
        <v>Sometimes: I do a quick check against known data or references</v>
      </c>
      <c r="AC72" s="26">
        <f t="shared" si="12"/>
        <v>0.67</v>
      </c>
      <c r="AD72" s="26" t="str">
        <f>'Raw Data'!$Q68</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72" s="26">
        <f t="shared" si="13"/>
        <v>0</v>
      </c>
      <c r="AF72" s="30">
        <f t="shared" si="14"/>
        <v>7.34</v>
      </c>
      <c r="AG72" s="26" t="str">
        <f>'Raw Data'!$R68</f>
        <v>Frequently: I systematically refine prompts until I'm satisfied</v>
      </c>
      <c r="AH72" s="26">
        <f t="shared" si="15"/>
        <v>1</v>
      </c>
      <c r="AI72" s="26" t="str">
        <f>'Raw Data'!$S68</f>
        <v>Write me 5-10 concise bullet points. The bullet points should be different ideas to bring to my meeting to discuss XYZ initiative.</v>
      </c>
      <c r="AJ72" s="26" t="s">
        <v>320</v>
      </c>
      <c r="AK72" s="28" t="str">
        <f>substitute('Prompt Template'!$C$2,$AI$5,$AJ72)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me 5-10 concise bullet points. The bullet points should be different ideas to bring to my meeting to discuss XYZ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me 5-10 concise bullet points. The bullet points should be different ideas to bring to my meeting to discuss XYZ initiative.&lt;/user_input&gt;</v>
      </c>
      <c r="AL72" s="26">
        <f t="array" ref="AL72">index('Response Scoring'!$G:$G,match($A72,'Response Scoring'!$A:$A,0))</f>
        <v>2</v>
      </c>
      <c r="AM72" s="26">
        <f t="shared" si="16"/>
        <v>0.4</v>
      </c>
      <c r="AN72" s="26" t="str">
        <f>'Raw Data'!$T68</f>
        <v>Build me a competitive displacement template in Excel that holds all this information (attach XYZ docs) and can be updated frequently.</v>
      </c>
      <c r="AO72" s="26" t="s">
        <v>321</v>
      </c>
      <c r="AP72" s="28" t="str">
        <f>substitute('Prompt Template'!$D$2,$AN$5,$AO72)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&lt;user_input&gt;Build me a competitive displacement template in Excel that holds all this information (attach XYZ docs) and can be updated frequently.&lt;/user_input&gt;
</v>
      </c>
      <c r="AQ72" s="26">
        <f t="array" ref="AQ72">index('Response Scoring'!$I:$I,match($A72,'Response Scoring'!$A:$A,0))</f>
        <v>1</v>
      </c>
      <c r="AR72" s="26">
        <f t="shared" si="17"/>
        <v>0.2</v>
      </c>
      <c r="AS72" s="30">
        <f t="shared" si="18"/>
        <v>3.9</v>
      </c>
      <c r="AT72" s="26">
        <f t="shared" si="19"/>
        <v>25.935</v>
      </c>
      <c r="AU72" s="26">
        <f t="shared" si="20"/>
        <v>51.87</v>
      </c>
      <c r="AV72" s="26" t="str">
        <f t="shared" si="21"/>
        <v>AI Experimenter</v>
      </c>
      <c r="AW72" s="26" t="str">
        <f>'Raw Data'!U68</f>
        <v/>
      </c>
      <c r="AX72" s="26" t="str">
        <f>'Raw Data'!V68</f>
        <v/>
      </c>
      <c r="AY72" s="26" t="str">
        <f>'Raw Data'!W68</f>
        <v/>
      </c>
      <c r="AZ72" s="26" t="str">
        <f>'Raw Data'!X68</f>
        <v/>
      </c>
      <c r="BA72" s="26" t="str">
        <f>'Raw Data'!Y68</f>
        <v/>
      </c>
      <c r="BB72" s="26" t="str">
        <f>'Raw Data'!Z68</f>
        <v/>
      </c>
      <c r="BW72" s="31" t="str">
        <f>'Raw Data'!C68</f>
        <v>Industry Portfolio &amp; Emerging Marketing</v>
      </c>
      <c r="BZ72" s="26" t="str">
        <f>'Raw Data'!F68</f>
        <v>Individual Contributor</v>
      </c>
      <c r="CA72" s="31" t="str">
        <f>'Raw Data'!AU68</f>
        <v>I have only really explored using it for writing. I am not using it to its full potential for other tasks like research and analytics and building.</v>
      </c>
      <c r="CB72" s="31" t="str">
        <f>'Raw Data'!AV68</f>
        <v>None</v>
      </c>
      <c r="CC72" s="31" t="str">
        <f>'Raw Data'!AW68</f>
        <v>Neutral</v>
      </c>
    </row>
    <row r="73" ht="15.75" customHeight="1">
      <c r="A73" s="26">
        <f>'Raw Data'!$A69</f>
        <v>67</v>
      </c>
      <c r="B73" s="26" t="str">
        <f>'Raw Data'!$G69</f>
        <v>Daily</v>
      </c>
      <c r="C73" s="26">
        <f t="shared" si="1"/>
        <v>1</v>
      </c>
      <c r="D73" s="26" t="str">
        <f>'Raw Data'!$H69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v>
      </c>
      <c r="E73" s="26">
        <f t="shared" si="2"/>
        <v>3</v>
      </c>
      <c r="F73" s="27">
        <f t="shared" si="3"/>
        <v>1</v>
      </c>
      <c r="G73" s="26" t="str">
        <f>'Raw Data'!$I69</f>
        <v>I've built custom AI tools (i.e. CustomGPTs, Copilot Agents) for repetitive tasks</v>
      </c>
      <c r="H73" s="26">
        <f t="shared" si="4"/>
        <v>0.75</v>
      </c>
      <c r="I73" s="26" t="str">
        <f>'Raw Data'!$J69</f>
        <v>Create a systematic process where AI handles data analysis and summary generation consistently</v>
      </c>
      <c r="J73" s="26">
        <f t="shared" si="5"/>
        <v>1</v>
      </c>
      <c r="K73" s="26" t="str">
        <f>'Raw Data'!$K69</f>
        <v>I would create a prompt focused on building baseline knowledge of the topic and use follow up prompts as I consume the initial output to build awareness. I'd then prompt it to help me build content for an executive level presentation and use the output as a baseline of the preso before manually modifying based on my preferences. I would also prompt it to help me with the talk track development using the executive audience theme as a guardrail. I would also ask it to hypothesize questions I may receive and prepare accordingly.</v>
      </c>
      <c r="L73" s="26" t="s">
        <v>322</v>
      </c>
      <c r="M73" s="28" t="str">
        <f>substitute('Prompt Template'!$A$2,$K$5,$L73)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 prompt focused on building baseline knowledge of the topic and use follow up prompts as I consume the initial output to build awareness. I'd then prompt it to help me build content for an executive level presentation and use the output as a baseline of the preso before manually modifying based on my preferences. I would also prompt it to help me with the talk track development using the executive audience theme as a guardrail. I would also ask it to hypothesize questions I may receive and prepare accordingly.&lt;/user_input&gt;</v>
      </c>
      <c r="N73" s="26">
        <f t="array" ref="N73">index('Response Scoring'!$C:$C,match($A73,'Response Scoring'!$A:$A,0))</f>
        <v>3</v>
      </c>
      <c r="O73" s="29">
        <f t="shared" si="6"/>
        <v>1</v>
      </c>
      <c r="P73" s="26" t="str">
        <f>'Raw Data'!$L69</f>
        <v>My team has built custom GPTs to support baseline battlecard creation, market analysis (with why it matters to Autodesk) as well as Win/Loss interview analysis.</v>
      </c>
      <c r="Q73" s="26" t="s">
        <v>323</v>
      </c>
      <c r="R73" s="28" t="str">
        <f>substitute('Prompt Template'!$B$2,$P$5,$Q73)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team has built custom GPTs to support baseline battlecard creation, market analysis (with why it matters to Autodesk) as well as Win/Loss interview analysis.&lt;/user_input&gt;</v>
      </c>
      <c r="S73" s="26">
        <f t="array" ref="S73">index('Response Scoring'!$E:$E,match($A73,'Response Scoring'!$A:$A,0))</f>
        <v>3</v>
      </c>
      <c r="T73" s="29">
        <f t="shared" si="7"/>
        <v>1</v>
      </c>
      <c r="U73" s="29">
        <f t="shared" si="8"/>
        <v>9.75</v>
      </c>
      <c r="V73" s="26" t="str">
        <f>'Raw Data'!$M69</f>
        <v>Analyzing presentation slides to evaluate both the visual design and written content for consistency</v>
      </c>
      <c r="W73" s="26">
        <f t="shared" si="9"/>
        <v>1</v>
      </c>
      <c r="X73" s="26" t="str">
        <f>'Raw Data'!$N69</f>
        <v>Hallucinations (generating false or misleading information), Biases in answers, Data privacy concerns when information is shared with an LLM</v>
      </c>
      <c r="Y73" s="26">
        <f t="shared" si="10"/>
        <v>0.75</v>
      </c>
      <c r="Z73" s="26" t="str">
        <f>'Raw Data'!$O69</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A73" s="29">
        <f t="shared" si="11"/>
        <v>0</v>
      </c>
      <c r="AB73" s="26" t="str">
        <f>'Raw Data'!$P69</f>
        <v>Always: I routinely cross-check AI outputs with reliable sources</v>
      </c>
      <c r="AC73" s="26">
        <f t="shared" si="12"/>
        <v>1</v>
      </c>
      <c r="AD73" s="26" t="str">
        <f>'Raw Data'!$Q69</f>
        <v>Ask the same AI tool to double-check its work for accuracy, Verify any calculations or data analysis independently, Cross-reference key claims with reliable external sources, Look for professional formatting and proper grammar, Use a different AI tool to review and verify the content, Check if the response uses confident language and specific details</v>
      </c>
      <c r="AE73" s="26">
        <f t="shared" si="13"/>
        <v>0</v>
      </c>
      <c r="AF73" s="30">
        <f t="shared" si="14"/>
        <v>5.5</v>
      </c>
      <c r="AG73" s="26" t="str">
        <f>'Raw Data'!$R69</f>
        <v>Frequently: I systematically refine prompts until I'm satisfied</v>
      </c>
      <c r="AH73" s="26">
        <f t="shared" si="15"/>
        <v>1</v>
      </c>
      <c r="AI73" s="26" t="str">
        <f>'Raw Data'!$S69</f>
        <v>I have a meeting this week to discuss the attached proposal. Review the proposal and pull out high level talking points, areas that are unclear or need additional details. 
Help me develop 2 to 3 slides to discuss the proposal with an accompanying talk track. 
In addition, Review recent activities or projects I've been part of that relate to this proposal and summarize how those workstreams align (or contrast) with the proposal. 
Stick to the resources I mentioned above, do not hallucinate.</v>
      </c>
      <c r="AJ73" s="26" t="s">
        <v>324</v>
      </c>
      <c r="AK73" s="28" t="str">
        <f>substitute('Prompt Template'!$C$2,$AI$5,$AJ73)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this week to discuss the attached proposal. Review the proposal and pull out high level talking points, areas that are unclear or need additional details. 
Help me develop 2 to 3 slides to discuss the proposal with an accompanying talk track. 
In addition, Review recent activities or projects I've been part of that relate to this proposal and summarize how those workstreams align (or contrast) with the proposal. 
Stick to the resources I mentioned above, do not hallucinate.&lt;/prompt&gt;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this week to discuss the attached proposal. Review the proposal and pull out high level talking points, areas that are unclear or need additional details. 
Help me develop 2 to 3 slides to discuss the proposal with an accompanying talk track. 
In addition, Review recent activities or projects I've been part of that relate to this proposal and summarize how those workstreams align (or contrast) with the proposal. 
Stick to the resources I mentioned above, do not hallucinate.&lt;/user_input&gt;</v>
      </c>
      <c r="AL73" s="26">
        <f t="array" ref="AL73">index('Response Scoring'!$G:$G,match($A73,'Response Scoring'!$A:$A,0))</f>
        <v>3</v>
      </c>
      <c r="AM73" s="26">
        <f t="shared" si="16"/>
        <v>0.6</v>
      </c>
      <c r="AN73" s="26" t="str">
        <f>'Raw Data'!$T69</f>
        <v>Act like a seasoned Competitive intelligence analyst with over 20 years of experience in competitive intelligence, specializing in the technology sector. You possess an in-depth understanding of market dynamics, competitor analysis, and the creation of sales battlecards that highlight competitive advantages and strategies. Your expertise includes synthesizing information from a variety of sources, including direct competitor websites and blog posts, and crowdsource intelligence platforms such as Reddit, G2, Forrester, and Gartner, as well as other sources like Crunchbase or anything similar. Please bring in additional sources that make sense according to the prompt. Your task today involves the creation of a detailed sales battlecard for a specified competitor, focusing on their market positioning, product offerings, strengths, and gaps or weaknesses when compared to Autodesk Construction Cloud ( especially Autodesk Docs &amp; Autodesk Build)   
Source Inputs: 
1. https://construction.autodesk.com/  
2. https://construction.autodesk.com/products/autodesk-build/  
3. https://construction.autodesk.com/products/autodesk-bim-collaborate/  
3. https://construction.autodesk.com/products/autodesk-docs/  
4. https://construction.autodesk.com/products/construction-app/  
5. https://help.autodesk.com/view/BUILD/ENU/?guid=What_is_Build 
6. https://construction.autodesk.com/products/autodesk-takeoff/  
https://construction.autodesk.com/products/autodesk-estimate/  
https://www.autodesk.com/solutions/autodesk-ai  
https://www.autodesk.com/solutions/autodesk-ai/autodesk-assistant  
https://construction.autodesk.com/workflows/artificial-intelligence-construction/  
Competitor Name: CX ALLOY 
Competitor Primary Websites: https://www.cxalloy.com/  
Instructions for Creating the Battlecard: 
1. Research Phase: 
Begin by reviewing the competitor's websites provided including their brochures, workflow guides and demo videos. Analyze these resources thoroughly to understand their product offerings, solution highlights, and service models. 
2. Company Background,  
Provide an overview of CX Alloy's history, estimated annual revenue, amount of funding secured, target markets, number of employees, office locations etc 
3. Go-to-Market Positioning Summary: 
Synthesize the information gathered to construct a detailed summary of the competitor's go-to-market strategy. Highlight how they position themselves in the market, including their target audience, key messaging, strategic initiatives, pricing and how they sell their products.   
4. Product, Solution, and Services Highlights: 
Provide a comprehensive overview of the competitor's key products, solutions, and services.  
Be sure to call out unique features in Autodesk Build or the competitor, technology innovation, and the value proposition that distinguishes them in the marketplace. 
5. Product Comparison:  
Thoroughly review features and workflows offered by the competitor’s products and determine if there are gaps or differentiators when compared to Autodesk Build + Docs.  
The output of the product comparison should be in a table with rows for capabilities that are most important to the overlapping target customer for CX Alloy and Autodesk Build.  We are trying to identify whether Build can replace CX alloy for some customers or whether integration is the only/best option.  
If relevant dig into AI capabilities as well.  
Strengths Analysis: 
Based on the intelligence gathered, summarize the competitor's perceived strengths. This could include product superiority, market share, customer satisfaction, or technological innovation. Then provide “how to counter” talk tracks to position Autodesk construction cloud products AGAINST CX Alloy’s perceived strengths. This should be displayed in a table.  
Weakness Analysis &amp; Trap Setting 
If you were an Autodesk Seller competing with CX Alloy and its specific products, what would you point to as its primary weaknesses when compared to Autodesk’s respective products? Develop accompanying trap questions that an Autodesk sales rep can share with a customer to point them toward CX Alloy’s weaknesses. Provide a sentence explaining why the trap question works titled “why it works.” Organize in a table.  
Where Autodesk Wins Analysis 
Provide at least 3 to 5 topics or statements for an Autodesk construction Sales rep to use in competitive deals vs CX Alloy. This should include corresponding alk tracks for sellers to use to position Autodesk Build as superior to CX Alloy and an explanation for why it works  Organize this in a table.  
Remember, your goal is to create a battlecard that is not only informative but also serves as a strategic tool for sales teams to effectively position Autodesk against its competitors in sales scenarios. Ensure your analysis is data-driven, leveraging both qualitative and quantitative insights to provide a balanced view. 
Take a deep breath and work on this problem step-by-step.</v>
      </c>
      <c r="AO73" s="26" t="s">
        <v>325</v>
      </c>
      <c r="AP73" s="28" t="str">
        <f>substitute('Prompt Template'!$D$2,$AN$5,$AO73)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like a seasoned Competitive intelligence analyst with over 20 years of experience in competitive intelligence, specializing in the technology sector. You possess an in-depth understanding of market dynamics, competitor analysis, and the creation of sales battlecards that highlight competitive advantages and strategies. Your expertise includes synthesizing information from a variety of sources, including direct competitor websites and blog posts, and crowdsource intelligence platforms such as Reddit, G2, Forrester, and Gartner, as well as other sources like Crunchbase or anything similar. Please bring in additional sources that make sense according to the prompt. Your task today involves the creation of a detailed sales battlecard for a specified competitor, focusing on their market positioning, product offerings, strengths, and gaps or weaknesses when compared to Autodesk Construction Cloud ( especially Autodesk Docs &amp; Autodesk Build)   
Source Inputs: 
1. https://construction.autodesk.com/  
2. https://construction.autodesk.com/products/autodesk-build/  
3. https://construction.autodesk.com/products/autodesk-bim-collaborate/  
3. https://construction.autodesk.com/products/autodesk-docs/  
4. https://construction.autodesk.com/products/construction-app/  
5. https://help.autodesk.com/view/BUILD/ENU/?guid=What_is_Build 
6. https://construction.autodesk.com/products/autodesk-takeoff/  
https://construction.autodesk.com/products/autodesk-estimate/  
https://www.autodesk.com/solutions/autodesk-ai  
https://www.autodesk.com/solutions/autodesk-ai/autodesk-assistant  
https://construction.autodesk.com/workflows/artificial-intelligence-construction/  
Competitor Name: CX ALLOY 
Competitor Primary Websites: https://www.cxalloy.com/  
Instructions for Creating the Battlecard: 
1. Research Phase: 
Begin by reviewing the competitor's websites provided including their brochures, workflow guides and demo videos. Analyze these resources thoroughly to understand their product offerings, solution highlights, and service models. 
2. Company Background,  
Provide an overview of CX Alloy's history, estimated annual revenue, amount of funding secured, target markets, number of employees, office locations etc 
3. Go-to-Market Positioning Summary: 
Synthesize the information gathered to construct a detailed summary of the competitor's go-to-market strategy. Highlight how they position themselves in the market, including their target audience, key messaging, strategic initiatives, pricing and how they sell their products.   
4. Product, Solution, and Services Highlights: 
Provide a comprehensive overview of the competitor's key products, solutions, and services.  
Be sure to call out unique features in Autodesk Build or the competitor, technology innovation, and the value proposition that distinguishes them in the marketplace. 
5. Product Comparison:  
Thoroughly review features and workflows offered by the competitor’s products and determine if there are gaps or differentiators when compared to Autodesk Build + Docs.  
The output of the product comparison should be in a table with rows for capabilities that are most important to the overlapping target customer for CX Alloy and Autodesk Build.  We are trying to identify whether Build can replace CX alloy for some customers or whether integration is the only/best option.  
If relevant dig into AI capabilities as well.  
Strengths Analysis: 
Based on the intelligence gathered, summarize the competitor's perceived strengths. This could include product superiority, market share, customer satisfaction, or technological innovation. Then provide “how to counter” talk tracks to position Autodesk construction cloud products AGAINST CX Alloy’s perceived strengths. This should be displayed in a table.  
Weakness Analysis &amp; Trap Setting 
If you were an Autodesk Seller competing with CX Alloy and its specific products, what would you point to as its primary weaknesses when compared to Autodesk’s respective products? Develop accompanying trap questions that an Autodesk sales rep can share with a customer to point them toward CX Alloy’s weaknesses. Provide a sentence explaining why the trap question works titled “why it works.” Organize in a table.  
Where Autodesk Wins Analysis 
Provide at least 3 to 5 topics or statements for an Autodesk construction Sales rep to use in competitive deals vs CX Alloy. This should include corresponding alk tracks for sellers to use to position Autodesk Build as superior to CX Alloy and an explanation for why it works  Organize this in a table.  
Remember, your goal is to create a battlecard that is not only informative but also serves as a strategic tool for sales teams to effectively position Autodesk against its competitors in sales scenarios. Ensure your analysis is data-driven, leveraging both qualitative and quantitative insights to provide a balanced view. 
Take a deep breath and work on this problem step-by-step.&lt;/user_input&gt;
</v>
      </c>
      <c r="AQ73" s="26">
        <f t="array" ref="AQ73">index('Response Scoring'!$I:$I,match($A73,'Response Scoring'!$A:$A,0))</f>
        <v>5</v>
      </c>
      <c r="AR73" s="26">
        <f t="shared" si="17"/>
        <v>1</v>
      </c>
      <c r="AS73" s="30">
        <f t="shared" si="18"/>
        <v>8.6</v>
      </c>
      <c r="AT73" s="26">
        <f t="shared" si="19"/>
        <v>40.075</v>
      </c>
      <c r="AU73" s="26">
        <f t="shared" si="20"/>
        <v>80.15</v>
      </c>
      <c r="AV73" s="26" t="str">
        <f t="shared" si="21"/>
        <v>AI Expert</v>
      </c>
      <c r="AW73" s="26" t="str">
        <f>'Raw Data'!U69</f>
        <v/>
      </c>
      <c r="AX73" s="26" t="str">
        <f>'Raw Data'!V69</f>
        <v/>
      </c>
      <c r="AY73" s="26" t="str">
        <f>'Raw Data'!W69</f>
        <v/>
      </c>
      <c r="AZ73" s="26" t="str">
        <f>'Raw Data'!X69</f>
        <v/>
      </c>
      <c r="BA73" s="26" t="str">
        <f>'Raw Data'!Y69</f>
        <v/>
      </c>
      <c r="BB73" s="26" t="str">
        <f>'Raw Data'!Z69</f>
        <v/>
      </c>
      <c r="BW73" s="31" t="str">
        <f>'Raw Data'!C69</f>
        <v>Industry Portfolio &amp; Emerging Marketing</v>
      </c>
      <c r="BZ73" s="26" t="str">
        <f>'Raw Data'!F69</f>
        <v>Manager or Senior Manager</v>
      </c>
      <c r="CA73" s="31" t="str">
        <f>'Raw Data'!AU69</f>
        <v>Having the time to create custom agents and implement new use cases.</v>
      </c>
      <c r="CB73" s="31" t="str">
        <f>'Raw Data'!AV69</f>
        <v>none</v>
      </c>
      <c r="CC73" s="31" t="str">
        <f>'Raw Data'!AW69</f>
        <v>Agree</v>
      </c>
    </row>
    <row r="74" ht="15.75" customHeight="1">
      <c r="A74" s="26">
        <f>'Raw Data'!$A70</f>
        <v>68</v>
      </c>
      <c r="B74" s="26" t="str">
        <f>'Raw Data'!$G70</f>
        <v>Daily</v>
      </c>
      <c r="C74" s="26">
        <f t="shared" si="1"/>
        <v>1</v>
      </c>
      <c r="D74" s="26" t="str">
        <f>'Raw Data'!$H70</f>
        <v>Getting quick answers to specific questions or looking up information, Editing or improving text I've already written (emails, documents, presentations)</v>
      </c>
      <c r="E74" s="26">
        <f t="shared" si="2"/>
        <v>1</v>
      </c>
      <c r="F74" s="27">
        <f t="shared" si="3"/>
        <v>0.3333333333</v>
      </c>
      <c r="G74" s="26" t="str">
        <f>'Raw Data'!$I70</f>
        <v>I maintain a library of prompts that I reuse frequently</v>
      </c>
      <c r="H74" s="26">
        <f t="shared" si="4"/>
        <v>0.5</v>
      </c>
      <c r="I74" s="26" t="str">
        <f>'Raw Data'!$J70</f>
        <v>I wouldn’t use AI for this task</v>
      </c>
      <c r="J74" s="26" t="b">
        <f t="shared" si="5"/>
        <v>0</v>
      </c>
      <c r="K74" s="26" t="str">
        <f>'Raw Data'!$K70</f>
        <v>NA</v>
      </c>
      <c r="L74" s="26" t="s">
        <v>117</v>
      </c>
      <c r="M74" s="28" t="str">
        <f>substitute('Prompt Template'!$A$2,$K$5,$L74)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&lt;user_input&gt;NA&lt;/user_input&gt;</v>
      </c>
      <c r="N74" s="26">
        <f t="array" ref="N74">index('Response Scoring'!$C:$C,match($A74,'Response Scoring'!$A:$A,0))</f>
        <v>0</v>
      </c>
      <c r="O74" s="29">
        <f t="shared" si="6"/>
        <v>0</v>
      </c>
      <c r="P74" s="26" t="str">
        <f>'Raw Data'!$L70</f>
        <v>Create, draft, write emails that are always professional</v>
      </c>
      <c r="Q74" s="26" t="s">
        <v>326</v>
      </c>
      <c r="R74" s="28" t="str">
        <f>substitute('Prompt Template'!$B$2,$P$5,$Q74)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draft, write emails that are always professional&lt;/user_input&gt;</v>
      </c>
      <c r="S74" s="26">
        <f t="array" ref="S74">index('Response Scoring'!$E:$E,match($A74,'Response Scoring'!$A:$A,0))</f>
        <v>1</v>
      </c>
      <c r="T74" s="29">
        <f t="shared" si="7"/>
        <v>0.3333333333</v>
      </c>
      <c r="U74" s="29">
        <f t="shared" si="8"/>
        <v>2.833333333</v>
      </c>
      <c r="V74" s="26" t="str">
        <f>'Raw Data'!$M70</f>
        <v>Analyzing presentation slides to evaluate both the visual design and written content for consistency</v>
      </c>
      <c r="W74" s="26">
        <f t="shared" si="9"/>
        <v>1</v>
      </c>
      <c r="X74" s="26" t="str">
        <f>'Raw Data'!$N70</f>
        <v>Hallucinations (generating false or misleading information)</v>
      </c>
      <c r="Y74" s="26">
        <f t="shared" si="10"/>
        <v>0.25</v>
      </c>
      <c r="Z74" s="26" t="str">
        <f>'Raw Data'!$O70</f>
        <v>Verify that the AI tool has SSL/HTTPS encryption before using it, Only share information that you would be comfortable sharing internally with a colleague, Use secure company instances or enterprise plans when available</v>
      </c>
      <c r="AA74" s="29">
        <f t="shared" si="11"/>
        <v>0</v>
      </c>
      <c r="AB74" s="26" t="str">
        <f>'Raw Data'!$P70</f>
        <v>Sometimes: I do a quick check against known data or references</v>
      </c>
      <c r="AC74" s="26">
        <f t="shared" si="12"/>
        <v>0.67</v>
      </c>
      <c r="AD74" s="26" t="str">
        <f>'Raw Data'!$Q70</f>
        <v>Verify any calculations or data analysis independently, Cross-reference key claims with reliable external sources, Look for professional formatting and proper grammar</v>
      </c>
      <c r="AE74" s="26">
        <f t="shared" si="13"/>
        <v>0</v>
      </c>
      <c r="AF74" s="30">
        <f t="shared" si="14"/>
        <v>3.84</v>
      </c>
      <c r="AG74" s="26" t="str">
        <f>'Raw Data'!$R70</f>
        <v>Frequently: I systematically refine prompts until I'm satisfied</v>
      </c>
      <c r="AH74" s="26">
        <f t="shared" si="15"/>
        <v>1</v>
      </c>
      <c r="AI74" s="26" t="str">
        <f>'Raw Data'!$S70</f>
        <v>NA</v>
      </c>
      <c r="AJ74" s="26" t="s">
        <v>117</v>
      </c>
      <c r="AK74" s="28" t="str">
        <f>substitute('Prompt Template'!$C$2,$AI$5,$AJ74)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v>
      </c>
      <c r="AL74" s="26">
        <f t="array" ref="AL74">index('Response Scoring'!$G:$G,match($A74,'Response Scoring'!$A:$A,0))</f>
        <v>0</v>
      </c>
      <c r="AM74" s="26">
        <f t="shared" si="16"/>
        <v>0</v>
      </c>
      <c r="AN74" s="26" t="str">
        <f>'Raw Data'!$T70</f>
        <v>NA</v>
      </c>
      <c r="AO74" s="26" t="s">
        <v>117</v>
      </c>
      <c r="AP74" s="28" t="str">
        <f>substitute('Prompt Template'!$D$2,$AN$5,$AO74)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74" s="26">
        <f t="array" ref="AQ74">index('Response Scoring'!$I:$I,match($A74,'Response Scoring'!$A:$A,0))</f>
        <v>0</v>
      </c>
      <c r="AR74" s="26">
        <f t="shared" si="17"/>
        <v>0</v>
      </c>
      <c r="AS74" s="30">
        <f t="shared" si="18"/>
        <v>1.5</v>
      </c>
      <c r="AT74" s="26">
        <f t="shared" si="19"/>
        <v>13.01</v>
      </c>
      <c r="AU74" s="26">
        <f t="shared" si="20"/>
        <v>26.02</v>
      </c>
      <c r="AV74" s="26" t="str">
        <f t="shared" si="21"/>
        <v>AI Experimenter</v>
      </c>
      <c r="AW74" s="26" t="str">
        <f>'Raw Data'!U70</f>
        <v/>
      </c>
      <c r="AX74" s="26" t="str">
        <f>'Raw Data'!V70</f>
        <v/>
      </c>
      <c r="AY74" s="26" t="str">
        <f>'Raw Data'!W70</f>
        <v/>
      </c>
      <c r="AZ74" s="26" t="str">
        <f>'Raw Data'!X70</f>
        <v/>
      </c>
      <c r="BA74" s="26" t="str">
        <f>'Raw Data'!Y70</f>
        <v/>
      </c>
      <c r="BB74" s="26" t="str">
        <f>'Raw Data'!Z70</f>
        <v/>
      </c>
      <c r="BW74" s="31" t="str">
        <f>'Raw Data'!C70</f>
        <v>Digital &amp; eCommerce</v>
      </c>
      <c r="BZ74" s="26" t="str">
        <f>'Raw Data'!F70</f>
        <v>Individual Contributor</v>
      </c>
      <c r="CA74" s="31" t="str">
        <f>'Raw Data'!AU70</f>
        <v>No struggles as of date</v>
      </c>
      <c r="CB74" s="31" t="str">
        <f>'Raw Data'!AV70</f>
        <v>Currently just using ADSK ChatGPT and house design AI tools</v>
      </c>
      <c r="CC74" s="31" t="str">
        <f>'Raw Data'!AW70</f>
        <v>Agree</v>
      </c>
    </row>
    <row r="75" ht="15.75" customHeight="1">
      <c r="A75" s="26">
        <f>'Raw Data'!$A71</f>
        <v>69</v>
      </c>
      <c r="B75" s="26" t="str">
        <f>'Raw Data'!$G71</f>
        <v>Weekly</v>
      </c>
      <c r="C75" s="26">
        <f t="shared" si="1"/>
        <v>0.5</v>
      </c>
      <c r="D75" s="26" t="str">
        <f>'Raw Data'!$H71</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75" s="26">
        <f t="shared" si="2"/>
        <v>2</v>
      </c>
      <c r="F75" s="27">
        <f t="shared" si="3"/>
        <v>0.6666666667</v>
      </c>
      <c r="G75" s="26" t="str">
        <f>'Raw Data'!$I71</f>
        <v>I maintain a library of prompts that I reuse frequently</v>
      </c>
      <c r="H75" s="26">
        <f t="shared" si="4"/>
        <v>0.5</v>
      </c>
      <c r="I75" s="26" t="str">
        <f>'Raw Data'!$J71</f>
        <v>Create a systematic process where AI handles data analysis and summary generation consistently</v>
      </c>
      <c r="J75" s="26">
        <f t="shared" si="5"/>
        <v>1</v>
      </c>
      <c r="K75" s="26" t="str">
        <f>'Raw Data'!$K71</f>
        <v>First research the topic. Then I would request the tool to help outline, then do the final deck</v>
      </c>
      <c r="L75" s="26" t="s">
        <v>327</v>
      </c>
      <c r="M75" s="28" t="str">
        <f>substitute('Prompt Template'!$A$2,$K$5,$L75)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research the topic. Then I would request the tool to help outline, then do the final deck&lt;/user_input&gt;</v>
      </c>
      <c r="N75" s="26">
        <f t="array" ref="N75">index('Response Scoring'!$C:$C,match($A75,'Response Scoring'!$A:$A,0))</f>
        <v>2</v>
      </c>
      <c r="O75" s="29">
        <f t="shared" si="6"/>
        <v>0.6666666667</v>
      </c>
      <c r="P75" s="26" t="str">
        <f>'Raw Data'!$L71</f>
        <v>Analyze data and patterns (revenue trends), brainstorm ideas to position company/product value with small customers, research competitors or messaging for key programs and offers (i.e. Cyber Week)</v>
      </c>
      <c r="Q75" s="26" t="s">
        <v>328</v>
      </c>
      <c r="R75" s="28" t="str">
        <f>substitute('Prompt Template'!$B$2,$P$5,$Q75)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data and patterns (revenue trends), brainstorm ideas to position company/product value with small customers, research competitors or messaging for key programs and offers (i.e. Cyber Week)&lt;/user_input&gt;</v>
      </c>
      <c r="S75" s="26">
        <f t="array" ref="S75">index('Response Scoring'!$E:$E,match($A75,'Response Scoring'!$A:$A,0))</f>
        <v>2</v>
      </c>
      <c r="T75" s="29">
        <f t="shared" si="7"/>
        <v>0.6666666667</v>
      </c>
      <c r="U75" s="29">
        <f t="shared" si="8"/>
        <v>6.75</v>
      </c>
      <c r="V75" s="26" t="str">
        <f>'Raw Data'!$M71</f>
        <v>Providing real-time updates on breaking news events happening right now</v>
      </c>
      <c r="W75" s="26">
        <f t="shared" si="9"/>
        <v>0</v>
      </c>
      <c r="X75" s="26" t="str">
        <f>'Raw Data'!$N71</f>
        <v>Hallucinations (generating false or misleading information), Biases in answers, Data privacy concerns when information is shared with an LLM, Vulnerability to manipulation by bad actors</v>
      </c>
      <c r="Y75" s="26">
        <f t="shared" si="10"/>
        <v>1</v>
      </c>
      <c r="Z75" s="26" t="str">
        <f>'Raw Data'!$O71</f>
        <v>Use secure company instances or enterprise plans when available, Only share information that you would be comfortable sharing internally with a colleague, Anonymize information by removing identifying details, Verify that the AI tool has SSL/HTTPS encryption before using it</v>
      </c>
      <c r="AA75" s="29">
        <f t="shared" si="11"/>
        <v>0</v>
      </c>
      <c r="AB75" s="26" t="str">
        <f>'Raw Data'!$P71</f>
        <v>Always: I routinely cross-check AI outputs with reliable sources</v>
      </c>
      <c r="AC75" s="26">
        <f t="shared" si="12"/>
        <v>1</v>
      </c>
      <c r="AD75" s="26" t="str">
        <f>'Raw Data'!$Q71</f>
        <v>Cross-reference key claims with reliable external sources, Verify any calculations or data analysis independently, Use a different AI tool to review and verify the content, Ask the same AI tool to double-check its work for accuracy</v>
      </c>
      <c r="AE75" s="26">
        <f t="shared" si="13"/>
        <v>1</v>
      </c>
      <c r="AF75" s="30">
        <f t="shared" si="14"/>
        <v>6</v>
      </c>
      <c r="AG75" s="26" t="str">
        <f>'Raw Data'!$R71</f>
        <v>Frequently: I systematically refine prompts until I'm satisfied</v>
      </c>
      <c r="AH75" s="26">
        <f t="shared" si="15"/>
        <v>1</v>
      </c>
      <c r="AI75" s="26" t="str">
        <f>'Raw Data'!$S71</f>
        <v>I need to prepare for a meeting to present this proposal (document). Can you please summarize in two to three key points, help me identify top potential questions (i.e. objections or clarification), draft answers to such questions. Most importantly, give me the elevator pitch version so I can use to open the meeting.</v>
      </c>
      <c r="AJ75" s="26" t="s">
        <v>329</v>
      </c>
      <c r="AK75" s="28" t="str">
        <f>substitute('Prompt Template'!$C$2,$AI$5,$AJ75)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meeting to present this proposal (document). Can you please summarize in two to three key points, help me identify top potential questions (i.e. objections or clarification), draft answers to such questions. Most importantly, give me the elevator pitch version so I can use to open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meeting to present this proposal (document). Can you please summarize in two to three key points, help me identify top potential questions (i.e. objections or clarification), draft answers to such questions. Most importantly, give me the elevator pitch version so I can use to open the meeting.&lt;/user_input&gt;</v>
      </c>
      <c r="AL75" s="26">
        <f t="array" ref="AL75">index('Response Scoring'!$G:$G,match($A75,'Response Scoring'!$A:$A,0))</f>
        <v>4</v>
      </c>
      <c r="AM75" s="26">
        <f t="shared" si="16"/>
        <v>0.8</v>
      </c>
      <c r="AN75" s="26" t="str">
        <f>'Raw Data'!$T71</f>
        <v>Research and compare Competitor product X to ADSK product X on a monthly basis.  Include side by side details of price, descriptions and industries the products serve.  Include what are customers saying and  update pricing and promotions or any new announcements.</v>
      </c>
      <c r="AO75" s="26" t="s">
        <v>330</v>
      </c>
      <c r="AP75" s="28" t="str">
        <f>substitute('Prompt Template'!$D$2,$AN$5,$AO75)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&lt;user_input&gt;Research and compare Competitor product X to ADSK product X on a monthly basis.  Include side by side details of price, descriptions and industries the products serve.  Include what are customers saying and  update pricing and promotions or any new announcements.&lt;/user_input&gt;
</v>
      </c>
      <c r="AQ75" s="26">
        <f t="array" ref="AQ75">index('Response Scoring'!$I:$I,match($A75,'Response Scoring'!$A:$A,0))</f>
        <v>2</v>
      </c>
      <c r="AR75" s="26">
        <f t="shared" si="17"/>
        <v>0.4</v>
      </c>
      <c r="AS75" s="30">
        <f t="shared" si="18"/>
        <v>6.3</v>
      </c>
      <c r="AT75" s="26">
        <f t="shared" si="19"/>
        <v>31.725</v>
      </c>
      <c r="AU75" s="26">
        <f t="shared" si="20"/>
        <v>63.45</v>
      </c>
      <c r="AV75" s="26" t="str">
        <f t="shared" si="21"/>
        <v>AI Practitioner</v>
      </c>
      <c r="AW75" s="26" t="str">
        <f>'Raw Data'!U71</f>
        <v/>
      </c>
      <c r="AX75" s="26" t="str">
        <f>'Raw Data'!V71</f>
        <v/>
      </c>
      <c r="AY75" s="26" t="str">
        <f>'Raw Data'!W71</f>
        <v/>
      </c>
      <c r="AZ75" s="26" t="str">
        <f>'Raw Data'!X71</f>
        <v/>
      </c>
      <c r="BA75" s="26" t="str">
        <f>'Raw Data'!Y71</f>
        <v/>
      </c>
      <c r="BB75" s="26" t="str">
        <f>'Raw Data'!Z71</f>
        <v/>
      </c>
      <c r="BW75" s="31" t="str">
        <f>'Raw Data'!C71</f>
        <v>Digital &amp; eCommerce</v>
      </c>
      <c r="BZ75" s="26" t="str">
        <f>'Raw Data'!F71</f>
        <v>Individual Contributor</v>
      </c>
      <c r="CA75" s="31" t="str">
        <f>'Raw Data'!AU71</f>
        <v>data analytics is very basic.</v>
      </c>
      <c r="CB75" s="31" t="str">
        <f>'Raw Data'!AV71</f>
        <v>none</v>
      </c>
      <c r="CC75" s="31" t="str">
        <f>'Raw Data'!AW71</f>
        <v>Strongly agree</v>
      </c>
    </row>
    <row r="76" ht="15.75" customHeight="1">
      <c r="A76" s="26">
        <f>'Raw Data'!$A72</f>
        <v>70</v>
      </c>
      <c r="B76" s="26" t="str">
        <f>'Raw Data'!$G72</f>
        <v>Daily</v>
      </c>
      <c r="C76" s="26">
        <f t="shared" si="1"/>
        <v>1</v>
      </c>
      <c r="D76" s="26" t="str">
        <f>'Raw Data'!$H72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76" s="26">
        <f t="shared" si="2"/>
        <v>3</v>
      </c>
      <c r="F76" s="27">
        <f t="shared" si="3"/>
        <v>1</v>
      </c>
      <c r="G76" s="26" t="str">
        <f>'Raw Data'!$I72</f>
        <v>I've built custom AI tools (i.e. CustomGPTs, Copilot Agents) for repetitive tasks</v>
      </c>
      <c r="H76" s="26">
        <f t="shared" si="4"/>
        <v>0.75</v>
      </c>
      <c r="I76" s="26" t="str">
        <f>'Raw Data'!$J72</f>
        <v>Create a systematic process where AI handles data analysis and summary generation consistently</v>
      </c>
      <c r="J76" s="26">
        <f t="shared" si="5"/>
        <v>1</v>
      </c>
      <c r="K76" s="26" t="str">
        <f>'Raw Data'!$K72</f>
        <v>If I had one week to create an important presentation for senior stakeholders on an unfamiliar topic, I’d use AI as a thinking partner, research assistant, editor, and rehearsal coach — not as a replacement for judgment.
Here’s how I’d structure it:  
First, I’d use it to understand the topic and what executives care about.
Then, I’d use it to structure a clear, decision-focused narrative and tighten the slides.
Finally, I’d use it to simulate tough questions and simplify the message.
AI speeds me up — but I own the judgment and final story.</v>
      </c>
      <c r="L76" s="26" t="s">
        <v>331</v>
      </c>
      <c r="M76" s="28" t="str">
        <f>substitute('Prompt Template'!$A$2,$K$5,$L76)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for senior stakeholders on an unfamiliar topic, I’d use AI as a thinking partner, research assistant, editor, and rehearsal coach — not as a replacement for judgment.
Here’s how I’d structure it:  
First, I’d use it to understand the topic and what executives care about.
Then, I’d use it to structure a clear, decision-focused narrative and tighten the slides.
Finally, I’d use it to simulate tough questions and simplify the message.
AI speeds me up — but I own the judgment and final story.&lt;/user_input&gt;</v>
      </c>
      <c r="N76" s="26">
        <f t="array" ref="N76">index('Response Scoring'!$C:$C,match($A76,'Response Scoring'!$A:$A,0))</f>
        <v>3</v>
      </c>
      <c r="O76" s="29">
        <f t="shared" si="6"/>
        <v>1</v>
      </c>
      <c r="P76" s="26" t="str">
        <f>'Raw Data'!$L72</f>
        <v>When I’m working through a complex or messy problem, I’ll talk it through with AI to organize my thoughts, spot gaps, and challenge my assumptions. It helps me get to a clearer recommendation faster — so I can focus on making better decisions, not just sorting through information.</v>
      </c>
      <c r="Q76" s="26" t="s">
        <v>332</v>
      </c>
      <c r="R76" s="28" t="str">
        <f>substitute('Prompt Template'!$B$2,$P$5,$Q76)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&lt;user_input&gt;When I’m working through a complex or messy problem, I’ll talk it through with AI to organize my thoughts, spot gaps, and challenge my assumptions. It helps me get to a clearer recommendation faster — so I can focus on making better decisions, not just sorting through information.&lt;/user_input&gt;</v>
      </c>
      <c r="S76" s="26">
        <f t="array" ref="S76">index('Response Scoring'!$E:$E,match($A76,'Response Scoring'!$A:$A,0))</f>
        <v>2</v>
      </c>
      <c r="T76" s="29">
        <f t="shared" si="7"/>
        <v>0.6666666667</v>
      </c>
      <c r="U76" s="29">
        <f t="shared" si="8"/>
        <v>8.416666667</v>
      </c>
      <c r="V76" s="26" t="str">
        <f>'Raw Data'!$M72</f>
        <v>Analyzing presentation slides to evaluate both the visual design and written content for consistency</v>
      </c>
      <c r="W76" s="26">
        <f t="shared" si="9"/>
        <v>1</v>
      </c>
      <c r="X76" s="26" t="str">
        <f>'Raw Data'!$N72</f>
        <v>Hallucinations (generating false or misleading information), Biases in answers, Data privacy concerns when information is shared with an LLM, Vulnerability to manipulation by bad actors</v>
      </c>
      <c r="Y76" s="26">
        <f t="shared" si="10"/>
        <v>1</v>
      </c>
      <c r="Z76" s="26" t="str">
        <f>'Raw Data'!$O72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76" s="29">
        <f t="shared" si="11"/>
        <v>0</v>
      </c>
      <c r="AB76" s="26" t="str">
        <f>'Raw Data'!$P72</f>
        <v>Always: I routinely cross-check AI outputs with reliable sources</v>
      </c>
      <c r="AC76" s="26">
        <f t="shared" si="12"/>
        <v>1</v>
      </c>
      <c r="AD76" s="26" t="str">
        <f>'Raw Data'!$Q72</f>
        <v>Cross-reference key claims with reliable external sources, Use a different AI tool to review and verify the content, Check if the response uses confident language and specific details</v>
      </c>
      <c r="AE76" s="26">
        <f t="shared" si="13"/>
        <v>0</v>
      </c>
      <c r="AF76" s="30">
        <f t="shared" si="14"/>
        <v>6</v>
      </c>
      <c r="AG76" s="26" t="str">
        <f>'Raw Data'!$R72</f>
        <v>Sometimes: I iterate 2-3 times to reach a good result</v>
      </c>
      <c r="AH76" s="26">
        <f t="shared" si="15"/>
        <v>0.67</v>
      </c>
      <c r="AI76" s="26" t="str">
        <f>'Raw Data'!$S72</f>
        <v>Act as a senior executive advisor and strategic thinking partner.
I’m preparing for a high-stakes meeting to present a new initiative on: [insert topic + brief context]. The audience includes senior stakeholders (e.g., VP/SVP/C-level).
Your role is to help me sharpen both the thinking and the delivery.
Instructions:
Clarify the core objective and the exact decision I should ask for
Help me craft a clear, compelling executive-level narrative (problem → opportunity → recommendation → impact)
Identify key risks, trade-offs, and weak assumptions in my proposal
Generate 5–7 tough questions or objections I’m likely to face
Suggest strong, concise responses to those questions
Draft a sharp 2–3 minute opening summary I can use to start the meeting
Keep the guidance practical, direct, and focused on business impact, strategic alignment, and decision quality. Avoid generic advice.</v>
      </c>
      <c r="AJ76" s="26" t="s">
        <v>333</v>
      </c>
      <c r="AK76" s="28" t="str">
        <f>substitute('Prompt Template'!$C$2,$AI$5,$AJ76)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senior executive advisor and strategic thinking partner.
I’m preparing for a high-stakes meeting to present a new initiative on: [insert topic + brief context]. The audience includes senior stakeholders (e.g., VP/SVP/C-level).
Your role is to help me sharpen both the thinking and the delivery.
Instructions:
Clarify the core objective and the exact decision I should ask for
Help me craft a clear, compelling executive-level narrative (problem → opportunity → recommendation → impact)
Identify key risks, trade-offs, and weak assumptions in my proposal
Generate 5–7 tough questions or objections I’m likely to face
Suggest strong, concise responses to those questions
Draft a sharp 2–3 minute opening summary I can use to start the meeting
Keep the guidance practical, direct, and focused on business impact, strategic alignment, and decision quality. Avoid generic advice.&lt;/prompt&gt;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senior executive advisor and strategic thinking partner.
I’m preparing for a high-stakes meeting to present a new initiative on: [insert topic + brief context]. The audience includes senior stakeholders (e.g., VP/SVP/C-level).
Your role is to help me sharpen both the thinking and the delivery.
Instructions:
Clarify the core objective and the exact decision I should ask for
Help me craft a clear, compelling executive-level narrative (problem → opportunity → recommendation → impact)
Identify key risks, trade-offs, and weak assumptions in my proposal
Generate 5–7 tough questions or objections I’m likely to face
Suggest strong, concise responses to those questions
Draft a sharp 2–3 minute opening summary I can use to start the meeting
Keep the guidance practical, direct, and focused on business impact, strategic alignment, and decision quality. Avoid generic advice.&lt;/user_input&gt;</v>
      </c>
      <c r="AL76" s="26">
        <f t="array" ref="AL76">index('Response Scoring'!$G:$G,match($A76,'Response Scoring'!$A:$A,0))</f>
        <v>5</v>
      </c>
      <c r="AM76" s="26">
        <f t="shared" si="16"/>
        <v>1</v>
      </c>
      <c r="AN76" s="26" t="str">
        <f>'Raw Data'!$T72</f>
        <v>You are a Competitive Intelligence Assistant supporting strategy and product teams. Your role is to help team members consistently gather, structure, and analyze information about competitors’ products, pricing, positioning, and go-to-market strategies.
Focus on clarity, evidence, and structured output. Avoid speculation.
Core tasks : 
-When given a competitor name, you must:
-Company Overview
-Brief description of the company
Target customers / segments
-Core value proposition
-Recent strategic moves (if known)
-Product Analysis
Product features
-Differentiators
-Integrations
-Strengths and weaknesses
Pricing &amp; Packaging
-Pricing tiers (if available)
-Packaging structure
-Free trial / freemium model
-Enterprise vs SMB positioning
-Monetization strategy observations
Positioning &amp; Messaging
-Taglines and core messaging themes
-Key benefits emphasized
-Competitive claims
Target persona language
-Go-to-Market Strategy
-Sales-led vs product-led
-Channel strategy
-Partnerships
-Geographic focus (if visible)
Strategic Insights
-Implied strategic priorities
-Likely target segments
-Gaps or opportunities for us
-Risks posed to our business
Output Format Requirements
-Use clear section headers.
-Keep insights concise and structured.
-Separate facts from assumptions.
-Highlight uncertainties explicitly.
-End with a short “Implications for Us” summary.
Operating Guidelines
-Prioritize credible, recent information.
-Do not fabricate pricing or claims. If data is unavailable, state “Not publicly available.”
-Focus on business implications, not just descriptions.
-Avoid speculation unless clearly labeled as hypothesis.
-Be neutral and analytical.</v>
      </c>
      <c r="AO76" s="26" t="s">
        <v>334</v>
      </c>
      <c r="AP76" s="28" t="str">
        <f>substitute('Prompt Template'!$D$2,$AN$5,$AO76)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supporting strategy and product teams. Your role is to help team members consistently gather, structure, and analyze information about competitors’ products, pricing, positioning, and go-to-market strategies.
Focus on clarity, evidence, and structured output. Avoid speculation.
Core tasks : 
-When given a competitor name, you must:
-Company Overview
-Brief description of the company
Target customers / segments
-Core value proposition
-Recent strategic moves (if known)
-Product Analysis
Product features
-Differentiators
-Integrations
-Strengths and weaknesses
Pricing &amp; Packaging
-Pricing tiers (if available)
-Packaging structure
-Free trial / freemium model
-Enterprise vs SMB positioning
-Monetization strategy observations
Positioning &amp; Messaging
-Taglines and core messaging themes
-Key benefits emphasized
-Competitive claims
Target persona language
-Go-to-Market Strategy
-Sales-led vs product-led
-Channel strategy
-Partnerships
-Geographic focus (if visible)
Strategic Insights
-Implied strategic priorities
-Likely target segments
-Gaps or opportunities for us
-Risks posed to our business
Output Format Requirements
-Use clear section headers.
-Keep insights concise and structured.
-Separate facts from assumptions.
-Highlight uncertainties explicitly.
-End with a short “Implications for Us” summary.
Operating Guidelines
-Prioritize credible, recent information.
-Do not fabricate pricing or claims. If data is unavailable, state “Not publicly available.”
-Focus on business implications, not just descriptions.
-Avoid speculation unless clearly labeled as hypothesis.
-Be neutral and analytical.&lt;/user_input&gt;
</v>
      </c>
      <c r="AQ76" s="26">
        <f t="array" ref="AQ76">index('Response Scoring'!$I:$I,match($A76,'Response Scoring'!$A:$A,0))</f>
        <v>5</v>
      </c>
      <c r="AR76" s="26">
        <f t="shared" si="17"/>
        <v>1</v>
      </c>
      <c r="AS76" s="30">
        <f t="shared" si="18"/>
        <v>9.505</v>
      </c>
      <c r="AT76" s="26">
        <f t="shared" si="19"/>
        <v>40.635</v>
      </c>
      <c r="AU76" s="26">
        <f t="shared" si="20"/>
        <v>81.27</v>
      </c>
      <c r="AV76" s="26" t="str">
        <f t="shared" si="21"/>
        <v>AI Expert</v>
      </c>
      <c r="AW76" s="26" t="str">
        <f>'Raw Data'!U72</f>
        <v/>
      </c>
      <c r="AX76" s="26" t="str">
        <f>'Raw Data'!V72</f>
        <v/>
      </c>
      <c r="AY76" s="26" t="str">
        <f>'Raw Data'!W72</f>
        <v/>
      </c>
      <c r="AZ76" s="26" t="str">
        <f>'Raw Data'!X72</f>
        <v/>
      </c>
      <c r="BA76" s="26" t="str">
        <f>'Raw Data'!Y72</f>
        <v/>
      </c>
      <c r="BB76" s="26" t="str">
        <f>'Raw Data'!Z72</f>
        <v/>
      </c>
      <c r="BW76" s="31" t="str">
        <f>'Raw Data'!C72</f>
        <v>Global Communications</v>
      </c>
      <c r="BZ76" s="26" t="str">
        <f>'Raw Data'!F72</f>
        <v>Individual Contributor</v>
      </c>
      <c r="CA76" s="31" t="str">
        <f>'Raw Data'!AU72</f>
        <v>Building multi-agent (agent-agent communication)/ complete automations - not just a chatbot.</v>
      </c>
      <c r="CB76" s="31" t="str">
        <f>'Raw Data'!AV72</f>
        <v>I am exploring different tools for my personal use to learn more about multi agent framework and complete automations to learn more about it. Not using anything for work outside of approved stack due to nature of my work with sensitive data.</v>
      </c>
      <c r="CC76" s="31" t="str">
        <f>'Raw Data'!AW72</f>
        <v>Strongly agree</v>
      </c>
    </row>
    <row r="77" ht="15.75" customHeight="1">
      <c r="A77" s="26">
        <f>'Raw Data'!$A73</f>
        <v>71</v>
      </c>
      <c r="B77" s="26" t="str">
        <f>'Raw Data'!$G73</f>
        <v>Daily</v>
      </c>
      <c r="C77" s="26">
        <f t="shared" si="1"/>
        <v>1</v>
      </c>
      <c r="D77" s="26" t="str">
        <f>'Raw Data'!$H73</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77" s="26">
        <f t="shared" si="2"/>
        <v>2</v>
      </c>
      <c r="F77" s="27">
        <f t="shared" si="3"/>
        <v>0.6666666667</v>
      </c>
      <c r="G77" s="26" t="str">
        <f>'Raw Data'!$I73</f>
        <v>I create fresh prompts each time I use AI</v>
      </c>
      <c r="H77" s="26">
        <f t="shared" si="4"/>
        <v>0.25</v>
      </c>
      <c r="I77" s="26" t="str">
        <f>'Raw Data'!$J73</f>
        <v>Ask AI to write the summary after you've analyzed all the data</v>
      </c>
      <c r="J77" s="26">
        <f t="shared" si="5"/>
        <v>0.33</v>
      </c>
      <c r="K77" s="26" t="str">
        <f>'Raw Data'!$K73</f>
        <v>Create a detailed prompt including my role and those of my audience and ask it to gather and format the storyline, then edit from that draft foundation to nail down my final presentation.</v>
      </c>
      <c r="L77" s="26" t="s">
        <v>335</v>
      </c>
      <c r="M77" s="28" t="str">
        <f>substitute('Prompt Template'!$A$2,$K$5,$L77)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a detailed prompt including my role and those of my audience and ask it to gather and format the storyline, then edit from that draft foundation to nail down my final presentation.&lt;/user_input&gt;</v>
      </c>
      <c r="N77" s="26">
        <f t="array" ref="N77">index('Response Scoring'!$C:$C,match($A77,'Response Scoring'!$A:$A,0))</f>
        <v>2</v>
      </c>
      <c r="O77" s="29">
        <f t="shared" si="6"/>
        <v>0.6666666667</v>
      </c>
      <c r="P77" s="26" t="str">
        <f>'Raw Data'!$L73</f>
        <v>Synthesizing pieces or long form content into digestible updates and messages.</v>
      </c>
      <c r="Q77" s="26" t="s">
        <v>336</v>
      </c>
      <c r="R77" s="28" t="str">
        <f>substitute('Prompt Template'!$B$2,$P$5,$Q77)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&lt;user_input&gt;Synthesizing pieces or long form content into digestible updates and messages.&lt;/user_input&gt;</v>
      </c>
      <c r="S77" s="26">
        <f t="array" ref="S77">index('Response Scoring'!$E:$E,match($A77,'Response Scoring'!$A:$A,0))</f>
        <v>2</v>
      </c>
      <c r="T77" s="29">
        <f t="shared" si="7"/>
        <v>0.6666666667</v>
      </c>
      <c r="U77" s="29">
        <f t="shared" si="8"/>
        <v>6.08</v>
      </c>
      <c r="V77" s="26" t="str">
        <f>'Raw Data'!$M73</f>
        <v>Analyzing presentation slides to evaluate both the visual design and written content for consistency</v>
      </c>
      <c r="W77" s="26">
        <f t="shared" si="9"/>
        <v>1</v>
      </c>
      <c r="X77" s="26" t="str">
        <f>'Raw Data'!$N73</f>
        <v>Biases in answers</v>
      </c>
      <c r="Y77" s="26">
        <f t="shared" si="10"/>
        <v>0.25</v>
      </c>
      <c r="Z77" s="26" t="str">
        <f>'Raw Data'!$O73</f>
        <v>Anonymize information by removing identifying details, Use secure company instances or enterprise plans when available</v>
      </c>
      <c r="AA77" s="29">
        <f t="shared" si="11"/>
        <v>1</v>
      </c>
      <c r="AB77" s="26" t="str">
        <f>'Raw Data'!$P73</f>
        <v>Sometimes: I do a quick check against known data or references</v>
      </c>
      <c r="AC77" s="26">
        <f t="shared" si="12"/>
        <v>0.67</v>
      </c>
      <c r="AD77" s="26" t="str">
        <f>'Raw Data'!$Q73</f>
        <v>Check if the response uses confident language and specific details, Cross-reference key claims with reliable external sources, Ask the same AI tool to double-check its work for accuracy</v>
      </c>
      <c r="AE77" s="26">
        <f t="shared" si="13"/>
        <v>0</v>
      </c>
      <c r="AF77" s="30">
        <f t="shared" si="14"/>
        <v>5.84</v>
      </c>
      <c r="AG77" s="26" t="str">
        <f>'Raw Data'!$R73</f>
        <v>Frequently: I systematically refine prompts until I'm satisfied</v>
      </c>
      <c r="AH77" s="26">
        <f t="shared" si="15"/>
        <v>1</v>
      </c>
      <c r="AI77" s="26" t="str">
        <f>'Raw Data'!$S73</f>
        <v>As a director of marketing, provide pros and cons of the following proposal including implications to team member bandwidth, budget, and the ability to effectively measure results and impact. Format as bullets with a maximum of 5 pros and cons each, and 100 words each.</v>
      </c>
      <c r="AJ77" s="26" t="s">
        <v>337</v>
      </c>
      <c r="AK77" s="28" t="str">
        <f>substitute('Prompt Template'!$C$2,$AI$5,$AJ77)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director of marketing, provide pros and cons of the following proposal including implications to team member bandwidth, budget, and the ability to effectively measure results and impact. Format as bullets with a maximum of 5 pros and cons each, and 100 words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director of marketing, provide pros and cons of the following proposal including implications to team member bandwidth, budget, and the ability to effectively measure results and impact. Format as bullets with a maximum of 5 pros and cons each, and 100 words each.&lt;/user_input&gt;</v>
      </c>
      <c r="AL77" s="26">
        <f t="array" ref="AL77">index('Response Scoring'!$G:$G,match($A77,'Response Scoring'!$A:$A,0))</f>
        <v>2</v>
      </c>
      <c r="AM77" s="26">
        <f t="shared" si="16"/>
        <v>0.4</v>
      </c>
      <c r="AN77" s="26" t="str">
        <f>'Raw Data'!$T73</f>
        <v>As a marketing director, identify the top 5 competitors preventing us from making inroads in new accounts; include their industry, sub-segments, and regional strengths; prioritize for ability for Autodesk to execute displacement against them; format as a chart with a maximum of 200 words in any descriptor; and reference internally available and publicly available data sources, citing them where applicable.</v>
      </c>
      <c r="AO77" s="26" t="s">
        <v>338</v>
      </c>
      <c r="AP77" s="28" t="str">
        <f>substitute('Prompt Template'!$D$2,$AN$5,$AO77)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 a marketing director, identify the top 5 competitors preventing us from making inroads in new accounts; include their industry, sub-segments, and regional strengths; prioritize for ability for Autodesk to execute displacement against them; format as a chart with a maximum of 200 words in any descriptor; and reference internally available and publicly available data sources, citing them where applicable.&lt;/user_input&gt;
</v>
      </c>
      <c r="AQ77" s="26">
        <f t="array" ref="AQ77">index('Response Scoring'!$I:$I,match($A77,'Response Scoring'!$A:$A,0))</f>
        <v>2</v>
      </c>
      <c r="AR77" s="26">
        <f t="shared" si="17"/>
        <v>0.4</v>
      </c>
      <c r="AS77" s="30">
        <f t="shared" si="18"/>
        <v>4.9</v>
      </c>
      <c r="AT77" s="26">
        <f t="shared" si="19"/>
        <v>27.68</v>
      </c>
      <c r="AU77" s="26">
        <f t="shared" si="20"/>
        <v>55.36</v>
      </c>
      <c r="AV77" s="26" t="str">
        <f t="shared" si="21"/>
        <v>AI Experimenter</v>
      </c>
      <c r="AW77" s="26" t="str">
        <f>'Raw Data'!U73</f>
        <v/>
      </c>
      <c r="AX77" s="26" t="str">
        <f>'Raw Data'!V73</f>
        <v/>
      </c>
      <c r="AY77" s="26" t="str">
        <f>'Raw Data'!W73</f>
        <v/>
      </c>
      <c r="AZ77" s="26" t="str">
        <f>'Raw Data'!X73</f>
        <v/>
      </c>
      <c r="BA77" s="26" t="str">
        <f>'Raw Data'!Y73</f>
        <v/>
      </c>
      <c r="BB77" s="26" t="str">
        <f>'Raw Data'!Z73</f>
        <v/>
      </c>
      <c r="BW77" s="31" t="str">
        <f>'Raw Data'!C73</f>
        <v>Growth &amp; Partner Marketing</v>
      </c>
      <c r="BZ77" s="26" t="str">
        <f>'Raw Data'!F73</f>
        <v>Director or senior Director</v>
      </c>
      <c r="CA77" s="31" t="str">
        <f>'Raw Data'!AU73</f>
        <v>It still seems a free for all and mostly self-service versus a curated set of menu options and support resources for things I might want to accomplish but still not know how to do exactly myself.</v>
      </c>
      <c r="CB77" s="31" t="str">
        <f>'Raw Data'!AV73</f>
        <v>n/a</v>
      </c>
      <c r="CC77" s="31" t="str">
        <f>'Raw Data'!AW73</f>
        <v>Agree</v>
      </c>
    </row>
    <row r="78" ht="15.75" customHeight="1">
      <c r="A78" s="26">
        <f>'Raw Data'!$A74</f>
        <v>72</v>
      </c>
      <c r="B78" s="26" t="str">
        <f>'Raw Data'!$G74</f>
        <v>Weekly</v>
      </c>
      <c r="C78" s="26">
        <f t="shared" si="1"/>
        <v>0.5</v>
      </c>
      <c r="D78" s="26" t="str">
        <f>'Raw Data'!$H74</f>
        <v>Editing or improving text I've already written (emails, documents, presentations), Creating first drafts of content from scratch (reports, proposals, marketing copy), Building custom prompts, templates, or workflows that I reuse regularly, Getting quick answers to specific questions or looking up information</v>
      </c>
      <c r="E78" s="26">
        <f t="shared" si="2"/>
        <v>3</v>
      </c>
      <c r="F78" s="27">
        <f t="shared" si="3"/>
        <v>1</v>
      </c>
      <c r="G78" s="26" t="str">
        <f>'Raw Data'!$I74</f>
        <v>I create fresh prompts each time I use AI</v>
      </c>
      <c r="H78" s="26">
        <f t="shared" si="4"/>
        <v>0.25</v>
      </c>
      <c r="I78" s="26" t="str">
        <f>'Raw Data'!$J74</f>
        <v>Ask AI to write the summary after you've analyzed all the data</v>
      </c>
      <c r="J78" s="26">
        <f t="shared" si="5"/>
        <v>0.33</v>
      </c>
      <c r="K78" s="26" t="str">
        <f>'Raw Data'!$K74</f>
        <v>I would ask ChatGPT to give me a summary of the topic, where I can find more information, and then to generate a slide deck for me along with additional speaking points.</v>
      </c>
      <c r="L78" s="26" t="s">
        <v>339</v>
      </c>
      <c r="M78" s="28" t="str">
        <f>substitute('Prompt Template'!$A$2,$K$5,$L78)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ChatGPT to give me a summary of the topic, where I can find more information, and then to generate a slide deck for me along with additional speaking points.&lt;/user_input&gt;</v>
      </c>
      <c r="N78" s="26">
        <f t="array" ref="N78">index('Response Scoring'!$C:$C,match($A78,'Response Scoring'!$A:$A,0))</f>
        <v>2</v>
      </c>
      <c r="O78" s="29">
        <f t="shared" si="6"/>
        <v>0.6666666667</v>
      </c>
      <c r="P78" s="26" t="str">
        <f>'Raw Data'!$L74</f>
        <v>Summarizing data points into a few bullet points for QBR/reporting slide decks</v>
      </c>
      <c r="Q78" s="26" t="s">
        <v>340</v>
      </c>
      <c r="R78" s="28" t="str">
        <f>substitute('Prompt Template'!$B$2,$P$5,$Q78)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data points into a few bullet points for QBR/reporting slide decks&lt;/user_input&gt;</v>
      </c>
      <c r="S78" s="26">
        <f t="array" ref="S78">index('Response Scoring'!$E:$E,match($A78,'Response Scoring'!$A:$A,0))</f>
        <v>2</v>
      </c>
      <c r="T78" s="29">
        <f t="shared" si="7"/>
        <v>0.6666666667</v>
      </c>
      <c r="U78" s="29">
        <f t="shared" si="8"/>
        <v>6.33</v>
      </c>
      <c r="V78" s="26" t="str">
        <f>'Raw Data'!$M74</f>
        <v>Analyzing presentation slides to evaluate both the visual design and written content for consistency</v>
      </c>
      <c r="W78" s="26">
        <f t="shared" si="9"/>
        <v>1</v>
      </c>
      <c r="X78" s="26" t="str">
        <f>'Raw Data'!$N74</f>
        <v>Data privacy concerns when information is shared with an LLM, Biases in answers, Hallucinations (generating false or misleading information)</v>
      </c>
      <c r="Y78" s="26">
        <f t="shared" si="10"/>
        <v>0.75</v>
      </c>
      <c r="Z78" s="26" t="str">
        <f>'Raw Data'!$O74</f>
        <v>Verify that the AI tool has SSL/HTTPS encryption before using it</v>
      </c>
      <c r="AA78" s="29">
        <f t="shared" si="11"/>
        <v>0</v>
      </c>
      <c r="AB78" s="26" t="str">
        <f>'Raw Data'!$P74</f>
        <v>Rarely: I only verify if something doesn't sound right</v>
      </c>
      <c r="AC78" s="26">
        <f t="shared" si="12"/>
        <v>0.33</v>
      </c>
      <c r="AD78" s="26" t="str">
        <f>'Raw Data'!$Q74</f>
        <v>Cross-reference key claims with reliable external sources, Verify any calculations or data analysis independently</v>
      </c>
      <c r="AE78" s="26">
        <f t="shared" si="13"/>
        <v>0.5</v>
      </c>
      <c r="AF78" s="30">
        <f t="shared" si="14"/>
        <v>5.16</v>
      </c>
      <c r="AG78" s="26" t="str">
        <f>'Raw Data'!$R74</f>
        <v>Rarely: I only tweak the prompt if something feels obviously off</v>
      </c>
      <c r="AH78" s="26">
        <f t="shared" si="15"/>
        <v>0.33</v>
      </c>
      <c r="AI78" s="26" t="str">
        <f>'Raw Data'!$S74</f>
        <v>Generate an example of an overview document for a presentation of a new proposal</v>
      </c>
      <c r="AJ78" s="26" t="s">
        <v>341</v>
      </c>
      <c r="AK78" s="28" t="str">
        <f>substitute('Prompt Template'!$C$2,$AI$5,$AJ78)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an example of an overview document for a presentation of a new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an example of an overview document for a presentation of a new proposal&lt;/user_input&gt;</v>
      </c>
      <c r="AL78" s="26">
        <f t="array" ref="AL78">index('Response Scoring'!$G:$G,match($A78,'Response Scoring'!$A:$A,0))</f>
        <v>2</v>
      </c>
      <c r="AM78" s="26">
        <f t="shared" si="16"/>
        <v>0.4</v>
      </c>
      <c r="AN78" s="26" t="str">
        <f>'Raw Data'!$T74</f>
        <v>I don't know how to create custom AI instructions</v>
      </c>
      <c r="AO78" s="26" t="s">
        <v>101</v>
      </c>
      <c r="AP78" s="28" t="str">
        <f>substitute('Prompt Template'!$D$2,$AN$5,$AO78)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78" s="26">
        <f t="array" ref="AQ78">index('Response Scoring'!$I:$I,match($A78,'Response Scoring'!$A:$A,0))</f>
        <v>0</v>
      </c>
      <c r="AR78" s="26">
        <f t="shared" si="17"/>
        <v>0</v>
      </c>
      <c r="AS78" s="30">
        <f t="shared" si="18"/>
        <v>1.895</v>
      </c>
      <c r="AT78" s="26">
        <f t="shared" si="19"/>
        <v>21.025</v>
      </c>
      <c r="AU78" s="26">
        <f t="shared" si="20"/>
        <v>42.05</v>
      </c>
      <c r="AV78" s="26" t="str">
        <f t="shared" si="21"/>
        <v>AI Experimenter</v>
      </c>
      <c r="AW78" s="26" t="str">
        <f>'Raw Data'!U74</f>
        <v/>
      </c>
      <c r="AX78" s="26" t="str">
        <f>'Raw Data'!V74</f>
        <v/>
      </c>
      <c r="AY78" s="26" t="str">
        <f>'Raw Data'!W74</f>
        <v/>
      </c>
      <c r="AZ78" s="26" t="str">
        <f>'Raw Data'!X74</f>
        <v/>
      </c>
      <c r="BA78" s="26" t="str">
        <f>'Raw Data'!Y74</f>
        <v/>
      </c>
      <c r="BB78" s="26" t="str">
        <f>'Raw Data'!Z74</f>
        <v/>
      </c>
      <c r="BW78" s="31" t="str">
        <f>'Raw Data'!C74</f>
        <v>Growth &amp; Partner Marketing</v>
      </c>
      <c r="BZ78" s="26" t="str">
        <f>'Raw Data'!F74</f>
        <v>Individual Contributor</v>
      </c>
      <c r="CA78" s="31" t="str">
        <f>'Raw Data'!AU74</f>
        <v>Remembering to use it</v>
      </c>
      <c r="CB78" s="31" t="str">
        <f>'Raw Data'!AV74</f>
        <v>no others</v>
      </c>
      <c r="CC78" s="31" t="str">
        <f>'Raw Data'!AW74</f>
        <v>Strongly agree</v>
      </c>
    </row>
    <row r="79" ht="15.75" customHeight="1">
      <c r="A79" s="26">
        <f>'Raw Data'!$A75</f>
        <v>73</v>
      </c>
      <c r="B79" s="26" t="str">
        <f>'Raw Data'!$G75</f>
        <v>Several times a week</v>
      </c>
      <c r="C79" s="26">
        <f t="shared" si="1"/>
        <v>0.75</v>
      </c>
      <c r="D79" s="26" t="str">
        <f>'Raw Data'!$H75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79" s="26">
        <f t="shared" si="2"/>
        <v>2</v>
      </c>
      <c r="F79" s="27">
        <f t="shared" si="3"/>
        <v>0.6666666667</v>
      </c>
      <c r="G79" s="26" t="str">
        <f>'Raw Data'!$I75</f>
        <v>I create fresh prompts each time I use AI</v>
      </c>
      <c r="H79" s="26">
        <f t="shared" si="4"/>
        <v>0.25</v>
      </c>
      <c r="I79" s="26" t="str">
        <f>'Raw Data'!$J75</f>
        <v>Create a systematic process where AI handles data analysis and summary generation consistently</v>
      </c>
      <c r="J79" s="26">
        <f t="shared" si="5"/>
        <v>1</v>
      </c>
      <c r="K79" s="26" t="str">
        <f>'Raw Data'!$K75</f>
        <v>use AI to source relevant materials
cross-check AI-sourced materials and supplement what was missed
use AI to synthesize an opportunity assessment/summary based on compiled materials
proof-read the summary artifact and amend as necessary
use AI to help me predict/understand senior stakeholders' interest in the topic – why specifically do they care about this?
hand-draft a high-level outline with desired outcomes based on summary artifacts, use this outline in a prompt for the AI to create a more detailed presentation outline that draws specific data and anecdotes forward
refine the outline with additional output inspection and new prompts
use AI to create a presentation wireframe w/ talk-track and a started PPT file
practice the presentation in a Teams recording and solicit feedback from copilot on messaging and delivery</v>
      </c>
      <c r="L79" s="26" t="s">
        <v>342</v>
      </c>
      <c r="M79" s="28" t="str">
        <f>substitute('Prompt Template'!$A$2,$K$5,$L79)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source relevant materials
cross-check AI-sourced materials and supplement what was missed
use AI to synthesize an opportunity assessment/summary based on compiled materials
proof-read the summary artifact and amend as necessary
use AI to help me predict/understand senior stakeholders' interest in the topic – why specifically do they care about this?
hand-draft a high-level outline with desired outcomes based on summary artifacts, use this outline in a prompt for the AI to create a more detailed presentation outline that draws specific data and anecdotes forward
refine the outline with additional output inspection and new prompts
use AI to create a presentation wireframe w/ talk-track and a started PPT file
practice the presentation in a Teams recording and solicit feedback from copilot on messaging and delivery&lt;/user_input&gt;</v>
      </c>
      <c r="N79" s="26">
        <f t="array" ref="N79">index('Response Scoring'!$C:$C,match($A79,'Response Scoring'!$A:$A,0))</f>
        <v>3</v>
      </c>
      <c r="O79" s="29">
        <f t="shared" si="6"/>
        <v>1</v>
      </c>
      <c r="P79" s="26" t="str">
        <f>'Raw Data'!$L75</f>
        <v>zero-to-one strategy development: here's a complex situation and I think I want to approach it in xyz manner given abc data and insights... critique this plan to make it better, then help me add detail</v>
      </c>
      <c r="Q79" s="26" t="s">
        <v>343</v>
      </c>
      <c r="R79" s="28" t="str">
        <f>substitute('Prompt Template'!$B$2,$P$5,$Q79)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&lt;user_input&gt;zero-to-one strategy development: here's a complex situation and I think I want to approach it in xyz manner given abc data and insights... critique this plan to make it better, then help me add detail&lt;/user_input&gt;</v>
      </c>
      <c r="S79" s="26">
        <f t="array" ref="S79">index('Response Scoring'!$E:$E,match($A79,'Response Scoring'!$A:$A,0))</f>
        <v>2</v>
      </c>
      <c r="T79" s="29">
        <f t="shared" si="7"/>
        <v>0.6666666667</v>
      </c>
      <c r="U79" s="29">
        <f t="shared" si="8"/>
        <v>7.291666667</v>
      </c>
      <c r="V79" s="26" t="str">
        <f>'Raw Data'!$M75</f>
        <v>Analyzing presentation slides to evaluate both the visual design and written content for consistency</v>
      </c>
      <c r="W79" s="26">
        <f t="shared" si="9"/>
        <v>1</v>
      </c>
      <c r="X79" s="26" t="str">
        <f>'Raw Data'!$N75</f>
        <v>Hallucinations (generating false or misleading information), Biases in answers, Data privacy concerns when information is shared with an LLM</v>
      </c>
      <c r="Y79" s="26">
        <f t="shared" si="10"/>
        <v>0.75</v>
      </c>
      <c r="Z79" s="26" t="str">
        <f>'Raw Data'!$O75</f>
        <v>Use secure company instances or enterprise plans when available</v>
      </c>
      <c r="AA79" s="29">
        <f t="shared" si="11"/>
        <v>0.5</v>
      </c>
      <c r="AB79" s="26" t="str">
        <f>'Raw Data'!$P75</f>
        <v>Always: I routinely cross-check AI outputs with reliable sources</v>
      </c>
      <c r="AC79" s="26">
        <f t="shared" si="12"/>
        <v>1</v>
      </c>
      <c r="AD79" s="26" t="str">
        <f>'Raw Data'!$Q75</f>
        <v>Use a different AI tool to review and verify the content, Cross-reference key claims with reliable external sources, Verify any calculations or data analysis independently</v>
      </c>
      <c r="AE79" s="26">
        <f t="shared" si="13"/>
        <v>0.75</v>
      </c>
      <c r="AF79" s="30">
        <f t="shared" si="14"/>
        <v>8</v>
      </c>
      <c r="AG79" s="26" t="str">
        <f>'Raw Data'!$R75</f>
        <v>Frequently: I systematically refine prompts until I'm satisfied</v>
      </c>
      <c r="AH79" s="26">
        <f t="shared" si="15"/>
        <v>1</v>
      </c>
      <c r="AI79" s="26" t="str">
        <f>'Raw Data'!$S75</f>
        <v>I need your help prepping for meeting X (provide a link to the meeting w/ agenda and invite list)
My goal in the meeting is Y
My expectation is that the stakeholder dynamic will be Z, with core concern A shared by stakeholders B and C
The data and insights which shape my strategy are found here in this (linked) wiki
It's a 45 minute meeting and I'd like to reserve at least 15 minutes for Q&amp;A. Can you create a detailed agenda, a pre-read email, and an outline for the presentation?</v>
      </c>
      <c r="AJ79" s="26" t="s">
        <v>344</v>
      </c>
      <c r="AK79" s="28" t="str">
        <f>substitute('Prompt Template'!$C$2,$AI$5,$AJ79)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your help prepping for meeting X (provide a link to the meeting w/ agenda and invite list)
My goal in the meeting is Y
My expectation is that the stakeholder dynamic will be Z, with core concern A shared by stakeholders B and C
The data and insights which shape my strategy are found here in this (linked) wiki
It's a 45 minute meeting and I'd like to reserve at least 15 minutes for Q&amp;A. Can you create a detailed agenda, a pre-read email, and an outline for the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your help prepping for meeting X (provide a link to the meeting w/ agenda and invite list)
My goal in the meeting is Y
My expectation is that the stakeholder dynamic will be Z, with core concern A shared by stakeholders B and C
The data and insights which shape my strategy are found here in this (linked) wiki
It's a 45 minute meeting and I'd like to reserve at least 15 minutes for Q&amp;A. Can you create a detailed agenda, a pre-read email, and an outline for the presentation?&lt;/user_input&gt;</v>
      </c>
      <c r="AL79" s="26">
        <f t="array" ref="AL79">index('Response Scoring'!$G:$G,match($A79,'Response Scoring'!$A:$A,0))</f>
        <v>5</v>
      </c>
      <c r="AM79" s="26">
        <f t="shared" si="16"/>
        <v>1</v>
      </c>
      <c r="AN79" s="26" t="str">
        <f>'Raw Data'!$T75</f>
        <v>I need your help to update our competitive benchmarking analysis. Our product is X. Our core value prop is Y. Our key user personas are Z, A, and B. Our competitive threats are typically C, D, and E. Attached is our latest competitive analysis for reference, which we found to be very helpful. Since then, we've launched features F, G, and H targeting workflows I, J, and K. Please update the competitive analysis based on recent features launches for both X and C, D, and E. Please include a new section that frames broader threats and opportunities to us as well as the broader sector given recent changes to macro conditions, including AI, macroeconomics, and demographic shifts. I need you to do two things: 1) create a prompt that I can re-use each month as we update this analysis, and 2) create the competitive analysis as described here.</v>
      </c>
      <c r="AO79" s="26" t="s">
        <v>345</v>
      </c>
      <c r="AP79" s="28" t="str">
        <f>substitute('Prompt Template'!$D$2,$AN$5,$AO79)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your help to update our competitive benchmarking analysis. Our product is X. Our core value prop is Y. Our key user personas are Z, A, and B. Our competitive threats are typically C, D, and E. Attached is our latest competitive analysis for reference, which we found to be very helpful. Since then, we've launched features F, G, and H targeting workflows I, J, and K. Please update the competitive analysis based on recent features launches for both X and C, D, and E. Please include a new section that frames broader threats and opportunities to us as well as the broader sector given recent changes to macro conditions, including AI, macroeconomics, and demographic shifts. I need you to do two things: 1) create a prompt that I can re-use each month as we update this analysis, and 2) create the competitive analysis as described here.&lt;/user_input&gt;
</v>
      </c>
      <c r="AQ79" s="26">
        <f t="array" ref="AQ79">index('Response Scoring'!$I:$I,match($A79,'Response Scoring'!$A:$A,0))</f>
        <v>2</v>
      </c>
      <c r="AR79" s="26">
        <f t="shared" si="17"/>
        <v>0.4</v>
      </c>
      <c r="AS79" s="30">
        <f t="shared" si="18"/>
        <v>7</v>
      </c>
      <c r="AT79" s="26">
        <f t="shared" si="19"/>
        <v>36.9375</v>
      </c>
      <c r="AU79" s="26">
        <f t="shared" si="20"/>
        <v>73.875</v>
      </c>
      <c r="AV79" s="26" t="str">
        <f t="shared" si="21"/>
        <v>AI Practitioner</v>
      </c>
      <c r="AW79" s="26" t="str">
        <f>'Raw Data'!U75</f>
        <v/>
      </c>
      <c r="AX79" s="26" t="str">
        <f>'Raw Data'!V75</f>
        <v/>
      </c>
      <c r="AY79" s="26" t="str">
        <f>'Raw Data'!W75</f>
        <v/>
      </c>
      <c r="AZ79" s="26" t="str">
        <f>'Raw Data'!X75</f>
        <v/>
      </c>
      <c r="BA79" s="26" t="str">
        <f>'Raw Data'!Y75</f>
        <v/>
      </c>
      <c r="BB79" s="26" t="str">
        <f>'Raw Data'!Z75</f>
        <v/>
      </c>
      <c r="BW79" s="31" t="str">
        <f>'Raw Data'!C75</f>
        <v>Digital &amp; eCommerce</v>
      </c>
      <c r="BZ79" s="26" t="str">
        <f>'Raw Data'!F75</f>
        <v>Manager or Senior Manager</v>
      </c>
      <c r="CA79" s="31" t="str">
        <f>'Raw Data'!AU75</f>
        <v>understanding how and where to engage AI tools to do more technical work like connect with data warehouses and operational systems. i want to learn faster and experiment more, but access to truly powerful agents is limited</v>
      </c>
      <c r="CB79" s="31" t="str">
        <f>'Raw Data'!AV75</f>
        <v>none</v>
      </c>
      <c r="CC79" s="31" t="str">
        <f>'Raw Data'!AW75</f>
        <v>Neutral</v>
      </c>
    </row>
    <row r="80" ht="15.75" customHeight="1">
      <c r="A80" s="26">
        <f>'Raw Data'!$A76</f>
        <v>74</v>
      </c>
      <c r="B80" s="26" t="str">
        <f>'Raw Data'!$G76</f>
        <v>Daily</v>
      </c>
      <c r="C80" s="26">
        <f t="shared" si="1"/>
        <v>1</v>
      </c>
      <c r="D80" s="26" t="str">
        <f>'Raw Data'!$H76</f>
        <v>Using AI for vibe coding to prototype solutions, apps, or products,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E80" s="26">
        <f t="shared" si="2"/>
        <v>3</v>
      </c>
      <c r="F80" s="27">
        <f t="shared" si="3"/>
        <v>1</v>
      </c>
      <c r="G80" s="26" t="str">
        <f>'Raw Data'!$I76</f>
        <v>I create fresh prompts each time I use AI</v>
      </c>
      <c r="H80" s="26">
        <f t="shared" si="4"/>
        <v>0.25</v>
      </c>
      <c r="I80" s="26" t="str">
        <f>'Raw Data'!$J76</f>
        <v>Use AI to help analyze each data source, then compile results manually</v>
      </c>
      <c r="J80" s="26">
        <f t="shared" si="5"/>
        <v>0.67</v>
      </c>
      <c r="K80" s="26" t="str">
        <f>'Raw Data'!$K76</f>
        <v>I would use AI to first gain a detailed understanding of the topic, then segment into what sections should be covered. I'd use AI to assist in gathering data for charts and citations and also to produce an executive summary for the slide deck.</v>
      </c>
      <c r="L80" s="26" t="s">
        <v>346</v>
      </c>
      <c r="M80" s="28" t="str">
        <f>substitute('Prompt Template'!$A$2,$K$5,$L80)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first gain a detailed understanding of the topic, then segment into what sections should be covered. I'd use AI to assist in gathering data for charts and citations and also to produce an executive summary for the slide deck.&lt;/user_input&gt;</v>
      </c>
      <c r="N80" s="26">
        <f t="array" ref="N80">index('Response Scoring'!$C:$C,match($A80,'Response Scoring'!$A:$A,0))</f>
        <v>2</v>
      </c>
      <c r="O80" s="29">
        <f t="shared" si="6"/>
        <v>0.6666666667</v>
      </c>
      <c r="P80" s="26" t="str">
        <f>'Raw Data'!$L76</f>
        <v>I use it to vibe code and connect all of our data pipelines across tools.</v>
      </c>
      <c r="Q80" s="26" t="s">
        <v>347</v>
      </c>
      <c r="R80" s="28" t="str">
        <f>substitute('Prompt Template'!$B$2,$P$5,$Q80)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vibe code and connect all of our data pipelines across tools.&lt;/user_input&gt;</v>
      </c>
      <c r="S80" s="26">
        <f t="array" ref="S80">index('Response Scoring'!$E:$E,match($A80,'Response Scoring'!$A:$A,0))</f>
        <v>1</v>
      </c>
      <c r="T80" s="29">
        <f t="shared" si="7"/>
        <v>0.3333333333</v>
      </c>
      <c r="U80" s="29">
        <f t="shared" si="8"/>
        <v>5.586666667</v>
      </c>
      <c r="V80" s="26" t="str">
        <f>'Raw Data'!$M76</f>
        <v>Analyzing presentation slides to evaluate both the visual design and written content for consistency</v>
      </c>
      <c r="W80" s="26">
        <f t="shared" si="9"/>
        <v>1</v>
      </c>
      <c r="X80" s="26" t="str">
        <f>'Raw Data'!$N76</f>
        <v>Hallucinations (generating false or misleading information), Biases in answers, Data privacy concerns when information is shared with an LLM</v>
      </c>
      <c r="Y80" s="26">
        <f t="shared" si="10"/>
        <v>0.75</v>
      </c>
      <c r="Z80" s="26" t="str">
        <f>'Raw Data'!$O76</f>
        <v>Anonymize information by removing identifying details, Use secure company instances or enterprise plans when available</v>
      </c>
      <c r="AA80" s="29">
        <f t="shared" si="11"/>
        <v>1</v>
      </c>
      <c r="AB80" s="26" t="str">
        <f>'Raw Data'!$P76</f>
        <v>Always: I routinely cross-check AI outputs with reliable sources</v>
      </c>
      <c r="AC80" s="26">
        <f t="shared" si="12"/>
        <v>1</v>
      </c>
      <c r="AD80" s="26" t="str">
        <f>'Raw Data'!$Q76</f>
        <v>Cross-reference key claims with reliable external sources, Ask the same AI tool to double-check its work for accuracy</v>
      </c>
      <c r="AE80" s="26">
        <f t="shared" si="13"/>
        <v>0.5</v>
      </c>
      <c r="AF80" s="30">
        <f t="shared" si="14"/>
        <v>8.5</v>
      </c>
      <c r="AG80" s="26" t="str">
        <f>'Raw Data'!$R76</f>
        <v>Frequently: I systematically refine prompts until I'm satisfied</v>
      </c>
      <c r="AH80" s="26">
        <f t="shared" si="15"/>
        <v>1</v>
      </c>
      <c r="AI80" s="26" t="str">
        <f>'Raw Data'!$S76</f>
        <v>I'll be representing SEO at an upcoming meeting around x topic. he details are as follows. Those in attendance are xyz. Help me prepare 3-5 areas of focus that I should ensure are covered in support of SEO best practices.</v>
      </c>
      <c r="AJ80" s="26" t="s">
        <v>348</v>
      </c>
      <c r="AK80" s="28" t="str">
        <f>substitute('Prompt Template'!$C$2,$AI$5,$AJ80)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&lt;prompt&gt;I'll be representing SEO at an upcoming meeting around x topic. he details are as follows. Those in attendance are xyz. Help me prepare 3-5 areas of focus that I should ensure are covered in support of SEO best practices.&lt;/prompt&gt;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&lt;user_input&gt;I'll be representing SEO at an upcoming meeting around x topic. he details are as follows. Those in attendance are xyz. Help me prepare 3-5 areas of focus that I should ensure are covered in support of SEO best practices.&lt;/user_input&gt;</v>
      </c>
      <c r="AL80" s="26">
        <f t="array" ref="AL80">index('Response Scoring'!$G:$G,match($A80,'Response Scoring'!$A:$A,0))</f>
        <v>2</v>
      </c>
      <c r="AM80" s="26">
        <f t="shared" si="16"/>
        <v>0.4</v>
      </c>
      <c r="AN80" s="26" t="str">
        <f>'Raw Data'!$T76</f>
        <v>Create an agent to daily check the pricing of our competitor's products along with the H1-H3 headers to generate a summary of the product's positioning. Below is a file of the URLs and accompanying competitors. Output the results to a Slack channel #adsk-data in table format, with columns for product, price, and position.</v>
      </c>
      <c r="AO80" s="26" t="s">
        <v>349</v>
      </c>
      <c r="AP80" s="28" t="str">
        <f>substitute('Prompt Template'!$D$2,$AN$5,$AO80)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an agent to daily check the pricing of our competitor's products along with the H1-H3 headers to generate a summary of the product's positioning. Below is a file of the URLs and accompanying competitors. Output the results to a Slack channel #adsk-data in table format, with columns for product, price, and position.&lt;/user_input&gt;
</v>
      </c>
      <c r="AQ80" s="26">
        <f t="array" ref="AQ80">index('Response Scoring'!$I:$I,match($A80,'Response Scoring'!$A:$A,0))</f>
        <v>4</v>
      </c>
      <c r="AR80" s="26">
        <f t="shared" si="17"/>
        <v>0.8</v>
      </c>
      <c r="AS80" s="30">
        <f t="shared" si="18"/>
        <v>6.9</v>
      </c>
      <c r="AT80" s="26">
        <f t="shared" si="19"/>
        <v>34.93</v>
      </c>
      <c r="AU80" s="26">
        <f t="shared" si="20"/>
        <v>69.86</v>
      </c>
      <c r="AV80" s="26" t="str">
        <f t="shared" si="21"/>
        <v>AI Practitioner</v>
      </c>
      <c r="AW80" s="26" t="str">
        <f>'Raw Data'!U76</f>
        <v/>
      </c>
      <c r="AX80" s="26" t="str">
        <f>'Raw Data'!V76</f>
        <v/>
      </c>
      <c r="AY80" s="26" t="str">
        <f>'Raw Data'!W76</f>
        <v/>
      </c>
      <c r="AZ80" s="26" t="str">
        <f>'Raw Data'!X76</f>
        <v/>
      </c>
      <c r="BA80" s="26" t="str">
        <f>'Raw Data'!Y76</f>
        <v/>
      </c>
      <c r="BB80" s="26" t="str">
        <f>'Raw Data'!Z76</f>
        <v/>
      </c>
      <c r="BW80" s="31" t="str">
        <f>'Raw Data'!C76</f>
        <v>Acquisition &amp; Performance Marketing</v>
      </c>
      <c r="BZ80" s="26" t="str">
        <f>'Raw Data'!F76</f>
        <v>Manager or Senior Manager</v>
      </c>
      <c r="CA80" s="31" t="str">
        <f>'Raw Data'!AU76</f>
        <v>I like using different LLMs for different needs, but we're limited to ChatGPT on the business account -- whereas Claude has been better with SQL code.</v>
      </c>
      <c r="CB80" s="31" t="str">
        <f>'Raw Data'!AV76</f>
        <v>Claude, Gemini</v>
      </c>
      <c r="CC80" s="31" t="str">
        <f>'Raw Data'!AW76</f>
        <v>Strongly agree</v>
      </c>
    </row>
    <row r="81" ht="15.75" customHeight="1">
      <c r="A81" s="26">
        <f>'Raw Data'!$A77</f>
        <v>75</v>
      </c>
      <c r="B81" s="26" t="str">
        <f>'Raw Data'!$G77</f>
        <v>Daily</v>
      </c>
      <c r="C81" s="26">
        <f t="shared" si="1"/>
        <v>1</v>
      </c>
      <c r="D81" s="26" t="str">
        <f>'Raw Data'!$H77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v>
      </c>
      <c r="E81" s="26">
        <f t="shared" si="2"/>
        <v>3</v>
      </c>
      <c r="F81" s="27">
        <f t="shared" si="3"/>
        <v>1</v>
      </c>
      <c r="G81" s="26" t="str">
        <f>'Raw Data'!$I77</f>
        <v>I maintain a library of prompts that I reuse frequently</v>
      </c>
      <c r="H81" s="26">
        <f t="shared" si="4"/>
        <v>0.5</v>
      </c>
      <c r="I81" s="26" t="str">
        <f>'Raw Data'!$J77</f>
        <v>Create a systematic process where AI handles data analysis and summary generation consistently</v>
      </c>
      <c r="J81" s="26">
        <f t="shared" si="5"/>
        <v>1</v>
      </c>
      <c r="K81" s="26" t="str">
        <f>'Raw Data'!$K77</f>
        <v>1. Use it to get smart on the topic - incorporate chatgpt / copilot access to the sharepoint to find out how the topic has been incorporated at Autodesk.
2. Use it to help brainstorm questions or topics senior stakeholders would be interested in and conduct a back and forth with my own knowledge of those stakeholders.
3. Begin crafting my presentation. I would not use it for direct powerpoint creation but instead would use it to help edit slide titles, bullets and suggest style edits to make it look consistent.
4. Would use it as a proof reading tool to assess my presentation and help create speaking notes.
5. Would use it to help take notes while I am presenting to allow me to be present and engaged in the meeting and summarize action items to wrap up the meeting.</v>
      </c>
      <c r="L81" s="26" t="s">
        <v>350</v>
      </c>
      <c r="M81" s="28" t="str">
        <f>substitute('Prompt Template'!$A$2,$K$5,$L81)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Use it to get smart on the topic - incorporate chatgpt / copilot access to the sharepoint to find out how the topic has been incorporated at Autodesk.
2. Use it to help brainstorm questions or topics senior stakeholders would be interested in and conduct a back and forth with my own knowledge of those stakeholders.
3. Begin crafting my presentation. I would not use it for direct powerpoint creation but instead would use it to help edit slide titles, bullets and suggest style edits to make it look consistent.
4. Would use it as a proof reading tool to assess my presentation and help create speaking notes.
5. Would use it to help take notes while I am presenting to allow me to be present and engaged in the meeting and summarize action items to wrap up the meeting.&lt;/user_input&gt;</v>
      </c>
      <c r="N81" s="26">
        <f t="array" ref="N81">index('Response Scoring'!$C:$C,match($A81,'Response Scoring'!$A:$A,0))</f>
        <v>3</v>
      </c>
      <c r="O81" s="29">
        <f t="shared" si="6"/>
        <v>1</v>
      </c>
      <c r="P81" s="26" t="str">
        <f>'Raw Data'!$L77</f>
        <v>I have a bot called "ChatPPT" which I trained on consulting powerpoint slides and the Autodesk color pallet to help me style and provide feedback on designs.</v>
      </c>
      <c r="Q81" s="26" t="s">
        <v>351</v>
      </c>
      <c r="R81" s="28" t="str">
        <f>substitute('Prompt Template'!$B$2,$P$5,$Q81)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a bot called "ChatPPT" which I trained on consulting powerpoint slides and the Autodesk color pallet to help me style and provide feedback on designs.&lt;/user_input&gt;</v>
      </c>
      <c r="S81" s="26">
        <f t="array" ref="S81">index('Response Scoring'!$E:$E,match($A81,'Response Scoring'!$A:$A,0))</f>
        <v>2</v>
      </c>
      <c r="T81" s="29">
        <f t="shared" si="7"/>
        <v>0.6666666667</v>
      </c>
      <c r="U81" s="29">
        <f t="shared" si="8"/>
        <v>8.166666667</v>
      </c>
      <c r="V81" s="26" t="str">
        <f>'Raw Data'!$M77</f>
        <v>Analyzing presentation slides to evaluate both the visual design and written content for consistency</v>
      </c>
      <c r="W81" s="26">
        <f t="shared" si="9"/>
        <v>1</v>
      </c>
      <c r="X81" s="26" t="str">
        <f>'Raw Data'!$N77</f>
        <v>Hallucinations (generating false or misleading information), Biases in answers, Data privacy concerns when information is shared with an LLM, Vulnerability to manipulation by bad actors</v>
      </c>
      <c r="Y81" s="26">
        <f t="shared" si="10"/>
        <v>1</v>
      </c>
      <c r="Z81" s="26" t="str">
        <f>'Raw Data'!$O77</f>
        <v>Use secure company instances or enterprise plans when available, Anonymize information by removing identifying details, Verify that the AI tool has SSL/HTTPS encryption before using it</v>
      </c>
      <c r="AA81" s="29">
        <f t="shared" si="11"/>
        <v>0</v>
      </c>
      <c r="AB81" s="26" t="str">
        <f>'Raw Data'!$P77</f>
        <v>Always: I routinely cross-check AI outputs with reliable sources</v>
      </c>
      <c r="AC81" s="26">
        <f t="shared" si="12"/>
        <v>1</v>
      </c>
      <c r="AD81" s="26" t="str">
        <f>'Raw Data'!$Q77</f>
        <v>Use a different AI tool to review and verify the content, Cross-reference key claims with reliable external sources, Verify any calculations or data analysis independently, Ask the same AI tool to double-check its work for accuracy</v>
      </c>
      <c r="AE81" s="26">
        <f t="shared" si="13"/>
        <v>1</v>
      </c>
      <c r="AF81" s="30">
        <f t="shared" si="14"/>
        <v>8</v>
      </c>
      <c r="AG81" s="26" t="str">
        <f>'Raw Data'!$R77</f>
        <v>Frequently: I systematically refine prompts until I'm satisfied</v>
      </c>
      <c r="AH81" s="26">
        <f t="shared" si="15"/>
        <v>1</v>
      </c>
      <c r="AI81" s="26" t="str">
        <f>'Raw Data'!$S77</f>
        <v>I’m preparing for a work meeting to discuss a new initiative/proposal
Context:
Organization: Autodesk
Audience: Executive leadership team (VP +)
Meeting objective: Alignment
Time allotted: 20 minutes
My role: Owner
About the initiative:
Problem we’re solving: Bring new transformative capabilities to .com next
Why this matters now: Our conversion rate is lagging for the last 8 quarters and is not in line with industry B2B standards
Proposed solution: Scoping between engineering, product and WWM on monthly basis
Expected impact (business, customer, technical, financial): Technical / internal business risk if not executed
Risks and tradeoffs: Speed / Quality
Known objections or sensitivities: Very slim resources and heavy deliverables committed through this quarter
Please help me prepare by:
Crafting a compelling meeting narrative (clear, persuasive storyline).
Refining a concise executive summary (2–3 minutes verbal version).
Identifying likely stakeholder questions and strong responses.
Highlighting strategic risks, dependencies, and mitigation strategies.
Suggesting supporting data or metrics I should bring.
Recommending a clear ask and decision framing.
Stress-testing the proposal (what could go wrong? what assumptions am I making?).
Suggesting slide structure (if presenting).</v>
      </c>
      <c r="AJ81" s="26" t="s">
        <v>352</v>
      </c>
      <c r="AK81" s="28" t="str">
        <f>substitute('Prompt Template'!$C$2,$AI$5,$AJ81)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Context:
Organization: Autodesk
Audience: Executive leadership team (VP +)
Meeting objective: Alignment
Time allotted: 20 minutes
My role: Owner
About the initiative:
Problem we’re solving: Bring new transformative capabilities to .com next
Why this matters now: Our conversion rate is lagging for the last 8 quarters and is not in line with industry B2B standards
Proposed solution: Scoping between engineering, product and WWM on monthly basis
Expected impact (business, customer, technical, financial): Technical / internal business risk if not executed
Risks and tradeoffs: Speed / Quality
Known objections or sensitivities: Very slim resources and heavy deliverables committed through this quarter
Please help me prepare by:
Crafting a compelling meeting narrative (clear, persuasive storyline).
Refining a concise executive summary (2–3 minutes verbal version).
Identifying likely stakeholder questions and strong responses.
Highlighting strategic risks, dependencies, and mitigation strategies.
Suggesting supporting data or metrics I should bring.
Recommending a clear ask and decision framing.
Stress-testing the proposal (what could go wrong? what assumptions am I making?).
Suggesting slide structure (if presenting).&lt;/prompt&gt;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Context:
Organization: Autodesk
Audience: Executive leadership team (VP +)
Meeting objective: Alignment
Time allotted: 20 minutes
My role: Owner
About the initiative:
Problem we’re solving: Bring new transformative capabilities to .com next
Why this matters now: Our conversion rate is lagging for the last 8 quarters and is not in line with industry B2B standards
Proposed solution: Scoping between engineering, product and WWM on monthly basis
Expected impact (business, customer, technical, financial): Technical / internal business risk if not executed
Risks and tradeoffs: Speed / Quality
Known objections or sensitivities: Very slim resources and heavy deliverables committed through this quarter
Please help me prepare by:
Crafting a compelling meeting narrative (clear, persuasive storyline).
Refining a concise executive summary (2–3 minutes verbal version).
Identifying likely stakeholder questions and strong responses.
Highlighting strategic risks, dependencies, and mitigation strategies.
Suggesting supporting data or metrics I should bring.
Recommending a clear ask and decision framing.
Stress-testing the proposal (what could go wrong? what assumptions am I making?).
Suggesting slide structure (if presenting).&lt;/user_input&gt;</v>
      </c>
      <c r="AL81" s="26">
        <f t="array" ref="AL81">index('Response Scoring'!$G:$G,match($A81,'Response Scoring'!$A:$A,0))</f>
        <v>5</v>
      </c>
      <c r="AM81" s="26">
        <f t="shared" si="16"/>
        <v>1</v>
      </c>
      <c r="AN81" s="26" t="str">
        <f>'Raw Data'!$T77</f>
        <v>Role &amp; Purpose
You are a Competitive Intelligence Research Agent designed to help team members consistently gather, structure, and analyze information about competitors’ products, pricing, positioning, messaging, and go-to-market strategy.
Your goal is to:
Produce structured, repeatable competitive research outputs
Surface meaningful strategic insights (not just summaries)
Highlight implications for our team
Maintain objectivity and evidence-based analysis
Always prioritize accuracy, clarity, and structured formatting.
Core Responsibilities
When a user provides a competitor name (or product), you must:
1. Company Overview
Provide:
Company description
Target market / ICP
Primary product lines
Funding status (if public)
Market positioning
Strategic focus areas
Keep this concise but informative.
2. Product Analysis
Document:
Core features and capabilities
Differentiators
Platform integrations
Packaging (tiers, bundles, add-ons)
Roadmap signals (if visible)
Strengths
Weaknesses or gaps
If information is missing, clearly state:
“No public information available on X.”
Do not speculate without labeling assumptions.
3. Pricing &amp; Packaging Breakdown
Provide:
Pricing model (subscription, usage-based, enterprise quote, etc.)
Public pricing tiers
Entry price point
Enterprise positioning
Discount signals (if any)
Free trial / freemium availability
If pricing is not public, suggest:
How pricing may be structured based on patterns
Questions sales teams should ask
4. Messaging &amp; Positioning Analysis
Analyze:
Website headlines and value propositions
Core claims
Target buyer language
Differentiation themes
Emotional vs. functional messaging
Competitive comparison pages (if available)
Then summarize:
Primary narrative
Secondary narrative
Positioning strategy
5. Target Customer &amp; Go-To-Market
Identify:
Target industries
Company size focus
Buyer persona
Sales-led vs product-led signals
Channel strategy
Partnerships
Ecosystem plays
6. Competitive Comparison Framework
Always include a structured comparison table:
Category	Competitor	Us (if info provided)	Notes
If no internal comparison data is given, leave “Us” blank.
7. Strategic Insights Section (Critical)
This section is mandatory.
Provide:
Strategic strengths
Vulnerabilities
Where they are over-positioned
Where they are under-positioned
Likely future moves
Risk level to our business (Low / Medium / High)
Recommended counter-strategy
Focus on implications, not repetition.
8. Executive Summary (1-Page Brief Format)
End with:
5 bullet takeaways
3 recommended actions
2 risks to monitor
Make this easily copy-paste ready for leadership.
Output Formatting Standards
Use clear headers
Use tables where appropriate
Avoid long paragraphs
Be structured and scannable
Separate facts from analysis
Clearly label assumptions
Research Method Guidance
Prioritize official sources (website, blog, pricing page, press releases)
Use secondary sources cautiously
Flag uncertain or outdated information
Never fabricate data
When unsure, say so
Tone &amp; Style
Analytical
Neutral and objective
Strategic
Concise but thorough
Avoid hype language
Optional Modes
If the user specifies:
“Quick scan” → Provide a 5-minute summary version
“Deep dive” → Expand each section with detail
“Sales battlecard” → Focus on objections &amp; talking points
“Exec brief” → Condense into 1-page strategic memo
“Pricing focus” → Expand pricing and packaging analysis
“Messaging audit” → Expand positioning &amp; narrative analysis
What You Must Not Do
Do not invent data.
Do not make legal claims without evidence.
Do not copy large sections of proprietary text.
Do not speculate without labeling it clearly as analysis.
Example Invocation
User:
“Analyze Competitor X. Deep dive. Compare against our enterprise offering.”
You should:
Follow all 8 sections
Include structured comparison
Add enterprise-specific analysis
Conclude with recommended counter-positioning</v>
      </c>
      <c r="AO81" s="26" t="s">
        <v>353</v>
      </c>
      <c r="AP81" s="28" t="str">
        <f>substitute('Prompt Template'!$D$2,$AN$5,$AO81)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Research Agent designed to help team members consistently gather, structure, and analyze information about competitors’ products, pricing, positioning, messaging, and go-to-market strategy.
Your goal is to:
Produce structured, repeatable competitive research outputs
Surface meaningful strategic insights (not just summaries)
Highlight implications for our team
Maintain objectivity and evidence-based analysis
Always prioritize accuracy, clarity, and structured formatting.
Core Responsibilities
When a user provides a competitor name (or product), you must:
1. Company Overview
Provide:
Company description
Target market / ICP
Primary product lines
Funding status (if public)
Market positioning
Strategic focus areas
Keep this concise but informative.
2. Product Analysis
Document:
Core features and capabilities
Differentiators
Platform integrations
Packaging (tiers, bundles, add-ons)
Roadmap signals (if visible)
Strengths
Weaknesses or gaps
If information is missing, clearly state:
“No public information available on X.”
Do not speculate without labeling assumptions.
3. Pricing &amp; Packaging Breakdown
Provide:
Pricing model (subscription, usage-based, enterprise quote, etc.)
Public pricing tiers
Entry price point
Enterprise positioning
Discount signals (if any)
Free trial / freemium availability
If pricing is not public, suggest:
How pricing may be structured based on patterns
Questions sales teams should ask
4. Messaging &amp; Positioning Analysis
Analyze:
Website headlines and value propositions
Core claims
Target buyer language
Differentiation themes
Emotional vs. functional messaging
Competitive comparison pages (if available)
Then summarize:
Primary narrative
Secondary narrative
Positioning strategy
5. Target Customer &amp; Go-To-Market
Identify:
Target industries
Company size focus
Buyer persona
Sales-led vs product-led signals
Channel strategy
Partnerships
Ecosystem plays
6. Competitive Comparison Framework
Always include a structured comparison table:
Category	Competitor	Us (if info provided)	Notes
If no internal comparison data is given, leave “Us” blank.
7. Strategic Insights Section (Critical)
This section is mandatory.
Provide:
Strategic strengths
Vulnerabilities
Where they are over-positioned
Where they are under-positioned
Likely future moves
Risk level to our business (Low / Medium / High)
Recommended counter-strategy
Focus on implications, not repetition.
8. Executive Summary (1-Page Brief Format)
End with:
5 bullet takeaways
3 recommended actions
2 risks to monitor
Make this easily copy-paste ready for leadership.
Output Formatting Standards
Use clear headers
Use tables where appropriate
Avoid long paragraphs
Be structured and scannable
Separate facts from analysis
Clearly label assumptions
Research Method Guidance
Prioritize official sources (website, blog, pricing page, press releases)
Use secondary sources cautiously
Flag uncertain or outdated information
Never fabricate data
When unsure, say so
Tone &amp; Style
Analytical
Neutral and objective
Strategic
Concise but thorough
Avoid hype language
Optional Modes
If the user specifies:
“Quick scan” → Provide a 5-minute summary version
“Deep dive” → Expand each section with detail
“Sales battlecard” → Focus on objections &amp; talking points
“Exec brief” → Condense into 1-page strategic memo
“Pricing focus” → Expand pricing and packaging analysis
“Messaging audit” → Expand positioning &amp; narrative analysis
What You Must Not Do
Do not invent data.
Do not make legal claims without evidence.
Do not copy large sections of proprietary text.
Do not speculate without labeling it clearly as analysis.
Example Invocation
User:
“Analyze Competitor X. Deep dive. Compare against our enterprise offering.”
You should:
Follow all 8 sections
Include structured comparison
Add enterprise-specific analysis
Conclude with recommended counter-positioning&lt;/user_input&gt;
</v>
      </c>
      <c r="AQ81" s="26">
        <f t="array" ref="AQ81">index('Response Scoring'!$I:$I,match($A81,'Response Scoring'!$A:$A,0))</f>
        <v>5</v>
      </c>
      <c r="AR81" s="26">
        <f t="shared" si="17"/>
        <v>1</v>
      </c>
      <c r="AS81" s="30">
        <f t="shared" si="18"/>
        <v>10</v>
      </c>
      <c r="AT81" s="26">
        <f t="shared" si="19"/>
        <v>44.25</v>
      </c>
      <c r="AU81" s="26">
        <f t="shared" si="20"/>
        <v>88.5</v>
      </c>
      <c r="AV81" s="26" t="str">
        <f t="shared" si="21"/>
        <v>AI Expert</v>
      </c>
      <c r="AW81" s="26" t="str">
        <f>'Raw Data'!U77</f>
        <v/>
      </c>
      <c r="AX81" s="26" t="str">
        <f>'Raw Data'!V77</f>
        <v/>
      </c>
      <c r="AY81" s="26" t="str">
        <f>'Raw Data'!W77</f>
        <v/>
      </c>
      <c r="AZ81" s="26" t="str">
        <f>'Raw Data'!X77</f>
        <v/>
      </c>
      <c r="BA81" s="26" t="str">
        <f>'Raw Data'!Y77</f>
        <v/>
      </c>
      <c r="BB81" s="26" t="str">
        <f>'Raw Data'!Z77</f>
        <v/>
      </c>
      <c r="BW81" s="31" t="str">
        <f>'Raw Data'!C77</f>
        <v>Digital &amp; eCommerce</v>
      </c>
      <c r="BZ81" s="26" t="str">
        <f>'Raw Data'!F77</f>
        <v>Director or senior Director</v>
      </c>
      <c r="CA81" s="31" t="str">
        <f>'Raw Data'!AU77</f>
        <v>Accuracy and hallucinations across prompts</v>
      </c>
      <c r="CB81" s="31" t="str">
        <f>'Raw Data'!AV77</f>
        <v>None</v>
      </c>
      <c r="CC81" s="31" t="str">
        <f>'Raw Data'!AW77</f>
        <v>Strongly agree</v>
      </c>
    </row>
    <row r="82" ht="15.75" customHeight="1">
      <c r="A82" s="26">
        <f>'Raw Data'!$A78</f>
        <v>76</v>
      </c>
      <c r="B82" s="26" t="str">
        <f>'Raw Data'!$G78</f>
        <v>Daily</v>
      </c>
      <c r="C82" s="26">
        <f t="shared" si="1"/>
        <v>1</v>
      </c>
      <c r="D82" s="26" t="str">
        <f>'Raw Data'!$H78</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82" s="26">
        <f t="shared" si="2"/>
        <v>2</v>
      </c>
      <c r="F82" s="27">
        <f t="shared" si="3"/>
        <v>0.6666666667</v>
      </c>
      <c r="G82" s="26" t="str">
        <f>'Raw Data'!$I78</f>
        <v>I've built custom AI tools (i.e. CustomGPTs, Copilot Agents) for repetitive tasks</v>
      </c>
      <c r="H82" s="26">
        <f t="shared" si="4"/>
        <v>0.75</v>
      </c>
      <c r="I82" s="26" t="str">
        <f>'Raw Data'!$J78</f>
        <v>Create a systematic process where AI handles data analysis and summary generation consistently</v>
      </c>
      <c r="J82" s="26">
        <f t="shared" si="5"/>
        <v>1</v>
      </c>
      <c r="K82" s="26" t="str">
        <f>'Raw Data'!$K78</f>
        <v>I would use ChatGPT or Copilot to assist. I would prompt it with a compilation of relevant source material, additional context, and key objectives. Once it generates the preliminary structure of my presentation,  I would tweak and refine it as necessary while ensuring the PPT formatting is on brand based on the latest branded template. Finally, I would use AI again to help generate talking points for specific slides if necessary.</v>
      </c>
      <c r="L82" s="26" t="s">
        <v>354</v>
      </c>
      <c r="M82" s="28" t="str">
        <f>substitute('Prompt Template'!$A$2,$K$5,$L82)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or Copilot to assist. I would prompt it with a compilation of relevant source material, additional context, and key objectives. Once it generates the preliminary structure of my presentation,  I would tweak and refine it as necessary while ensuring the PPT formatting is on brand based on the latest branded template. Finally, I would use AI again to help generate talking points for specific slides if necessary.&lt;/user_input&gt;</v>
      </c>
      <c r="N82" s="26">
        <f t="array" ref="N82">index('Response Scoring'!$C:$C,match($A82,'Response Scoring'!$A:$A,0))</f>
        <v>2</v>
      </c>
      <c r="O82" s="29">
        <f t="shared" si="6"/>
        <v>0.6666666667</v>
      </c>
      <c r="P82" s="26" t="str">
        <f>'Raw Data'!$L78</f>
        <v>Most recently, I created a custom GPT to act as a tailored AI assistant that generates admin task-based operational onboarding emails and renewal readiness emails for tech admins. This has saved me the initial hours it would typically take to kick off the content creation process from scratch, so I can focus more on content strategy and optimization. I'm also using AI a lot more to analyze campaign performance data to summarize key takeaways and help ideate on next steps to leverage those learnings.</v>
      </c>
      <c r="Q82" s="26" t="s">
        <v>355</v>
      </c>
      <c r="R82" s="28" t="str">
        <f>substitute('Prompt Template'!$B$2,$P$5,$Q82)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&lt;user_input&gt;Most recently, I created a custom GPT to act as a tailored AI assistant that generates admin task-based operational onboarding emails and renewal readiness emails for tech admins. This has saved me the initial hours it would typically take to kick off the content creation process from scratch, so I can focus more on content strategy and optimization. I'm also using AI a lot more to analyze campaign performance data to summarize key takeaways and help ideate on next steps to leverage those learnings.&lt;/user_input&gt;</v>
      </c>
      <c r="S82" s="26">
        <f t="array" ref="S82">index('Response Scoring'!$E:$E,match($A82,'Response Scoring'!$A:$A,0))</f>
        <v>2</v>
      </c>
      <c r="T82" s="29">
        <f t="shared" si="7"/>
        <v>0.6666666667</v>
      </c>
      <c r="U82" s="29">
        <f t="shared" si="8"/>
        <v>7.25</v>
      </c>
      <c r="V82" s="26" t="str">
        <f>'Raw Data'!$M78</f>
        <v>Analyzing presentation slides to evaluate both the visual design and written content for consistency</v>
      </c>
      <c r="W82" s="26">
        <f t="shared" si="9"/>
        <v>1</v>
      </c>
      <c r="X82" s="26" t="str">
        <f>'Raw Data'!$N78</f>
        <v>Hallucinations (generating false or misleading information), Biases in answers, Data privacy concerns when information is shared with an LLM, Vulnerability to manipulation by bad actors</v>
      </c>
      <c r="Y82" s="26">
        <f t="shared" si="10"/>
        <v>1</v>
      </c>
      <c r="Z82" s="26" t="str">
        <f>'Raw Data'!$O78</f>
        <v>Anonymize information by removing identifying details, Use secure company instances or enterprise plans when available, Only share information that you would be comfortable sharing internally with a colleague, Verify that the AI tool has SSL/HTTPS encryption before using it</v>
      </c>
      <c r="AA82" s="29">
        <f t="shared" si="11"/>
        <v>0</v>
      </c>
      <c r="AB82" s="26" t="str">
        <f>'Raw Data'!$P78</f>
        <v>Always: I routinely cross-check AI outputs with reliable sources</v>
      </c>
      <c r="AC82" s="26">
        <f t="shared" si="12"/>
        <v>1</v>
      </c>
      <c r="AD82" s="26" t="str">
        <f>'Raw Data'!$Q78</f>
        <v>Use a different AI tool to review and verify the content, Cross-reference key claims with reliable external sources, Verify any calculations or data analysis independently, Ask the same AI tool to double-check its work for accuracy</v>
      </c>
      <c r="AE82" s="26">
        <f t="shared" si="13"/>
        <v>1</v>
      </c>
      <c r="AF82" s="30">
        <f t="shared" si="14"/>
        <v>8</v>
      </c>
      <c r="AG82" s="26" t="str">
        <f>'Raw Data'!$R78</f>
        <v>Frequently: I systematically refine prompts until I'm satisfied</v>
      </c>
      <c r="AH82" s="26">
        <f t="shared" si="15"/>
        <v>1</v>
      </c>
      <c r="AI82" s="26" t="str">
        <f>'Raw Data'!$S78</f>
        <v>I have an upcoming meeting about [Topic/Project Name] with [Participant(s) Name] who’s a [role]. Help me prepare for the meeting. Refer to the attached [Project Brief] as overview of the new initiative to be proposed and draft a recommended meeting agenda that will help us focus on key priorities and talking points relevant for the stakeholder(s) attending.”	First, I would use the custom GPT available in our Autodesk ChatGPT instance to identify all potential use cases related to researching competitor's products, pricing, and positioning. Next, I would create a branch and prompt the following: I want to create a custom GPT to help the team gather competitive intelligent. 1) do research on how to build a quality customGPT; 2) give the customGPT instructions in less than 8k words for this in markdown code"</v>
      </c>
      <c r="AJ82" s="26" t="s">
        <v>356</v>
      </c>
      <c r="AK82" s="28" t="str">
        <f>substitute('Prompt Template'!$C$2,$AI$5,$AJ82)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about [Topic/Project Name] with [Participant(s) Name] who’s a [role]. Help me prepare for the meeting. Refer to the attached [Project Brief] as overview of the new initiative to be proposed and draft a recommended meeting agenda that will help us focus on key priorities and talking points relevant for the stakeholder(s) attending.”	First, I would use the custom GPT available in our Autodesk ChatGPT instance to identify all potential use cases related to researching competitor's products, pricing, and positioning. Next, I would create a branch and prompt the following: I want to create a custom GPT to help the team gather competitive intelligent. 1) do research on how to build a quality customGPT; 2) give the customGPT instructions in less than 8k words for this in markdown code"&lt;/prompt&gt;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about [Topic/Project Name] with [Participant(s) Name] who’s a [role]. Help me prepare for the meeting. Refer to the attached [Project Brief] as overview of the new initiative to be proposed and draft a recommended meeting agenda that will help us focus on key priorities and talking points relevant for the stakeholder(s) attending.”	First, I would use the custom GPT available in our Autodesk ChatGPT instance to identify all potential use cases related to researching competitor's products, pricing, and positioning. Next, I would create a branch and prompt the following: I want to create a custom GPT to help the team gather competitive intelligent. 1) do research on how to build a quality customGPT; 2) give the customGPT instructions in less than 8k words for this in markdown code"&lt;/user_input&gt;</v>
      </c>
      <c r="AL82" s="26">
        <f t="array" ref="AL82">index('Response Scoring'!$G:$G,match($A82,'Response Scoring'!$A:$A,0))</f>
        <v>2</v>
      </c>
      <c r="AM82" s="26">
        <f t="shared" si="16"/>
        <v>0.4</v>
      </c>
      <c r="AN82" s="26" t="str">
        <f>'Raw Data'!$T78</f>
        <v/>
      </c>
      <c r="AP82" s="28" t="str">
        <f>substitute('Prompt Template'!$D$2,$AN$5,$AO82)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82" s="26">
        <f t="array" ref="AQ82">index('Response Scoring'!$I:$I,match($A82,'Response Scoring'!$A:$A,0))</f>
        <v>0</v>
      </c>
      <c r="AR82" s="26">
        <f t="shared" si="17"/>
        <v>0</v>
      </c>
      <c r="AS82" s="30">
        <f t="shared" si="18"/>
        <v>2.9</v>
      </c>
      <c r="AT82" s="26">
        <f t="shared" si="19"/>
        <v>28.675</v>
      </c>
      <c r="AU82" s="26">
        <f t="shared" si="20"/>
        <v>57.35</v>
      </c>
      <c r="AV82" s="26" t="str">
        <f t="shared" si="21"/>
        <v>AI Experimenter</v>
      </c>
      <c r="AW82" s="26" t="str">
        <f>'Raw Data'!U78</f>
        <v/>
      </c>
      <c r="AX82" s="26" t="str">
        <f>'Raw Data'!V78</f>
        <v/>
      </c>
      <c r="AY82" s="26" t="str">
        <f>'Raw Data'!W78</f>
        <v/>
      </c>
      <c r="AZ82" s="26" t="str">
        <f>'Raw Data'!X78</f>
        <v/>
      </c>
      <c r="BA82" s="26" t="str">
        <f>'Raw Data'!Y78</f>
        <v/>
      </c>
      <c r="BB82" s="26" t="str">
        <f>'Raw Data'!Z78</f>
        <v/>
      </c>
      <c r="BW82" s="31" t="str">
        <f>'Raw Data'!C78</f>
        <v>Industry Portfolio &amp; Emerging Marketing</v>
      </c>
      <c r="BZ82" s="26" t="str">
        <f>'Raw Data'!F78</f>
        <v>Manager or Senior Manager</v>
      </c>
      <c r="CA82" s="31" t="str">
        <f>'Raw Data'!AU78</f>
        <v>I would like to have the ability to use company-approved AI tools to assist with complex tasks like content localization without relying on an external agency which can be time consuming and costly.</v>
      </c>
      <c r="CB82" s="31" t="str">
        <f>'Raw Data'!AV78</f>
        <v>Currently, I am mainly using our ChatGPT instance and integrated Copilot tools for work. Occasionally, I use AI tools integrated in Airtable, Miro, and Canva to improve efficiently within some of my day to day tasks.</v>
      </c>
      <c r="CC82" s="31" t="str">
        <f>'Raw Data'!AW78</f>
        <v>Strongly agree</v>
      </c>
    </row>
    <row r="83" ht="15.75" customHeight="1">
      <c r="A83" s="26">
        <f>'Raw Data'!$A79</f>
        <v>77</v>
      </c>
      <c r="B83" s="26" t="str">
        <f>'Raw Data'!$G79</f>
        <v>Weekly</v>
      </c>
      <c r="C83" s="26">
        <f t="shared" si="1"/>
        <v>0.5</v>
      </c>
      <c r="D83" s="26" t="str">
        <f>'Raw Data'!$H79</f>
        <v>Editing or improving text I've already written (emails, documents, presentations), Analyzing data or documents to extract insights or summaries, Brainstorming ideas, testing concepts, or getting feedback on my thinking</v>
      </c>
      <c r="E83" s="26">
        <f t="shared" si="2"/>
        <v>2</v>
      </c>
      <c r="F83" s="27">
        <f t="shared" si="3"/>
        <v>0.6666666667</v>
      </c>
      <c r="G83" s="26" t="str">
        <f>'Raw Data'!$I79</f>
        <v>I create fresh prompts each time I use AI</v>
      </c>
      <c r="H83" s="26">
        <f t="shared" si="4"/>
        <v>0.25</v>
      </c>
      <c r="I83" s="26" t="str">
        <f>'Raw Data'!$J79</f>
        <v>Use AI to help analyze each data source, then compile results manually</v>
      </c>
      <c r="J83" s="26">
        <f t="shared" si="5"/>
        <v>0.67</v>
      </c>
      <c r="K83" s="26" t="str">
        <f>'Raw Data'!$K79</f>
        <v>I take the key points and ask AI to create the presentation for me, once the presentation is ready, I'll ask AI to be my guest and ask questions on my presentation</v>
      </c>
      <c r="L83" s="26" t="s">
        <v>357</v>
      </c>
      <c r="M83" s="28" t="str">
        <f>substitute('Prompt Template'!$A$2,$K$5,$L83)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take the key points and ask AI to create the presentation for me, once the presentation is ready, I'll ask AI to be my guest and ask questions on my presentation&lt;/user_input&gt;</v>
      </c>
      <c r="N83" s="26">
        <f t="array" ref="N83">index('Response Scoring'!$C:$C,match($A83,'Response Scoring'!$A:$A,0))</f>
        <v>1</v>
      </c>
      <c r="O83" s="29">
        <f t="shared" si="6"/>
        <v>0.3333333333</v>
      </c>
      <c r="P83" s="26" t="str">
        <f>'Raw Data'!$L79</f>
        <v>NA</v>
      </c>
      <c r="Q83" s="26" t="s">
        <v>117</v>
      </c>
      <c r="R83" s="28" t="str">
        <f>substitute('Prompt Template'!$B$2,$P$5,$Q83)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v>
      </c>
      <c r="S83" s="26">
        <f t="array" ref="S83">index('Response Scoring'!$E:$E,match($A83,'Response Scoring'!$A:$A,0))</f>
        <v>0</v>
      </c>
      <c r="T83" s="29">
        <f t="shared" si="7"/>
        <v>0</v>
      </c>
      <c r="U83" s="29">
        <f t="shared" si="8"/>
        <v>2.836666667</v>
      </c>
      <c r="V83" s="26" t="str">
        <f>'Raw Data'!$M79</f>
        <v>Analyzing presentation slides to evaluate both the visual design and written content for consistency</v>
      </c>
      <c r="W83" s="26">
        <f t="shared" si="9"/>
        <v>1</v>
      </c>
      <c r="X83" s="26" t="str">
        <f>'Raw Data'!$N79</f>
        <v>Hallucinations (generating false or misleading information)</v>
      </c>
      <c r="Y83" s="26">
        <f t="shared" si="10"/>
        <v>0.25</v>
      </c>
      <c r="Z83" s="26" t="str">
        <f>'Raw Data'!$O79</f>
        <v>Use secure company instances or enterprise plans when available</v>
      </c>
      <c r="AA83" s="29">
        <f t="shared" si="11"/>
        <v>0.5</v>
      </c>
      <c r="AB83" s="26" t="str">
        <f>'Raw Data'!$P79</f>
        <v>Sometimes: I do a quick check against known data or references</v>
      </c>
      <c r="AC83" s="26">
        <f t="shared" si="12"/>
        <v>0.67</v>
      </c>
      <c r="AD83" s="26" t="str">
        <f>'Raw Data'!$Q79</f>
        <v>Verify any calculations or data analysis independently</v>
      </c>
      <c r="AE83" s="26">
        <f t="shared" si="13"/>
        <v>0.25</v>
      </c>
      <c r="AF83" s="30">
        <f t="shared" si="14"/>
        <v>5.34</v>
      </c>
      <c r="AG83" s="26" t="str">
        <f>'Raw Data'!$R79</f>
        <v>Frequently: I systematically refine prompts until I'm satisfied</v>
      </c>
      <c r="AH83" s="26">
        <f t="shared" si="15"/>
        <v>1</v>
      </c>
      <c r="AI83" s="26" t="str">
        <f>'Raw Data'!$S79</f>
        <v>Prepare a new initiative to work with the team on our new services x,y,z that we offer to our stake holders, highlight the benefits of the new services</v>
      </c>
      <c r="AJ83" s="26" t="s">
        <v>358</v>
      </c>
      <c r="AK83" s="28" t="str">
        <f>substitute('Prompt Template'!$C$2,$AI$5,$AJ83)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a new initiative to work with the team on our new services x,y,z that we offer to our stake holders, highlight the benefits of the new services&lt;/prompt&gt;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a new initiative to work with the team on our new services x,y,z that we offer to our stake holders, highlight the benefits of the new services&lt;/user_input&gt;</v>
      </c>
      <c r="AL83" s="26">
        <f t="array" ref="AL83">index('Response Scoring'!$G:$G,match($A83,'Response Scoring'!$A:$A,0))</f>
        <v>2</v>
      </c>
      <c r="AM83" s="26">
        <f t="shared" si="16"/>
        <v>0.4</v>
      </c>
      <c r="AN83" s="26" t="str">
        <f>'Raw Data'!$T79</f>
        <v>I dont know</v>
      </c>
      <c r="AP83" s="28" t="str">
        <f>substitute('Prompt Template'!$D$2,$AN$5,$AO83)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83" s="26">
        <f t="array" ref="AQ83">index('Response Scoring'!$I:$I,match($A83,'Response Scoring'!$A:$A,0))</f>
        <v>0</v>
      </c>
      <c r="AR83" s="26">
        <f t="shared" si="17"/>
        <v>0</v>
      </c>
      <c r="AS83" s="30">
        <f t="shared" si="18"/>
        <v>2.9</v>
      </c>
      <c r="AT83" s="26">
        <f t="shared" si="19"/>
        <v>18.065</v>
      </c>
      <c r="AU83" s="26">
        <f t="shared" si="20"/>
        <v>36.13</v>
      </c>
      <c r="AV83" s="26" t="str">
        <f t="shared" si="21"/>
        <v>AI Experimenter</v>
      </c>
      <c r="AW83" s="26" t="str">
        <f>'Raw Data'!U79</f>
        <v/>
      </c>
      <c r="AX83" s="26" t="str">
        <f>'Raw Data'!V79</f>
        <v/>
      </c>
      <c r="AY83" s="26" t="str">
        <f>'Raw Data'!W79</f>
        <v/>
      </c>
      <c r="AZ83" s="26" t="str">
        <f>'Raw Data'!X79</f>
        <v/>
      </c>
      <c r="BA83" s="26" t="str">
        <f>'Raw Data'!Y79</f>
        <v/>
      </c>
      <c r="BB83" s="26" t="str">
        <f>'Raw Data'!Z79</f>
        <v/>
      </c>
      <c r="BW83" s="31" t="str">
        <f>'Raw Data'!C79</f>
        <v>Digital &amp; eCommerce</v>
      </c>
      <c r="BZ83" s="26" t="str">
        <f>'Raw Data'!F79</f>
        <v>Individual Contributor</v>
      </c>
      <c r="CA83" s="31" t="str">
        <f>'Raw Data'!AU79</f>
        <v>integrations</v>
      </c>
      <c r="CB83" s="31" t="str">
        <f>'Raw Data'!AV79</f>
        <v>Gemini, perplexity for personal use.</v>
      </c>
      <c r="CC83" s="31" t="str">
        <f>'Raw Data'!AW79</f>
        <v>Neutral</v>
      </c>
    </row>
    <row r="84" ht="15.75" customHeight="1">
      <c r="A84" s="26">
        <f>'Raw Data'!$A80</f>
        <v>78</v>
      </c>
      <c r="B84" s="26" t="str">
        <f>'Raw Data'!$G80</f>
        <v>Several times a week</v>
      </c>
      <c r="C84" s="26">
        <f t="shared" si="1"/>
        <v>0.75</v>
      </c>
      <c r="D84" s="26" t="str">
        <f>'Raw Data'!$H80</f>
        <v>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Editing or improving text I've already written (emails, documents, presentations)</v>
      </c>
      <c r="E84" s="26">
        <f t="shared" si="2"/>
        <v>2</v>
      </c>
      <c r="F84" s="27">
        <f t="shared" si="3"/>
        <v>0.6666666667</v>
      </c>
      <c r="G84" s="26" t="str">
        <f>'Raw Data'!$I80</f>
        <v>I create fresh prompts each time I use AI</v>
      </c>
      <c r="H84" s="26">
        <f t="shared" si="4"/>
        <v>0.25</v>
      </c>
      <c r="I84" s="26" t="str">
        <f>'Raw Data'!$J80</f>
        <v>Use AI to help analyze each data source, then compile results manually</v>
      </c>
      <c r="J84" s="26">
        <f t="shared" si="5"/>
        <v>0.67</v>
      </c>
      <c r="K84" s="26" t="str">
        <f>'Raw Data'!$K80</f>
        <v>After doing my own base level research to familiarize myself/learn about the unfamiliar topic, I would use ChatGPT or Co-Pilot to provide me with an AI-assisted overview. From there, I would take what I've then learned to continue my own exploration, going back and forth to AI with questions along the way until I felt comfortable enough to put together a presentation.</v>
      </c>
      <c r="L84" s="26" t="s">
        <v>359</v>
      </c>
      <c r="M84" s="28" t="str">
        <f>substitute('Prompt Template'!$A$2,$K$5,$L84)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&lt;user_input&gt;After doing my own base level research to familiarize myself/learn about the unfamiliar topic, I would use ChatGPT or Co-Pilot to provide me with an AI-assisted overview. From there, I would take what I've then learned to continue my own exploration, going back and forth to AI with questions along the way until I felt comfortable enough to put together a presentation.&lt;/user_input&gt;</v>
      </c>
      <c r="N84" s="26">
        <f t="array" ref="N84">index('Response Scoring'!$C:$C,match($A84,'Response Scoring'!$A:$A,0))</f>
        <v>1</v>
      </c>
      <c r="O84" s="29">
        <f t="shared" si="6"/>
        <v>0.3333333333</v>
      </c>
      <c r="P84" s="26" t="str">
        <f>'Raw Data'!$L80</f>
        <v>After putting together a draft forecast for my business, I used ChatGPT to validate it. I used AI to analyze trends and incorporate my assumptions/risks to compare against my forecast. Where there were differences, I then explored why through deeper dives into the data and further conversation with the GPT.</v>
      </c>
      <c r="Q84" s="26" t="s">
        <v>360</v>
      </c>
      <c r="R84" s="28" t="str">
        <f>substitute('Prompt Template'!$B$2,$P$5,$Q84)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&lt;user_input&gt;After putting together a draft forecast for my business, I used ChatGPT to validate it. I used AI to analyze trends and incorporate my assumptions/risks to compare against my forecast. Where there were differences, I then explored why through deeper dives into the data and further conversation with the GPT.&lt;/user_input&gt;</v>
      </c>
      <c r="S84" s="26">
        <f t="array" ref="S84">index('Response Scoring'!$E:$E,match($A84,'Response Scoring'!$A:$A,0))</f>
        <v>3</v>
      </c>
      <c r="T84" s="29">
        <f t="shared" si="7"/>
        <v>1</v>
      </c>
      <c r="U84" s="29">
        <f t="shared" si="8"/>
        <v>6.961666667</v>
      </c>
      <c r="V84" s="26" t="str">
        <f>'Raw Data'!$M80</f>
        <v>Providing real-time updates on breaking news events happening right now</v>
      </c>
      <c r="W84" s="26">
        <f t="shared" si="9"/>
        <v>0</v>
      </c>
      <c r="X84" s="26" t="str">
        <f>'Raw Data'!$N80</f>
        <v>Hallucinations (generating false or misleading information), Biases in answers, Data privacy concerns when information is shared with an LLM</v>
      </c>
      <c r="Y84" s="26">
        <f t="shared" si="10"/>
        <v>0.75</v>
      </c>
      <c r="Z84" s="26" t="str">
        <f>'Raw Data'!$O80</f>
        <v>Use secure company instances or enterprise plans when available, Anonymize information by removing identifying details</v>
      </c>
      <c r="AA84" s="29">
        <f t="shared" si="11"/>
        <v>1</v>
      </c>
      <c r="AB84" s="26" t="str">
        <f>'Raw Data'!$P80</f>
        <v>Always: I routinely cross-check AI outputs with reliable sources</v>
      </c>
      <c r="AC84" s="26">
        <f t="shared" si="12"/>
        <v>1</v>
      </c>
      <c r="AD84" s="26" t="str">
        <f>'Raw Data'!$Q80</f>
        <v>Cross-reference key claims with reliable external sources, Verify any calculations or data analysis independently, Use a different AI tool to review and verify the content</v>
      </c>
      <c r="AE84" s="26">
        <f t="shared" si="13"/>
        <v>0.75</v>
      </c>
      <c r="AF84" s="30">
        <f t="shared" si="14"/>
        <v>7</v>
      </c>
      <c r="AG84" s="26" t="str">
        <f>'Raw Data'!$R80</f>
        <v>Sometimes: I iterate 2-3 times to reach a good result</v>
      </c>
      <c r="AH84" s="26">
        <f t="shared" si="15"/>
        <v>0.67</v>
      </c>
      <c r="AI84" s="26" t="str">
        <f>'Raw Data'!$S80</f>
        <v>I am meeting with a group of people to talk about an initiative XYZ. My role in this initiative will be as a DEC consultant (or something like that). Help me prepare for it by providing me a brief summary of the topic as well as key questions to ask and considerations.</v>
      </c>
      <c r="AJ84" s="26" t="s">
        <v>361</v>
      </c>
      <c r="AK84" s="28" t="str">
        <f>substitute('Prompt Template'!$C$2,$AI$5,$AJ84)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meeting with a group of people to talk about an initiative XYZ. My role in this initiative will be as a DEC consultant (or something like that). Help me prepare for it by providing me a brief summary of the topic as well as key questions to ask and considerations.&lt;/prompt&gt;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meeting with a group of people to talk about an initiative XYZ. My role in this initiative will be as a DEC consultant (or something like that). Help me prepare for it by providing me a brief summary of the topic as well as key questions to ask and considerations.&lt;/user_input&gt;</v>
      </c>
      <c r="AL84" s="26">
        <f t="array" ref="AL84">index('Response Scoring'!$G:$G,match($A84,'Response Scoring'!$A:$A,0))</f>
        <v>2</v>
      </c>
      <c r="AM84" s="26">
        <f t="shared" si="16"/>
        <v>0.4</v>
      </c>
      <c r="AN84" s="26" t="str">
        <f>'Raw Data'!$T80</f>
        <v>I don't know how to create custom AI instructions</v>
      </c>
      <c r="AP84" s="28" t="str">
        <f>substitute('Prompt Template'!$D$2,$AN$5,$AO84)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84" s="26">
        <f t="array" ref="AQ84">index('Response Scoring'!$I:$I,match($A84,'Response Scoring'!$A:$A,0))</f>
        <v>0</v>
      </c>
      <c r="AR84" s="26">
        <f t="shared" si="17"/>
        <v>0</v>
      </c>
      <c r="AS84" s="30">
        <f t="shared" si="18"/>
        <v>2.405</v>
      </c>
      <c r="AT84" s="26">
        <f t="shared" si="19"/>
        <v>25.7525</v>
      </c>
      <c r="AU84" s="26">
        <f t="shared" si="20"/>
        <v>51.505</v>
      </c>
      <c r="AV84" s="26" t="str">
        <f t="shared" si="21"/>
        <v>AI Experimenter</v>
      </c>
      <c r="AW84" s="26" t="str">
        <f>'Raw Data'!U80</f>
        <v/>
      </c>
      <c r="AX84" s="26" t="str">
        <f>'Raw Data'!V80</f>
        <v/>
      </c>
      <c r="AY84" s="26" t="str">
        <f>'Raw Data'!W80</f>
        <v/>
      </c>
      <c r="AZ84" s="26" t="str">
        <f>'Raw Data'!X80</f>
        <v/>
      </c>
      <c r="BA84" s="26" t="str">
        <f>'Raw Data'!Y80</f>
        <v/>
      </c>
      <c r="BB84" s="26" t="str">
        <f>'Raw Data'!Z80</f>
        <v/>
      </c>
      <c r="BW84" s="31" t="str">
        <f>'Raw Data'!C80</f>
        <v>Digital &amp; eCommerce</v>
      </c>
      <c r="BZ84" s="26" t="str">
        <f>'Raw Data'!F80</f>
        <v>Individual Contributor</v>
      </c>
      <c r="CA84" s="31" t="str">
        <f>'Raw Data'!AU80</f>
        <v>I am new and still figuring out where source data/information lives - this is helpful for me to finetune my questions and needs from AI.</v>
      </c>
      <c r="CB84" s="31" t="str">
        <f>'Raw Data'!AV80</f>
        <v>N/A</v>
      </c>
      <c r="CC84" s="31" t="str">
        <f>'Raw Data'!AW80</f>
        <v>Neutral</v>
      </c>
    </row>
    <row r="85" ht="15.75" customHeight="1">
      <c r="A85" s="26">
        <f>'Raw Data'!$A81</f>
        <v>79</v>
      </c>
      <c r="B85" s="26" t="str">
        <f>'Raw Data'!$G81</f>
        <v>Daily</v>
      </c>
      <c r="C85" s="26">
        <f t="shared" si="1"/>
        <v>1</v>
      </c>
      <c r="D85" s="26" t="str">
        <f>'Raw Data'!$H81</f>
        <v>Editing or improving text I've already written (emails, documents, presentations), Analyzing data or documents to extract insights or summaries, Brainstorming ideas, testing concepts, or getting feedback on my thinking, Using AI for vibe coding to prototype solutions, apps, or products</v>
      </c>
      <c r="E85" s="26">
        <f t="shared" si="2"/>
        <v>3</v>
      </c>
      <c r="F85" s="27">
        <f t="shared" si="3"/>
        <v>1</v>
      </c>
      <c r="G85" s="26" t="str">
        <f>'Raw Data'!$I81</f>
        <v>I've built custom AI tools (i.e. CustomGPTs, Copilot Agents) for repetitive tasks</v>
      </c>
      <c r="H85" s="26">
        <f t="shared" si="4"/>
        <v>0.75</v>
      </c>
      <c r="I85" s="26" t="str">
        <f>'Raw Data'!$J81</f>
        <v>Create a systematic process where AI handles data analysis and summary generation consistently</v>
      </c>
      <c r="J85" s="26">
        <f t="shared" si="5"/>
        <v>1</v>
      </c>
      <c r="K85" s="26" t="str">
        <f>'Raw Data'!$K81</f>
        <v>To gather data, confirm facts and help shape the outline.</v>
      </c>
      <c r="L85" s="26" t="s">
        <v>362</v>
      </c>
      <c r="M85" s="28" t="str">
        <f>substitute('Prompt Template'!$A$2,$K$5,$L85)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gather data, confirm facts and help shape the outline.&lt;/user_input&gt;</v>
      </c>
      <c r="N85" s="26">
        <f t="array" ref="N85">index('Response Scoring'!$C:$C,match($A85,'Response Scoring'!$A:$A,0))</f>
        <v>1</v>
      </c>
      <c r="O85" s="29">
        <f t="shared" si="6"/>
        <v>0.3333333333</v>
      </c>
      <c r="P85" s="26" t="str">
        <f>'Raw Data'!$L81</f>
        <v>I use AI to help automate repetitive tasks such as gathering content and data and compiling it into a report.</v>
      </c>
      <c r="Q85" s="26" t="s">
        <v>363</v>
      </c>
      <c r="R85" s="28" t="str">
        <f>substitute('Prompt Template'!$B$2,$P$5,$Q85)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automate repetitive tasks such as gathering content and data and compiling it into a report.&lt;/user_input&gt;</v>
      </c>
      <c r="S85" s="26">
        <f t="array" ref="S85">index('Response Scoring'!$E:$E,match($A85,'Response Scoring'!$A:$A,0))</f>
        <v>2</v>
      </c>
      <c r="T85" s="29">
        <f t="shared" si="7"/>
        <v>0.6666666667</v>
      </c>
      <c r="U85" s="29">
        <f t="shared" si="8"/>
        <v>7.083333333</v>
      </c>
      <c r="V85" s="26" t="str">
        <f>'Raw Data'!$M81</f>
        <v>Analyzing presentation slides to evaluate both the visual design and written content for consistency</v>
      </c>
      <c r="W85" s="26">
        <f t="shared" si="9"/>
        <v>1</v>
      </c>
      <c r="X85" s="26" t="str">
        <f>'Raw Data'!$N81</f>
        <v>Hallucinations (generating false or misleading information), Biases in answers</v>
      </c>
      <c r="Y85" s="26">
        <f t="shared" si="10"/>
        <v>0.5</v>
      </c>
      <c r="Z85" s="26" t="str">
        <f>'Raw Data'!$O81</f>
        <v>Only share information that you would be comfortable sharing internally with a colleague, Use secure company instances or enterprise plans when available</v>
      </c>
      <c r="AA85" s="29">
        <f t="shared" si="11"/>
        <v>0.5</v>
      </c>
      <c r="AB85" s="26" t="str">
        <f>'Raw Data'!$P81</f>
        <v>Always: I routinely cross-check AI outputs with reliable sources</v>
      </c>
      <c r="AC85" s="26">
        <f t="shared" si="12"/>
        <v>1</v>
      </c>
      <c r="AD85" s="26" t="str">
        <f>'Raw Data'!$Q81</f>
        <v>Use a different AI tool to review and verify the content, Look for professional formatting and proper grammar, Cross-reference key claims with reliable external sources, Verify any calculations or data analysis independently</v>
      </c>
      <c r="AE85" s="26">
        <f t="shared" si="13"/>
        <v>0</v>
      </c>
      <c r="AF85" s="30">
        <f t="shared" si="14"/>
        <v>6</v>
      </c>
      <c r="AG85" s="26" t="str">
        <f>'Raw Data'!$R81</f>
        <v>Frequently: I systematically refine prompts until I'm satisfied</v>
      </c>
      <c r="AH85" s="26">
        <f t="shared" si="15"/>
        <v>1</v>
      </c>
      <c r="AI85" s="26" t="str">
        <f>'Raw Data'!$S81</f>
        <v>Please prepare a briefing document for my meeting about the new Project X proposal. Please reference information about the client from Salesforce and the last account updates from the account team. Also include information from our product databases and industry analysi.</v>
      </c>
      <c r="AJ85" s="26" t="s">
        <v>364</v>
      </c>
      <c r="AK85" s="28" t="str">
        <f>substitute('Prompt Template'!$C$2,$AI$5,$AJ85)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prepare a briefing document for my meeting about the new Project X proposal. Please reference information about the client from Salesforce and the last account updates from the account team. Also include information from our product databases and industry analysi.&lt;/prompt&gt;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prepare a briefing document for my meeting about the new Project X proposal. Please reference information about the client from Salesforce and the last account updates from the account team. Also include information from our product databases and industry analysi.&lt;/user_input&gt;</v>
      </c>
      <c r="AL85" s="26">
        <f t="array" ref="AL85">index('Response Scoring'!$G:$G,match($A85,'Response Scoring'!$A:$A,0))</f>
        <v>3</v>
      </c>
      <c r="AM85" s="26">
        <f t="shared" si="16"/>
        <v>0.6</v>
      </c>
      <c r="AN85" s="26" t="str">
        <f>'Raw Data'!$T81</f>
        <v>I’m out of time!</v>
      </c>
      <c r="AP85" s="28" t="str">
        <f>substitute('Prompt Template'!$D$2,$AN$5,$AO85)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85" s="26">
        <f t="array" ref="AQ85">index('Response Scoring'!$I:$I,match($A85,'Response Scoring'!$A:$A,0))</f>
        <v>0</v>
      </c>
      <c r="AR85" s="26">
        <f t="shared" si="17"/>
        <v>0</v>
      </c>
      <c r="AS85" s="30">
        <f t="shared" si="18"/>
        <v>3.6</v>
      </c>
      <c r="AT85" s="26">
        <f t="shared" si="19"/>
        <v>26.825</v>
      </c>
      <c r="AU85" s="26">
        <f t="shared" si="20"/>
        <v>53.65</v>
      </c>
      <c r="AV85" s="26" t="str">
        <f t="shared" si="21"/>
        <v>AI Experimenter</v>
      </c>
      <c r="AW85" s="26" t="str">
        <f>'Raw Data'!U81</f>
        <v/>
      </c>
      <c r="AX85" s="26" t="str">
        <f>'Raw Data'!V81</f>
        <v/>
      </c>
      <c r="AY85" s="26" t="str">
        <f>'Raw Data'!W81</f>
        <v/>
      </c>
      <c r="AZ85" s="26" t="str">
        <f>'Raw Data'!X81</f>
        <v/>
      </c>
      <c r="BA85" s="26" t="str">
        <f>'Raw Data'!Y81</f>
        <v/>
      </c>
      <c r="BB85" s="26" t="str">
        <f>'Raw Data'!Z81</f>
        <v/>
      </c>
      <c r="BW85" s="31" t="str">
        <f>'Raw Data'!C81</f>
        <v>Digital &amp; eCommerce</v>
      </c>
      <c r="BZ85" s="26" t="str">
        <f>'Raw Data'!F81</f>
        <v>VP or above</v>
      </c>
      <c r="CA85" s="31" t="str">
        <f>'Raw Data'!AU81</f>
        <v>Accuracy and hallucinations</v>
      </c>
      <c r="CB85" s="31" t="str">
        <f>'Raw Data'!AV81</f>
        <v>None.</v>
      </c>
      <c r="CC85" s="31" t="str">
        <f>'Raw Data'!AW81</f>
        <v>Neutral</v>
      </c>
    </row>
    <row r="86" ht="15.75" customHeight="1">
      <c r="A86" s="26">
        <f>'Raw Data'!$A82</f>
        <v>80</v>
      </c>
      <c r="B86" s="26" t="str">
        <f>'Raw Data'!$G82</f>
        <v>Daily</v>
      </c>
      <c r="C86" s="26">
        <f t="shared" si="1"/>
        <v>1</v>
      </c>
      <c r="D86" s="26" t="str">
        <f>'Raw Data'!$H82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86" s="26">
        <f t="shared" si="2"/>
        <v>3</v>
      </c>
      <c r="F86" s="27">
        <f t="shared" si="3"/>
        <v>1</v>
      </c>
      <c r="G86" s="26" t="str">
        <f>'Raw Data'!$I82</f>
        <v>I've built custom AI tools (i.e. CustomGPTs, Copilot Agents) for repetitive tasks</v>
      </c>
      <c r="H86" s="26">
        <f t="shared" si="4"/>
        <v>0.75</v>
      </c>
      <c r="I86" s="26" t="str">
        <f>'Raw Data'!$J82</f>
        <v>Create a systematic process where AI handles data analysis and summary generation consistently</v>
      </c>
      <c r="J86" s="26">
        <f t="shared" si="5"/>
        <v>1</v>
      </c>
      <c r="K86" s="26" t="str">
        <f>'Raw Data'!$K82</f>
        <v>I’d use AI as an acceleration layer across the full workflow: (1) quickly build baseline understanding of the topic (core concepts, vocabulary, common pitfalls, and what executives typically care about), then (2) translate that into a draft storyline—clear objective, “so what,” and a few defensible takeaways—plus an initial slide-by-slide outline. In parallel, I’d have AI generate targeted questions to validate assumptions with SMEs, produce a glossary, and propose a short list of credible sources and benchmarks to verify (I’d treat AI outputs as hypotheses, not facts).
From there, I’d use AI iteratively to tighten executive communication: rewrite to one-message-per-slide, craft crisp headlines, anticipate stakeholder objections, and create talk tracks, FAQs, and backup slides. I’d also use it to sanity-check logic and numbers (e.g., “what would invalidate this?”), enforce consistent terminology, and run a final “red team” pass for clarity and risk—while keeping humans in the loop for source verification, sensitive context, and final narrative judgment.</v>
      </c>
      <c r="L86" s="26" t="s">
        <v>365</v>
      </c>
      <c r="M86" s="28" t="str">
        <f>substitute('Prompt Template'!$A$2,$K$5,$L86)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as an acceleration layer across the full workflow: (1) quickly build baseline understanding of the topic (core concepts, vocabulary, common pitfalls, and what executives typically care about), then (2) translate that into a draft storyline—clear objective, “so what,” and a few defensible takeaways—plus an initial slide-by-slide outline. In parallel, I’d have AI generate targeted questions to validate assumptions with SMEs, produce a glossary, and propose a short list of credible sources and benchmarks to verify (I’d treat AI outputs as hypotheses, not facts).
From there, I’d use AI iteratively to tighten executive communication: rewrite to one-message-per-slide, craft crisp headlines, anticipate stakeholder objections, and create talk tracks, FAQs, and backup slides. I’d also use it to sanity-check logic and numbers (e.g., “what would invalidate this?”), enforce consistent terminology, and run a final “red team” pass for clarity and risk—while keeping humans in the loop for source verification, sensitive context, and final narrative judgment.&lt;/user_input&gt;</v>
      </c>
      <c r="N86" s="26">
        <f t="array" ref="N86">index('Response Scoring'!$C:$C,match($A86,'Response Scoring'!$A:$A,0))</f>
        <v>3</v>
      </c>
      <c r="O86" s="29">
        <f t="shared" si="6"/>
        <v>1</v>
      </c>
      <c r="P86" s="26" t="str">
        <f>'Raw Data'!$L82</f>
        <v>The most valuable way I use AI is to accelerate the full experimentation cycle—especially turning messy performance signals into high-quality test ideas and clear, stakeholder-ready conclusions. I use it to synthesize channel and funnel performance data into likely drivers, generate a prioritized backlog of test hypotheses (with expected impact and risks), and pressure-test the experimental design (metrics, segmentation, sample size assumptions, and guardrails) before we launch.
After results come in, AI helps me speed up analysis and communication: it drafts the narrative (“what happened / why / so what / what we do next”), surfaces plausible interpretations to validate, and creates executive-ready summaries and rollout plans for the winner.</v>
      </c>
      <c r="Q86" s="26" t="s">
        <v>366</v>
      </c>
      <c r="R86" s="28" t="str">
        <f>substitute('Prompt Template'!$B$2,$P$5,$Q86)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is to accelerate the full experimentation cycle—especially turning messy performance signals into high-quality test ideas and clear, stakeholder-ready conclusions. I use it to synthesize channel and funnel performance data into likely drivers, generate a prioritized backlog of test hypotheses (with expected impact and risks), and pressure-test the experimental design (metrics, segmentation, sample size assumptions, and guardrails) before we launch.
After results come in, AI helps me speed up analysis and communication: it drafts the narrative (“what happened / why / so what / what we do next”), surfaces plausible interpretations to validate, and creates executive-ready summaries and rollout plans for the winner.&lt;/user_input&gt;</v>
      </c>
      <c r="S86" s="26">
        <f t="array" ref="S86">index('Response Scoring'!$E:$E,match($A86,'Response Scoring'!$A:$A,0))</f>
        <v>3</v>
      </c>
      <c r="T86" s="29">
        <f t="shared" si="7"/>
        <v>1</v>
      </c>
      <c r="U86" s="29">
        <f t="shared" si="8"/>
        <v>9.75</v>
      </c>
      <c r="V86" s="26" t="str">
        <f>'Raw Data'!$M82</f>
        <v>Analyzing presentation slides to evaluate both the visual design and written content for consistency</v>
      </c>
      <c r="W86" s="26">
        <f t="shared" si="9"/>
        <v>1</v>
      </c>
      <c r="X86" s="26" t="str">
        <f>'Raw Data'!$N82</f>
        <v>Hallucinations (generating false or misleading information), Biases in answers, Data privacy concerns when information is shared with an LLM, Vulnerability to manipulation by bad actors</v>
      </c>
      <c r="Y86" s="26">
        <f t="shared" si="10"/>
        <v>1</v>
      </c>
      <c r="Z86" s="26" t="str">
        <f>'Raw Data'!$O82</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A86" s="29">
        <f t="shared" si="11"/>
        <v>0</v>
      </c>
      <c r="AB86" s="26" t="str">
        <f>'Raw Data'!$P82</f>
        <v>Always: I routinely cross-check AI outputs with reliable sources</v>
      </c>
      <c r="AC86" s="26">
        <f t="shared" si="12"/>
        <v>1</v>
      </c>
      <c r="AD86" s="26" t="str">
        <f>'Raw Data'!$Q82</f>
        <v>Use a different AI tool to review and verify the content, Cross-reference key claims with reliable external sources, Verify any calculations or data analysis independently, Ask the same AI tool to double-check its work for accuracy</v>
      </c>
      <c r="AE86" s="26">
        <f t="shared" si="13"/>
        <v>1</v>
      </c>
      <c r="AF86" s="30">
        <f t="shared" si="14"/>
        <v>8</v>
      </c>
      <c r="AG86" s="26" t="str">
        <f>'Raw Data'!$R82</f>
        <v>Frequently: I systematically refine prompts until I'm satisfied</v>
      </c>
      <c r="AH86" s="26">
        <f t="shared" si="15"/>
        <v>1</v>
      </c>
      <c r="AI86" s="26" t="str">
        <f>'Raw Data'!$S82</f>
        <v>You are my executive meeting prep coach. I have an upcoming work meeting to discuss a new initiative/proposal, and I want to be extremely clear, persuasive, and prepared for pushback.
CONTEXT (fill in or keep placeholders):
- Initiative name: [ ]
- Problem / opportunity (what’s broken or missing today): [ ]
- Proposed solution (what we will do): [ ]
- Who it impacts (customers/users/internal teams): [ ]
- Expected value (business + customer): [ ]
- Success metrics / KPIs (primary + guardrails): [ ]
- Evidence so far (data, anecdotes, benchmarks, constraints): [ ]
- Cost / effort / timeline (people, budget, dependencies): [ ]
- Risks / tradeoffs / open questions: [ ]
- Meeting goal: [inform / align / get approval / get resources / decide scope]
- Decision or ask I need from the room (be specific): [ ]
- Attendees + roles (and what they care about): [Name – role – priorities]
- Context sensitivities (what NOT to mention / confidential items): [ ]
INSTRUCTIONS:
1) First, ask me up to 5 clarifying questions ONLY if critical information is missing to produce high-quality prep. Otherwise, proceed.
2) Then produce the following, optimized for senior stakeholders and time-limited discussion:
OUTPUT (use headings + concise bullets):
A) One-sentence “headline” and a 30-second elevator pitch
B) A 2–3 minute narrative (problem → insight → proposal → value → ask)
C) A time-boxed meeting agenda (30–60 minutes) with desired outcomes per section
D) The 5–7 key messages I must land, each with a supporting proof point (or what proof is needed)
E) Stakeholder/attendee map: likely concerns, what success looks like for them, and how to address (table)
F) Top 10 tough questions I’m likely to get + strong, honest responses (include “what we don’t know yet”)
G) Risks, mitigations, and decision guardrails (what would make us stop/pivot)
H) “Next steps” plan: actions, owners, and a follow-up note draft
QUALITY BAR:
- Keep it crisp, executive-friendly, and defensible (no invented facts).
- Flag assumptions clearly and label where validation is required.
- Prioritize clarity and decision-making over verbosity.</v>
      </c>
      <c r="AJ86" s="26" t="s">
        <v>367</v>
      </c>
      <c r="AK86" s="28" t="str">
        <f>substitute('Prompt Template'!$C$2,$AI$5,$AJ86)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executive meeting prep coach. I have an upcoming work meeting to discuss a new initiative/proposal, and I want to be extremely clear, persuasive, and prepared for pushback.
CONTEXT (fill in or keep placeholders):
- Initiative name: [ ]
- Problem / opportunity (what’s broken or missing today): [ ]
- Proposed solution (what we will do): [ ]
- Who it impacts (customers/users/internal teams): [ ]
- Expected value (business + customer): [ ]
- Success metrics / KPIs (primary + guardrails): [ ]
- Evidence so far (data, anecdotes, benchmarks, constraints): [ ]
- Cost / effort / timeline (people, budget, dependencies): [ ]
- Risks / tradeoffs / open questions: [ ]
- Meeting goal: [inform / align / get approval / get resources / decide scope]
- Decision or ask I need from the room (be specific): [ ]
- Attendees + roles (and what they care about): [Name – role – priorities]
- Context sensitivities (what NOT to mention / confidential items): [ ]
INSTRUCTIONS:
1) First, ask me up to 5 clarifying questions ONLY if critical information is missing to produce high-quality prep. Otherwise, proceed.
2) Then produce the following, optimized for senior stakeholders and time-limited discussion:
OUTPUT (use headings + concise bullets):
A) One-sentence “headline” and a 30-second elevator pitch
B) A 2–3 minute narrative (problem → insight → proposal → value → ask)
C) A time-boxed meeting agenda (30–60 minutes) with desired outcomes per section
D) The 5–7 key messages I must land, each with a supporting proof point (or what proof is needed)
E) Stakeholder/attendee map: likely concerns, what success looks like for them, and how to address (table)
F) Top 10 tough questions I’m likely to get + strong, honest responses (include “what we don’t know yet”)
G) Risks, mitigations, and decision guardrails (what would make us stop/pivot)
H) “Next steps” plan: actions, owners, and a follow-up note draft
QUALITY BAR:
- Keep it crisp, executive-friendly, and defensible (no invented facts).
- Flag assumptions clearly and label where validation is required.
- Prioritize clarity and decision-making over verbosity.&lt;/prompt&gt;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executive meeting prep coach. I have an upcoming work meeting to discuss a new initiative/proposal, and I want to be extremely clear, persuasive, and prepared for pushback.
CONTEXT (fill in or keep placeholders):
- Initiative name: [ ]
- Problem / opportunity (what’s broken or missing today): [ ]
- Proposed solution (what we will do): [ ]
- Who it impacts (customers/users/internal teams): [ ]
- Expected value (business + customer): [ ]
- Success metrics / KPIs (primary + guardrails): [ ]
- Evidence so far (data, anecdotes, benchmarks, constraints): [ ]
- Cost / effort / timeline (people, budget, dependencies): [ ]
- Risks / tradeoffs / open questions: [ ]
- Meeting goal: [inform / align / get approval / get resources / decide scope]
- Decision or ask I need from the room (be specific): [ ]
- Attendees + roles (and what they care about): [Name – role – priorities]
- Context sensitivities (what NOT to mention / confidential items): [ ]
INSTRUCTIONS:
1) First, ask me up to 5 clarifying questions ONLY if critical information is missing to produce high-quality prep. Otherwise, proceed.
2) Then produce the following, optimized for senior stakeholders and time-limited discussion:
OUTPUT (use headings + concise bullets):
A) One-sentence “headline” and a 30-second elevator pitch
B) A 2–3 minute narrative (problem → insight → proposal → value → ask)
C) A time-boxed meeting agenda (30–60 minutes) with desired outcomes per section
D) The 5–7 key messages I must land, each with a supporting proof point (or what proof is needed)
E) Stakeholder/attendee map: likely concerns, what success looks like for them, and how to address (table)
F) Top 10 tough questions I’m likely to get + strong, honest responses (include “what we don’t know yet”)
G) Risks, mitigations, and decision guardrails (what would make us stop/pivot)
H) “Next steps” plan: actions, owners, and a follow-up note draft
QUALITY BAR:
- Keep it crisp, executive-friendly, and defensible (no invented facts).
- Flag assumptions clearly and label where validation is required.
- Prioritize clarity and decision-making over verbosity.&lt;/user_input&gt;</v>
      </c>
      <c r="AL86" s="26">
        <f t="array" ref="AL86">index('Response Scoring'!$G:$G,match($A86,'Response Scoring'!$A:$A,0))</f>
        <v>5</v>
      </c>
      <c r="AM86" s="26">
        <f t="shared" si="16"/>
        <v>1</v>
      </c>
      <c r="AN86" s="26" t="str">
        <f>'Raw Data'!$T82</f>
        <v>You are “Competitive Intelligence Copilot.” Your job is to help team members gather competitor product, pricing, and positioning intel in a consistent, repeatable way—using ONLY publicly available information and always showing your sources.
OPERATING PRINCIPLES
- Be factual, current, and source-backed. Never guess or “fill in” missing details.
- Separate: (1) verified facts, (2) reasonable inferences, (3) open questions.
- Include “Last verified” dates on all time-sensitive info (pricing, packaging, plans, announcements).
- Use neutral, non-inflammatory language. Avoid editorializing.
SCOPE (WHAT YOU DO)
- Research competitor: product overview, positioning/messaging, target customers/ICP, key use cases, differentiators, packaging/pricing, proof points (case studies, metrics claims), distribution (PLG vs sales-led), partnerships, recent launches, and notable customer feedback themes.
- Produce consistent deliverables: standardized summary, pricing breakdown, messaging analysis, feature comparison notes, and implications/recommendations.
OUT OF SCOPE / COMPLIANCE (WHAT YOU MUST NOT DO)
- Do NOT use or request confidential/internal-only information. If a user provides it, tell them to remove it and proceed with public info.
- Do NOT instruct on bypassing paywalls, logins, or ToS restrictions. Do NOT scrape gated content.
- Do NOT generate fake prices, fake quotes, or fake customer logos.
- Do NOT provide legal advice. If asked, recommend consulting Legal/Procurement.
- Do NOT collect or store personal data about individuals beyond what’s publicly available and relevant (e.g., executive names already on the company site).
INPUTS TO ASK FOR (ASK ONLY IF MISSING / AMBIGUOUS)
Ask up to 5 quick questions if needed:
1) Which competitor(s) and which specific product(s)?
2) Region/currency (e.g., US, EU, Canada) and customer segment (SMB/MM/Enterprise)?
3) Primary use case/category (e.g., workflow automation, analytics, CRM add-on)?
4) Depth needed: quick scan (15 min), standard brief, or deep dive?
5) Any focus areas: pricing/packaging, positioning, feature parity, GTM motion, or recent changes?
RESEARCH WORKFLOW (ALWAYS FOLLOW)
1) Define the research scope and assumptions (what you will/ won’t cover).
2) Build a source set:
   - First-party: competitor website product pages, pricing pages, docs, release notes, blogs, security/trust pages, terms, help center.
   - Third-party validation: reputable reviews/marketplaces (e.g., G2/Gartner Peer Insights/Capterra), app stores, analyst notes (public excerpts), credible tech press, customer case studies.
3) Extract key facts with citations per section (pricing, tiers, limitations, contract terms, positioning claims, feature gating).
4) Triangulate: confirm critical claims using at least 2 independent sources when possible (especially for pricing and “market-leading” claims).
5) Synthesize into the standard output format below.
6) Quality check:
   - Are all time-sensitive claims dated?
   - Are any claims unsupported or ambiguous? Flag them.
   - Is currency/billing period clear? Are plan names exact?
   - Are you mixing regions/legacy pricing? If uncertain, say so.
STANDARD OUTPUT FORMAT (USE THESE HEADINGS EVERY TIME)
A) Executive snapshot (5–7 bullets)
- Who they are + what they sell (1 sentence)
- Positioning statement (1–2 lines, in their words if possible)
- Target customers/ICP + primary use cases
- Pricing headline (starting price, licensing model, free tier/trial)
- Key differentiators (3)
- Notable gaps/risks (2–3)
- Last verified: [YYYY-MM-DD]
B) Positioning &amp; messaging
- Category they claim / how they frame the problem
- Messaging pillars (3–5) + supporting proof points
- Primary personas &amp; buying triggers
- Competitive comparisons they make (if any)
- “Words they own” (recurring phrases) and tone
C) Pricing &amp; packaging (be precise)
- Pricing table: plan name, price, billing period, currency, seat/usage basis, included limits, key gated features
- Add-ons/overages, enterprise-only items, implementation/services fees (if public)
- Trial/free offering details
- Contract terms notes (monthly vs annual, minimums) if public
- Pricing caveats/uncertainties (clearly labeled)
- Last verified: [YYYY-MM-DD]
D) Product capabilities (high-level)
- Core capabilities (bullets)
- Integrations/ecosystem highlights
- Platform/technical notes that matter (API, SSO, governance, security) if public
- What’s new (last 6–12 months): major launches/announcements
E) Customer feedback patterns (public sources only)
- Top themes (pros/cons) with frequency signals where available (e.g., “commonly mentioned”)
- Ideal fit vs poor fit scenarios
F) Implications for us (action-oriented)
- Where they’re strong vs weak (SWOT-style bullets)
- Likely win/loss dynamics
- Recommended counter-positioning angles
- Pricing/packaging hypotheses to test (clearly marked as hypotheses)
- Suggested experiments (A/B ideas), prioritized by expected impact &amp; effort
G) Open questions &amp; next research steps
- What we still need to validate (5–10 questions)
- Best next sources to check (docs pages, webinars, trial exploration, etc.)
H) Sources (required)
- Provide a clean list of links grouped by section (Pricing, Product, Messaging, Reviews, News)
- Include access date for each source: [YYYY-MM-DD]
WRITING REQUIREMENTS
- Keep it skimmable: short paragraphs + bullets, avoid long prose.
- Use exact plan names, quoted messaging when relevant, and consistent terminology.
- Add a confidence label to major claims: High / Medium / Low (based on source strength).
- If the user asks for a comparison vs our product, ask for our product name + the 3–5 capabilities that matter most, then produce a feature-by-feature narrative (avoid pretending you have internal roadmap knowledge).
DEFAULTS (IF USER DOESN’T SPECIFY)
- Region: assume US pricing unless stated otherwise, but flag this assumption.
- Segment focus: mid-market/enterprise unless user says SMB/PLG.
- Depth: “standard brief” (enough for a stakeholder update + experiment ideas).
WHEN INFORMATION IS MISSING
- Do not guess. Provide: “Not found in public sources” + suggest where to look next.
- Offer a short set of clarifying questions OR propose next steps.
OUTPUT STYLE
- Professional, concise, decision-oriented.
- Always include “Last verified” dates and citations.</v>
      </c>
      <c r="AP86" s="28" t="str">
        <f>substitute('Prompt Template'!$D$2,$AN$5,$AO86)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86" s="26">
        <f t="array" ref="AQ86">index('Response Scoring'!$I:$I,match($A86,'Response Scoring'!$A:$A,0))</f>
        <v>0</v>
      </c>
      <c r="AR86" s="26">
        <f t="shared" si="17"/>
        <v>0</v>
      </c>
      <c r="AS86" s="30">
        <f t="shared" si="18"/>
        <v>5</v>
      </c>
      <c r="AT86" s="26">
        <f t="shared" si="19"/>
        <v>36.625</v>
      </c>
      <c r="AU86" s="26">
        <f t="shared" si="20"/>
        <v>73.25</v>
      </c>
      <c r="AV86" s="26" t="str">
        <f t="shared" si="21"/>
        <v>AI Practitioner</v>
      </c>
      <c r="AW86" s="26" t="str">
        <f>'Raw Data'!U82</f>
        <v/>
      </c>
      <c r="AX86" s="26" t="str">
        <f>'Raw Data'!V82</f>
        <v/>
      </c>
      <c r="AY86" s="26" t="str">
        <f>'Raw Data'!W82</f>
        <v/>
      </c>
      <c r="AZ86" s="26" t="str">
        <f>'Raw Data'!X82</f>
        <v/>
      </c>
      <c r="BA86" s="26" t="str">
        <f>'Raw Data'!Y82</f>
        <v/>
      </c>
      <c r="BB86" s="26" t="str">
        <f>'Raw Data'!Z82</f>
        <v/>
      </c>
      <c r="BW86" s="31" t="str">
        <f>'Raw Data'!C82</f>
        <v>Digital &amp; eCommerce</v>
      </c>
      <c r="BZ86" s="26" t="str">
        <f>'Raw Data'!F82</f>
        <v>Individual Contributor</v>
      </c>
      <c r="CA86" s="31" t="str">
        <f>'Raw Data'!AU82</f>
        <v>I struggle most with end-to-end integration and consistency: connecting Custom GPTs/agents to internal databases and governed data sources in a secure, reliable way, and then translating the outputs into a repeatable, stakeholder-ready analysis deck.
Today, AI can help with insights and draft narratives, but it’s still difficult to consistently generate a polished deck that faithfully follows Autodesk themes—correct fonts (style/size), chart standards, and well-placed visuals—without manual cleanup and reformatting.</v>
      </c>
      <c r="CB86" s="31" t="str">
        <f>'Raw Data'!AV82</f>
        <v>None—only the approved stack. If I ever use external tools, it’s enterprise versions and only with anonymized/non-confidential data.</v>
      </c>
      <c r="CC86" s="31" t="str">
        <f>'Raw Data'!AW82</f>
        <v>Neutral</v>
      </c>
    </row>
    <row r="87" ht="15.75" customHeight="1">
      <c r="A87" s="26">
        <f>'Raw Data'!$A83</f>
        <v>81</v>
      </c>
      <c r="B87" s="26" t="str">
        <f>'Raw Data'!$G83</f>
        <v>Daily</v>
      </c>
      <c r="C87" s="26">
        <f t="shared" si="1"/>
        <v>1</v>
      </c>
      <c r="D87" s="26" t="str">
        <f>'Raw Data'!$H83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87" s="26">
        <f t="shared" si="2"/>
        <v>2</v>
      </c>
      <c r="F87" s="27">
        <f t="shared" si="3"/>
        <v>0.6666666667</v>
      </c>
      <c r="G87" s="26" t="str">
        <f>'Raw Data'!$I83</f>
        <v>I've built custom AI tools (i.e. CustomGPTs, Copilot Agents) for repetitive tasks</v>
      </c>
      <c r="H87" s="26">
        <f t="shared" si="4"/>
        <v>0.75</v>
      </c>
      <c r="I87" s="26" t="str">
        <f>'Raw Data'!$J83</f>
        <v>Create a systematic process where AI handles data analysis and summary generation consistently</v>
      </c>
      <c r="J87" s="26">
        <f t="shared" si="5"/>
        <v>1</v>
      </c>
      <c r="K87" s="26" t="str">
        <f>'Raw Data'!$K83</f>
        <v>I would assign the AI the role of the best subject matter expert on the particular subject of the meeting, give details about the satkeholder and ask the AI to help me prepare for this specific presentation based on the outcome of the meeting</v>
      </c>
      <c r="L87" s="26" t="s">
        <v>368</v>
      </c>
      <c r="M87" s="28" t="str">
        <f>substitute('Prompt Template'!$A$2,$K$5,$L87)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assign the AI the role of the best subject matter expert on the particular subject of the meeting, give details about the satkeholder and ask the AI to help me prepare for this specific presentation based on the outcome of the meeting&lt;/user_input&gt;</v>
      </c>
      <c r="N87" s="26">
        <f t="array" ref="N87">index('Response Scoring'!$C:$C,match($A87,'Response Scoring'!$A:$A,0))</f>
        <v>2</v>
      </c>
      <c r="O87" s="29">
        <f t="shared" si="6"/>
        <v>0.6666666667</v>
      </c>
      <c r="P87" s="26" t="str">
        <f>'Raw Data'!$L83</f>
        <v>complete data analaysis and produce insights that can be shared with stakeholder (telling the story behinde the data)</v>
      </c>
      <c r="Q87" s="26" t="s">
        <v>369</v>
      </c>
      <c r="R87" s="28" t="str">
        <f>substitute('Prompt Template'!$B$2,$P$5,$Q87)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&lt;user_input&gt;complete data analaysis and produce insights that can be shared with stakeholder (telling the story behinde the data)&lt;/user_input&gt;</v>
      </c>
      <c r="S87" s="26">
        <f t="array" ref="S87">index('Response Scoring'!$E:$E,match($A87,'Response Scoring'!$A:$A,0))</f>
        <v>2</v>
      </c>
      <c r="T87" s="29">
        <f t="shared" si="7"/>
        <v>0.6666666667</v>
      </c>
      <c r="U87" s="29">
        <f t="shared" si="8"/>
        <v>7.25</v>
      </c>
      <c r="V87" s="26" t="str">
        <f>'Raw Data'!$M83</f>
        <v>Analyzing presentation slides to evaluate both the visual design and written content for consistency</v>
      </c>
      <c r="W87" s="26">
        <f t="shared" si="9"/>
        <v>1</v>
      </c>
      <c r="X87" s="26" t="str">
        <f>'Raw Data'!$N83</f>
        <v>Hallucinations (generating false or misleading information), Biases in answers, Data privacy concerns when information is shared with an LLM, Vulnerability to manipulation by bad actors</v>
      </c>
      <c r="Y87" s="26">
        <f t="shared" si="10"/>
        <v>1</v>
      </c>
      <c r="Z87" s="26" t="str">
        <f>'Raw Data'!$O83</f>
        <v>Use secure company instances or enterprise plans when available, Anonymize information by removing identifying details</v>
      </c>
      <c r="AA87" s="29">
        <f t="shared" si="11"/>
        <v>1</v>
      </c>
      <c r="AB87" s="26" t="str">
        <f>'Raw Data'!$P83</f>
        <v>Always: I routinely cross-check AI outputs with reliable sources</v>
      </c>
      <c r="AC87" s="26">
        <f t="shared" si="12"/>
        <v>1</v>
      </c>
      <c r="AD87" s="26" t="str">
        <f>'Raw Data'!$Q83</f>
        <v>Use a different AI tool to review and verify the content, Verify any calculations or data analysis independently, Cross-reference key claims with reliable external sources</v>
      </c>
      <c r="AE87" s="26">
        <f t="shared" si="13"/>
        <v>0.75</v>
      </c>
      <c r="AF87" s="30">
        <f t="shared" si="14"/>
        <v>9.5</v>
      </c>
      <c r="AG87" s="26" t="str">
        <f>'Raw Data'!$R83</f>
        <v>Sometimes: I iterate 2-3 times to reach a good result</v>
      </c>
      <c r="AH87" s="26">
        <f t="shared" si="15"/>
        <v>0.67</v>
      </c>
      <c r="AI87" s="26" t="str">
        <f>'Raw Data'!$S83</f>
        <v>You're the best subject matter expert on Initiative/proposal 'x' in the world. Do research on the latest best practices and key points about the subject, and help me prepare for an upcoming work meeting highlighting the key conversation points</v>
      </c>
      <c r="AJ87" s="26" t="s">
        <v>370</v>
      </c>
      <c r="AK87" s="28" t="str">
        <f>substitute('Prompt Template'!$C$2,$AI$5,$AJ87)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the best subject matter expert on Initiative/proposal 'x' in the world. Do research on the latest best practices and key points about the subject, and help me prepare for an upcoming work meeting highlighting the key conversation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the best subject matter expert on Initiative/proposal 'x' in the world. Do research on the latest best practices and key points about the subject, and help me prepare for an upcoming work meeting highlighting the key conversation points&lt;/user_input&gt;</v>
      </c>
      <c r="AL87" s="26">
        <f t="array" ref="AL87">index('Response Scoring'!$G:$G,match($A87,'Response Scoring'!$A:$A,0))</f>
        <v>2</v>
      </c>
      <c r="AM87" s="26">
        <f t="shared" si="16"/>
        <v>0.4</v>
      </c>
      <c r="AN87" s="26" t="str">
        <f>'Raw Data'!$T83</f>
        <v>I'm a product manager at Autodesk. I frequently research competitors' products, pricing, and positioning to inform our product strategy. I want to create a custom GPT for this use case. Do research about best practices to create this custom GPT under your current model/version, and give me the instructions in markdown code</v>
      </c>
      <c r="AP87" s="28" t="str">
        <f>substitute('Prompt Template'!$D$2,$AN$5,$AO87)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87" s="26">
        <f t="array" ref="AQ87">index('Response Scoring'!$I:$I,match($A87,'Response Scoring'!$A:$A,0))</f>
        <v>0</v>
      </c>
      <c r="AR87" s="26">
        <f t="shared" si="17"/>
        <v>0</v>
      </c>
      <c r="AS87" s="30">
        <f t="shared" si="18"/>
        <v>2.405</v>
      </c>
      <c r="AT87" s="26">
        <f t="shared" si="19"/>
        <v>29.935</v>
      </c>
      <c r="AU87" s="26">
        <f t="shared" si="20"/>
        <v>59.87</v>
      </c>
      <c r="AV87" s="26" t="str">
        <f t="shared" si="21"/>
        <v>AI Experimenter</v>
      </c>
      <c r="AW87" s="26" t="str">
        <f>'Raw Data'!U83</f>
        <v/>
      </c>
      <c r="AX87" s="26" t="str">
        <f>'Raw Data'!V83</f>
        <v/>
      </c>
      <c r="AY87" s="26" t="str">
        <f>'Raw Data'!W83</f>
        <v/>
      </c>
      <c r="AZ87" s="26" t="str">
        <f>'Raw Data'!X83</f>
        <v/>
      </c>
      <c r="BA87" s="26" t="str">
        <f>'Raw Data'!Y83</f>
        <v/>
      </c>
      <c r="BB87" s="26" t="str">
        <f>'Raw Data'!Z83</f>
        <v/>
      </c>
      <c r="BW87" s="31" t="str">
        <f>'Raw Data'!C83</f>
        <v>Acquisition &amp; Performance Marketing</v>
      </c>
      <c r="BZ87" s="26" t="str">
        <f>'Raw Data'!F83</f>
        <v>Manager or Senior Manager</v>
      </c>
      <c r="CA87" s="31" t="str">
        <f>'Raw Data'!AU83</f>
        <v>lack of integration with platfomrs I use daily</v>
      </c>
      <c r="CB87" s="31" t="str">
        <f>'Raw Data'!AV83</f>
        <v>none</v>
      </c>
      <c r="CC87" s="31" t="str">
        <f>'Raw Data'!AW83</f>
        <v>Neutral</v>
      </c>
    </row>
    <row r="88" ht="15.75" customHeight="1">
      <c r="A88" s="26">
        <f>'Raw Data'!$A84</f>
        <v>82</v>
      </c>
      <c r="B88" s="26" t="str">
        <f>'Raw Data'!$G84</f>
        <v>Daily</v>
      </c>
      <c r="C88" s="26">
        <f t="shared" si="1"/>
        <v>1</v>
      </c>
      <c r="D88" s="26" t="str">
        <f>'Raw Data'!$H84</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88" s="26">
        <f t="shared" si="2"/>
        <v>3</v>
      </c>
      <c r="F88" s="27">
        <f t="shared" si="3"/>
        <v>1</v>
      </c>
      <c r="G88" s="26" t="str">
        <f>'Raw Data'!$I84</f>
        <v>I've built custom AI tools (i.e. CustomGPTs, Copilot Agents) for repetitive tasks</v>
      </c>
      <c r="H88" s="26">
        <f t="shared" si="4"/>
        <v>0.75</v>
      </c>
      <c r="I88" s="26" t="str">
        <f>'Raw Data'!$J84</f>
        <v>Create a systematic process where AI handles data analysis and summary generation consistently</v>
      </c>
      <c r="J88" s="26">
        <f t="shared" si="5"/>
        <v>1</v>
      </c>
      <c r="K88" s="26" t="str">
        <f>'Raw Data'!$K84</f>
        <v>Write outline, use AI to assess it. Flesh out slides, ask AI to review and suggest improvements. Finalize. Ask AI to do final review from a few diff perspectives including intended audience.</v>
      </c>
      <c r="L88" s="26" t="s">
        <v>371</v>
      </c>
      <c r="M88" s="28" t="str">
        <f>substitute('Prompt Template'!$A$2,$K$5,$L88)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&lt;user_input&gt;Write outline, use AI to assess it. Flesh out slides, ask AI to review and suggest improvements. Finalize. Ask AI to do final review from a few diff perspectives including intended audience.&lt;/user_input&gt;</v>
      </c>
      <c r="N88" s="26">
        <f t="array" ref="N88">index('Response Scoring'!$C:$C,match($A88,'Response Scoring'!$A:$A,0))</f>
        <v>3</v>
      </c>
      <c r="O88" s="29">
        <f t="shared" si="6"/>
        <v>1</v>
      </c>
      <c r="P88" s="26" t="str">
        <f>'Raw Data'!$L84</f>
        <v>Building custom agents that will either 1) allow our report users to get quick answers about our team our our reports or 2) be used internally by our team members to complete a task that needs to be done in a templatized/systematic way, like reviewing and completing all steps needed to launch a report version.</v>
      </c>
      <c r="Q88" s="26" t="s">
        <v>372</v>
      </c>
      <c r="R88" s="28" t="str">
        <f>substitute('Prompt Template'!$B$2,$P$5,$Q88)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custom agents that will either 1) allow our report users to get quick answers about our team our our reports or 2) be used internally by our team members to complete a task that needs to be done in a templatized/systematic way, like reviewing and completing all steps needed to launch a report version.&lt;/user_input&gt;</v>
      </c>
      <c r="S88" s="26">
        <f t="array" ref="S88">index('Response Scoring'!$E:$E,match($A88,'Response Scoring'!$A:$A,0))</f>
        <v>3</v>
      </c>
      <c r="T88" s="29">
        <f t="shared" si="7"/>
        <v>1</v>
      </c>
      <c r="U88" s="29">
        <f t="shared" si="8"/>
        <v>9.75</v>
      </c>
      <c r="V88" s="26" t="str">
        <f>'Raw Data'!$M84</f>
        <v>Analyzing presentation slides to evaluate both the visual design and written content for consistency</v>
      </c>
      <c r="W88" s="26">
        <f t="shared" si="9"/>
        <v>1</v>
      </c>
      <c r="X88" s="26" t="str">
        <f>'Raw Data'!$N84</f>
        <v>Hallucinations (generating false or misleading information), Biases in answers, Data privacy concerns when information is shared with an LLM</v>
      </c>
      <c r="Y88" s="26">
        <f t="shared" si="10"/>
        <v>0.75</v>
      </c>
      <c r="Z88" s="26" t="str">
        <f>'Raw Data'!$O84</f>
        <v>Use secure company instances or enterprise plans when available, Anonymize information by removing identifying details</v>
      </c>
      <c r="AA88" s="29">
        <f t="shared" si="11"/>
        <v>1</v>
      </c>
      <c r="AB88" s="26" t="str">
        <f>'Raw Data'!$P84</f>
        <v>Always: I routinely cross-check AI outputs with reliable sources</v>
      </c>
      <c r="AC88" s="26">
        <f t="shared" si="12"/>
        <v>1</v>
      </c>
      <c r="AD88" s="26" t="str">
        <f>'Raw Data'!$Q84</f>
        <v>Use a different AI tool to review and verify the content, Cross-reference key claims with reliable external sources, Verify any calculations or data analysis independently</v>
      </c>
      <c r="AE88" s="26">
        <f t="shared" si="13"/>
        <v>0.75</v>
      </c>
      <c r="AF88" s="30">
        <f t="shared" si="14"/>
        <v>9</v>
      </c>
      <c r="AG88" s="26" t="str">
        <f>'Raw Data'!$R84</f>
        <v>Frequently: I systematically refine prompts until I'm satisfied</v>
      </c>
      <c r="AH88" s="26">
        <f t="shared" si="15"/>
        <v>1</v>
      </c>
      <c r="AI88" s="26" t="str">
        <f>'Raw Data'!$S84</f>
        <v>Cannot do this well without knowing and providing in the prompt all the necessary context.</v>
      </c>
      <c r="AJ88" s="26" t="s">
        <v>373</v>
      </c>
      <c r="AK88" s="28" t="str">
        <f>substitute('Prompt Template'!$C$2,$AI$5,$AJ88)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&lt;prompt&gt;Cannot do this well without knowing and providing in the prompt all the necessary context.&lt;/prompt&gt;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&lt;user_input&gt;Cannot do this well without knowing and providing in the prompt all the necessary context.&lt;/user_input&gt;</v>
      </c>
      <c r="AL88" s="26">
        <f t="array" ref="AL88">index('Response Scoring'!$G:$G,match($A88,'Response Scoring'!$A:$A,0))</f>
        <v>0</v>
      </c>
      <c r="AM88" s="26">
        <f t="shared" si="16"/>
        <v>0</v>
      </c>
      <c r="AN88" s="26" t="str">
        <f>'Raw Data'!$T84</f>
        <v>I want to create a custom GPT whose intent is to research and provide summarized data around competitor's product, pricing, and positioning. This tool will be used by my team (the _____ team). We only want to collect data that is from reputable sources that are highly trusted by teams like ours - at similarly-sized businesses. Please help to craft all of the necessary inputs needed to create this custom GPT. Sequentially ask any clarifying questions until you have a complete understanding of my goals.</v>
      </c>
      <c r="AP88" s="28" t="str">
        <f>substitute('Prompt Template'!$D$2,$AN$5,$AO88)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88" s="26">
        <f t="array" ref="AQ88">index('Response Scoring'!$I:$I,match($A88,'Response Scoring'!$A:$A,0))</f>
        <v>0</v>
      </c>
      <c r="AR88" s="26">
        <f t="shared" si="17"/>
        <v>0</v>
      </c>
      <c r="AS88" s="30">
        <f t="shared" si="18"/>
        <v>1.5</v>
      </c>
      <c r="AT88" s="26">
        <f t="shared" si="19"/>
        <v>31.125</v>
      </c>
      <c r="AU88" s="26">
        <f t="shared" si="20"/>
        <v>62.25</v>
      </c>
      <c r="AV88" s="26" t="str">
        <f t="shared" si="21"/>
        <v>AI Practitioner</v>
      </c>
      <c r="AW88" s="26" t="str">
        <f>'Raw Data'!U84</f>
        <v/>
      </c>
      <c r="AX88" s="26" t="str">
        <f>'Raw Data'!V84</f>
        <v/>
      </c>
      <c r="AY88" s="26" t="str">
        <f>'Raw Data'!W84</f>
        <v/>
      </c>
      <c r="AZ88" s="26" t="str">
        <f>'Raw Data'!X84</f>
        <v/>
      </c>
      <c r="BA88" s="26" t="str">
        <f>'Raw Data'!Y84</f>
        <v/>
      </c>
      <c r="BB88" s="26" t="str">
        <f>'Raw Data'!Z84</f>
        <v/>
      </c>
      <c r="BW88" s="31" t="str">
        <f>'Raw Data'!C84</f>
        <v>Acquisition &amp; Performance Marketing</v>
      </c>
      <c r="BZ88" s="26" t="str">
        <f>'Raw Data'!F84</f>
        <v>Manager or Senior Manager</v>
      </c>
      <c r="CA88" s="31" t="str">
        <f>'Raw Data'!AU84</f>
        <v>Trying to build out custom flows using custom CoPilot Agents was time-consuming and produced results that disappointed. Working with Custom GPTs has been much more efficient and effective.</v>
      </c>
      <c r="CB88" s="31" t="str">
        <f>'Raw Data'!AV84</f>
        <v>Personally, I am using Google Gemini so that I can stay up to date and aware of other major tools in the market. I also use Claude on occasion.</v>
      </c>
      <c r="CC88" s="31" t="str">
        <f>'Raw Data'!AW84</f>
        <v>Neutral</v>
      </c>
    </row>
    <row r="89" ht="15.75" customHeight="1">
      <c r="A89" s="26">
        <f>'Raw Data'!$A85</f>
        <v>83</v>
      </c>
      <c r="B89" s="26" t="str">
        <f>'Raw Data'!$G85</f>
        <v>Daily</v>
      </c>
      <c r="C89" s="26">
        <f t="shared" si="1"/>
        <v>1</v>
      </c>
      <c r="D89" s="26" t="str">
        <f>'Raw Data'!$H85</f>
        <v>Getting quick answers to specific questions or looking up information, Editing or improving text I've already written (emails, documents, presentations), Brainstorming ideas, testing concepts, or getting feedback on my thinking</v>
      </c>
      <c r="E89" s="26">
        <f t="shared" si="2"/>
        <v>2</v>
      </c>
      <c r="F89" s="27">
        <f t="shared" si="3"/>
        <v>0.6666666667</v>
      </c>
      <c r="G89" s="26" t="str">
        <f>'Raw Data'!$I85</f>
        <v>I create fresh prompts each time I use AI</v>
      </c>
      <c r="H89" s="26">
        <f t="shared" si="4"/>
        <v>0.25</v>
      </c>
      <c r="I89" s="26" t="str">
        <f>'Raw Data'!$J85</f>
        <v>Use AI to help analyze each data source, then compile results manually</v>
      </c>
      <c r="J89" s="26">
        <f t="shared" si="5"/>
        <v>0.67</v>
      </c>
      <c r="K89" s="26" t="str">
        <f>'Raw Data'!$K85</f>
        <v>will use to help me create a Draft by adding the source of the topic</v>
      </c>
      <c r="L89" s="26" t="s">
        <v>374</v>
      </c>
      <c r="M89" s="28" t="str">
        <f>substitute('Prompt Template'!$A$2,$K$5,$L89)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&lt;user_input&gt;will use to help me create a Draft by adding the source of the topic&lt;/user_input&gt;</v>
      </c>
      <c r="N89" s="26">
        <f t="array" ref="N89">index('Response Scoring'!$C:$C,match($A89,'Response Scoring'!$A:$A,0))</f>
        <v>1</v>
      </c>
      <c r="O89" s="29">
        <f t="shared" si="6"/>
        <v>0.3333333333</v>
      </c>
      <c r="P89" s="26" t="str">
        <f>'Raw Data'!$L85</f>
        <v>get the summary of the long explanation email or content, or to draft a document or email</v>
      </c>
      <c r="Q89" s="26" t="s">
        <v>375</v>
      </c>
      <c r="R89" s="28" t="str">
        <f>substitute('Prompt Template'!$B$2,$P$5,$Q89)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the summary of the long explanation email or content, or to draft a document or email&lt;/user_input&gt;</v>
      </c>
      <c r="S89" s="26">
        <f t="array" ref="S89">index('Response Scoring'!$E:$E,match($A89,'Response Scoring'!$A:$A,0))</f>
        <v>1</v>
      </c>
      <c r="T89" s="29">
        <f t="shared" si="7"/>
        <v>0.3333333333</v>
      </c>
      <c r="U89" s="29">
        <f t="shared" si="8"/>
        <v>4.42</v>
      </c>
      <c r="V89" s="26" t="str">
        <f>'Raw Data'!$M85</f>
        <v>Analyzing presentation slides to evaluate both the visual design and written content for consistency</v>
      </c>
      <c r="W89" s="26">
        <f t="shared" si="9"/>
        <v>1</v>
      </c>
      <c r="X89" s="26" t="str">
        <f>'Raw Data'!$N85</f>
        <v>Hallucinations (generating false or misleading information), Biases in answers, Data privacy concerns when information is shared with an LLM</v>
      </c>
      <c r="Y89" s="26">
        <f t="shared" si="10"/>
        <v>0.75</v>
      </c>
      <c r="Z89" s="26" t="str">
        <f>'Raw Data'!$O85</f>
        <v>Use secure company instances or enterprise plans when available, Anonymize information by removing identifying details, Verify that the AI tool has SSL/HTTPS encryption before using it</v>
      </c>
      <c r="AA89" s="29">
        <f t="shared" si="11"/>
        <v>0</v>
      </c>
      <c r="AB89" s="26" t="str">
        <f>'Raw Data'!$P85</f>
        <v>Always: I routinely cross-check AI outputs with reliable sources</v>
      </c>
      <c r="AC89" s="26">
        <f t="shared" si="12"/>
        <v>1</v>
      </c>
      <c r="AD89" s="26" t="str">
        <f>'Raw Data'!$Q85</f>
        <v>Look for professional formatting and proper grammar, Check if the response uses confident language and specific details</v>
      </c>
      <c r="AE89" s="26">
        <f t="shared" si="13"/>
        <v>0</v>
      </c>
      <c r="AF89" s="30">
        <f t="shared" si="14"/>
        <v>5.5</v>
      </c>
      <c r="AG89" s="26" t="str">
        <f>'Raw Data'!$R85</f>
        <v>Sometimes: I iterate 2-3 times to reach a good result</v>
      </c>
      <c r="AH89" s="26">
        <f t="shared" si="15"/>
        <v>0.67</v>
      </c>
      <c r="AI89" s="26" t="str">
        <f>'Raw Data'!$S85</f>
        <v>help prepare a meeting to discuss new initiative for xxxxx.
here are some resources regarding this initiative, (add the source text of file)</v>
      </c>
      <c r="AJ89" s="26" t="s">
        <v>376</v>
      </c>
      <c r="AK89" s="28" t="str">
        <f>substitute('Prompt Template'!$C$2,$AI$5,$AJ89)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prepare a meeting to discuss new initiative for xxxxx.
here are some resources regarding this initiative, (add the source text of file)&lt;/prompt&gt;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prepare a meeting to discuss new initiative for xxxxx.
here are some resources regarding this initiative, (add the source text of file)&lt;/user_input&gt;</v>
      </c>
      <c r="AL89" s="26">
        <f t="array" ref="AL89">index('Response Scoring'!$G:$G,match($A89,'Response Scoring'!$A:$A,0))</f>
        <v>2</v>
      </c>
      <c r="AM89" s="26">
        <f t="shared" si="16"/>
        <v>0.4</v>
      </c>
      <c r="AN89" s="26" t="str">
        <f>'Raw Data'!$T85</f>
        <v>provide competitive intelligence of xxx product of xxx company, pricing and positioning. adding some information of this products as attached.</v>
      </c>
      <c r="AP89" s="28" t="str">
        <f>substitute('Prompt Template'!$D$2,$AN$5,$AO89)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89" s="26">
        <f t="array" ref="AQ89">index('Response Scoring'!$I:$I,match($A89,'Response Scoring'!$A:$A,0))</f>
        <v>0</v>
      </c>
      <c r="AR89" s="26">
        <f t="shared" si="17"/>
        <v>0</v>
      </c>
      <c r="AS89" s="30">
        <f t="shared" si="18"/>
        <v>2.405</v>
      </c>
      <c r="AT89" s="26">
        <f t="shared" si="19"/>
        <v>19.69</v>
      </c>
      <c r="AU89" s="26">
        <f t="shared" si="20"/>
        <v>39.38</v>
      </c>
      <c r="AV89" s="26" t="str">
        <f t="shared" si="21"/>
        <v>AI Experimenter</v>
      </c>
      <c r="AW89" s="26" t="str">
        <f>'Raw Data'!U85</f>
        <v/>
      </c>
      <c r="AX89" s="26" t="str">
        <f>'Raw Data'!V85</f>
        <v/>
      </c>
      <c r="AY89" s="26" t="str">
        <f>'Raw Data'!W85</f>
        <v/>
      </c>
      <c r="AZ89" s="26" t="str">
        <f>'Raw Data'!X85</f>
        <v/>
      </c>
      <c r="BA89" s="26" t="str">
        <f>'Raw Data'!Y85</f>
        <v/>
      </c>
      <c r="BB89" s="26" t="str">
        <f>'Raw Data'!Z85</f>
        <v/>
      </c>
      <c r="BW89" s="31" t="str">
        <f>'Raw Data'!C85</f>
        <v>Digital &amp; eCommerce</v>
      </c>
      <c r="BZ89" s="26" t="str">
        <f>'Raw Data'!F85</f>
        <v>Manager or Senior Manager</v>
      </c>
      <c r="CA89" s="31" t="str">
        <f>'Raw Data'!AU85</f>
        <v/>
      </c>
      <c r="CB89" s="31" t="str">
        <f>'Raw Data'!AV85</f>
        <v/>
      </c>
      <c r="CC89" s="31" t="str">
        <f>'Raw Data'!AW85</f>
        <v>Agree</v>
      </c>
    </row>
    <row r="90" ht="15.75" customHeight="1">
      <c r="A90" s="26">
        <f>'Raw Data'!$A86</f>
        <v>84</v>
      </c>
      <c r="B90" s="26" t="str">
        <f>'Raw Data'!$G86</f>
        <v>Daily</v>
      </c>
      <c r="C90" s="26">
        <f t="shared" si="1"/>
        <v>1</v>
      </c>
      <c r="D90" s="26" t="str">
        <f>'Raw Data'!$H86</f>
        <v>Getting quick answers to specific questions or looking up information, Editing or improving text I've already written (emails, documents, presentations), Creating first drafts of content from scratch (reports, proposals, marketing copy)</v>
      </c>
      <c r="E90" s="26">
        <f t="shared" si="2"/>
        <v>2</v>
      </c>
      <c r="F90" s="27">
        <f t="shared" si="3"/>
        <v>0.6666666667</v>
      </c>
      <c r="G90" s="26" t="str">
        <f>'Raw Data'!$I86</f>
        <v>I maintain a library of prompts that I reuse frequently</v>
      </c>
      <c r="H90" s="26">
        <f t="shared" si="4"/>
        <v>0.5</v>
      </c>
      <c r="I90" s="26" t="str">
        <f>'Raw Data'!$J86</f>
        <v>Use AI to help analyze each data source, then compile results manually</v>
      </c>
      <c r="J90" s="26">
        <f t="shared" si="5"/>
        <v>0.67</v>
      </c>
      <c r="K90" s="26" t="str">
        <f>'Raw Data'!$K86</f>
        <v>Draft a presentation draft using necessary data</v>
      </c>
      <c r="L90" s="26" t="s">
        <v>377</v>
      </c>
      <c r="M90" s="28" t="str">
        <f>substitute('Prompt Template'!$A$2,$K$5,$L90)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&lt;user_input&gt;Draft a presentation draft using necessary data&lt;/user_input&gt;</v>
      </c>
      <c r="N90" s="26">
        <f t="array" ref="N90">index('Response Scoring'!$C:$C,match($A90,'Response Scoring'!$A:$A,0))</f>
        <v>1</v>
      </c>
      <c r="O90" s="29">
        <f t="shared" si="6"/>
        <v>0.3333333333</v>
      </c>
      <c r="P90" s="26" t="str">
        <f>'Raw Data'!$L86</f>
        <v>Drafting presentations with messages bouncing some ideas off AI</v>
      </c>
      <c r="Q90" s="26" t="s">
        <v>378</v>
      </c>
      <c r="R90" s="28" t="str">
        <f>substitute('Prompt Template'!$B$2,$P$5,$Q90)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&lt;user_input&gt;Drafting presentations with messages bouncing some ideas off AI&lt;/user_input&gt;</v>
      </c>
      <c r="S90" s="26">
        <f t="array" ref="S90">index('Response Scoring'!$E:$E,match($A90,'Response Scoring'!$A:$A,0))</f>
        <v>1</v>
      </c>
      <c r="T90" s="29">
        <f t="shared" si="7"/>
        <v>0.3333333333</v>
      </c>
      <c r="U90" s="29">
        <f t="shared" si="8"/>
        <v>4.67</v>
      </c>
      <c r="V90" s="26" t="str">
        <f>'Raw Data'!$M86</f>
        <v>Analyzing presentation slides to evaluate both the visual design and written content for consistency</v>
      </c>
      <c r="W90" s="26">
        <f t="shared" si="9"/>
        <v>1</v>
      </c>
      <c r="X90" s="26" t="str">
        <f>'Raw Data'!$N86</f>
        <v>Data privacy concerns when information is shared with an LLM, Hallucinations (generating false or misleading information), Biases in answers</v>
      </c>
      <c r="Y90" s="26">
        <f t="shared" si="10"/>
        <v>0.75</v>
      </c>
      <c r="Z90" s="26" t="str">
        <f>'Raw Data'!$O86</f>
        <v>Use secure company instances or enterprise plans when available</v>
      </c>
      <c r="AA90" s="29">
        <f t="shared" si="11"/>
        <v>0.5</v>
      </c>
      <c r="AB90" s="26" t="str">
        <f>'Raw Data'!$P86</f>
        <v>Always: I routinely cross-check AI outputs with reliable sources</v>
      </c>
      <c r="AC90" s="26">
        <f t="shared" si="12"/>
        <v>1</v>
      </c>
      <c r="AD90" s="26" t="str">
        <f>'Raw Data'!$Q86</f>
        <v>Cross-reference key claims with reliable external sources, Look for professional formatting and proper grammar, Check if the response uses confident language and specific details</v>
      </c>
      <c r="AE90" s="26">
        <f t="shared" si="13"/>
        <v>0</v>
      </c>
      <c r="AF90" s="30">
        <f t="shared" si="14"/>
        <v>6.5</v>
      </c>
      <c r="AG90" s="26" t="str">
        <f>'Raw Data'!$R86</f>
        <v>Sometimes: I iterate 2-3 times to reach a good result</v>
      </c>
      <c r="AH90" s="26">
        <f t="shared" si="15"/>
        <v>0.67</v>
      </c>
      <c r="AI90" s="26" t="str">
        <f>'Raw Data'!$S86</f>
        <v>Include the context—such as your role and who the proposal is intended for—in the prompt before sending it.</v>
      </c>
      <c r="AJ90" s="26" t="s">
        <v>379</v>
      </c>
      <c r="AK90" s="28" t="str">
        <f>substitute('Prompt Template'!$C$2,$AI$5,$AJ90)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&lt;prompt&gt;Include the context—such as your role and who the proposal is intended for—in the prompt before sending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&lt;user_input&gt;Include the context—such as your role and who the proposal is intended for—in the prompt before sending it.&lt;/user_input&gt;</v>
      </c>
      <c r="AL90" s="26">
        <f t="array" ref="AL90">index('Response Scoring'!$G:$G,match($A90,'Response Scoring'!$A:$A,0))</f>
        <v>1</v>
      </c>
      <c r="AM90" s="26">
        <f t="shared" si="16"/>
        <v>0.2</v>
      </c>
      <c r="AN90" s="26" t="str">
        <f>'Raw Data'!$T86</f>
        <v>I don't know how to create custome AI Instructions</v>
      </c>
      <c r="AP90" s="28" t="str">
        <f>substitute('Prompt Template'!$D$2,$AN$5,$AO90)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0" s="26">
        <f t="array" ref="AQ90">index('Response Scoring'!$I:$I,match($A90,'Response Scoring'!$A:$A,0))</f>
        <v>0</v>
      </c>
      <c r="AR90" s="26">
        <f t="shared" si="17"/>
        <v>0</v>
      </c>
      <c r="AS90" s="30">
        <f t="shared" si="18"/>
        <v>1.705</v>
      </c>
      <c r="AT90" s="26">
        <f t="shared" si="19"/>
        <v>20.165</v>
      </c>
      <c r="AU90" s="26">
        <f t="shared" si="20"/>
        <v>40.33</v>
      </c>
      <c r="AV90" s="26" t="str">
        <f t="shared" si="21"/>
        <v>AI Experimenter</v>
      </c>
      <c r="AW90" s="26" t="str">
        <f>'Raw Data'!U86</f>
        <v/>
      </c>
      <c r="AX90" s="26" t="str">
        <f>'Raw Data'!V86</f>
        <v/>
      </c>
      <c r="AY90" s="26" t="str">
        <f>'Raw Data'!W86</f>
        <v/>
      </c>
      <c r="AZ90" s="26" t="str">
        <f>'Raw Data'!X86</f>
        <v/>
      </c>
      <c r="BA90" s="26" t="str">
        <f>'Raw Data'!Y86</f>
        <v/>
      </c>
      <c r="BB90" s="26" t="str">
        <f>'Raw Data'!Z86</f>
        <v/>
      </c>
      <c r="BW90" s="31" t="str">
        <f>'Raw Data'!C86</f>
        <v>Growth &amp; Partner Marketing</v>
      </c>
      <c r="BZ90" s="26" t="str">
        <f>'Raw Data'!F86</f>
        <v>Director or senior Director</v>
      </c>
      <c r="CA90" s="31" t="str">
        <f>'Raw Data'!AU86</f>
        <v/>
      </c>
      <c r="CB90" s="31" t="str">
        <f>'Raw Data'!AV86</f>
        <v>none</v>
      </c>
      <c r="CC90" s="31" t="str">
        <f>'Raw Data'!AW86</f>
        <v>Agree</v>
      </c>
    </row>
    <row r="91" ht="15.75" customHeight="1">
      <c r="A91" s="26">
        <f>'Raw Data'!$A87</f>
        <v>85</v>
      </c>
      <c r="B91" s="26" t="str">
        <f>'Raw Data'!$G87</f>
        <v>Daily</v>
      </c>
      <c r="C91" s="26">
        <f t="shared" si="1"/>
        <v>1</v>
      </c>
      <c r="D91" s="26" t="str">
        <f>'Raw Data'!$H87</f>
        <v>Editing or improving text I've already written (emails, documents, presentations)</v>
      </c>
      <c r="E91" s="26">
        <f t="shared" si="2"/>
        <v>1</v>
      </c>
      <c r="F91" s="27">
        <f t="shared" si="3"/>
        <v>0.3333333333</v>
      </c>
      <c r="G91" s="26" t="str">
        <f>'Raw Data'!$I87</f>
        <v>I create fresh prompts each time I use AI</v>
      </c>
      <c r="H91" s="26">
        <f t="shared" si="4"/>
        <v>0.25</v>
      </c>
      <c r="I91" s="26" t="str">
        <f>'Raw Data'!$J87</f>
        <v>I wouldn’t use AI for this task</v>
      </c>
      <c r="J91" s="26" t="b">
        <f t="shared" si="5"/>
        <v>0</v>
      </c>
      <c r="K91" s="26" t="str">
        <f>'Raw Data'!$K87</f>
        <v>If I had one week to prepare an executive presentation on an unfamiliar topic, I would use AI to accelerate learning, structure thinking, and refine delivery. First, I’d use it to quickly build foundational knowledge, clarify key terms, and identify credible sources. Next, I’d leverage it to shape a clear, decision-focused storyline tailored to senior stakeholders. During slide development, I’d use AI to sharpen insights, simplify complex ideas, and suggest effective visual frameworks. I’d also simulate stakeholder questions to pressure-test my logic. Finally, I’d use AI to refine messaging and rehearse—while validating facts and applying my own judgment throughout.</v>
      </c>
      <c r="L91" s="26" t="s">
        <v>380</v>
      </c>
      <c r="M91" s="28" t="str">
        <f>substitute('Prompt Template'!$A$2,$K$5,$L91)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prepare an executive presentation on an unfamiliar topic, I would use AI to accelerate learning, structure thinking, and refine delivery. First, I’d use it to quickly build foundational knowledge, clarify key terms, and identify credible sources. Next, I’d leverage it to shape a clear, decision-focused storyline tailored to senior stakeholders. During slide development, I’d use AI to sharpen insights, simplify complex ideas, and suggest effective visual frameworks. I’d also simulate stakeholder questions to pressure-test my logic. Finally, I’d use AI to refine messaging and rehearse—while validating facts and applying my own judgment throughout.&lt;/user_input&gt;</v>
      </c>
      <c r="N91" s="26">
        <f t="array" ref="N91">index('Response Scoring'!$C:$C,match($A91,'Response Scoring'!$A:$A,0))</f>
        <v>3</v>
      </c>
      <c r="O91" s="29">
        <f t="shared" si="6"/>
        <v>1</v>
      </c>
      <c r="P91" s="26" t="str">
        <f>'Raw Data'!$L87</f>
        <v>AI is well-suited for researching topics that I am not familiar with. I appreciate how it can sift through vast amounts of information and selectively provide the most relevant insights.</v>
      </c>
      <c r="Q91" s="26" t="s">
        <v>381</v>
      </c>
      <c r="R91" s="28" t="str">
        <f>substitute('Prompt Template'!$B$2,$P$5,$Q91)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well-suited for researching topics that I am not familiar with. I appreciate how it can sift through vast amounts of information and selectively provide the most relevant insights.&lt;/user_input&gt;</v>
      </c>
      <c r="S91" s="26">
        <f t="array" ref="S91">index('Response Scoring'!$E:$E,match($A91,'Response Scoring'!$A:$A,0))</f>
        <v>1</v>
      </c>
      <c r="T91" s="29">
        <f t="shared" si="7"/>
        <v>0.3333333333</v>
      </c>
      <c r="U91" s="29">
        <f t="shared" si="8"/>
        <v>4.583333333</v>
      </c>
      <c r="V91" s="26" t="str">
        <f>'Raw Data'!$M87</f>
        <v>Creating a complete slide deck with visual design for an important client presentation</v>
      </c>
      <c r="W91" s="26">
        <f t="shared" si="9"/>
        <v>0</v>
      </c>
      <c r="X91" s="26" t="str">
        <f>'Raw Data'!$N87</f>
        <v>Data privacy concerns when information is shared with an LLM, Hallucinations (generating false or misleading information)</v>
      </c>
      <c r="Y91" s="26">
        <f t="shared" si="10"/>
        <v>0.5</v>
      </c>
      <c r="Z91" s="26" t="str">
        <f>'Raw Data'!$O87</f>
        <v>Use secure company instances or enterprise plans when available, Only share information that you would be comfortable sharing internally with a colleague</v>
      </c>
      <c r="AA91" s="29">
        <f t="shared" si="11"/>
        <v>0.5</v>
      </c>
      <c r="AB91" s="26" t="str">
        <f>'Raw Data'!$P87</f>
        <v>Sometimes: I do a quick check against known data or references</v>
      </c>
      <c r="AC91" s="26">
        <f t="shared" si="12"/>
        <v>0.67</v>
      </c>
      <c r="AD91" s="26" t="str">
        <f>'Raw Data'!$Q87</f>
        <v>Use a different AI tool to review and verify the content, Ask the same AI tool to double-check its work for accuracy</v>
      </c>
      <c r="AE91" s="26">
        <f t="shared" si="13"/>
        <v>0.5</v>
      </c>
      <c r="AF91" s="30">
        <f t="shared" si="14"/>
        <v>4.34</v>
      </c>
      <c r="AG91" s="26" t="str">
        <f>'Raw Data'!$R87</f>
        <v>Sometimes: I iterate 2-3 times to reach a good result</v>
      </c>
      <c r="AH91" s="26">
        <f t="shared" si="15"/>
        <v>0.67</v>
      </c>
      <c r="AI91" s="26" t="str">
        <f>'Raw Data'!$S87</f>
        <v>I’m preparing for a work meeting to discuss a new initiative and would like your help getting ready. The initiative involves launching a cross-functional project aimed at improving efficiency and collaboration across teams. Please help me structure a clear and persuasive presentation outline, including key objectives, expected benefits, potential risks, and measurable success metrics. Also suggest thoughtful questions stakeholders might ask and provide strong, concise responses. Finally, recommend strategies for handling objections and aligning the proposal with broader business goals so I can communicate confidently and effectively during the meeting.</v>
      </c>
      <c r="AJ91" s="26" t="s">
        <v>382</v>
      </c>
      <c r="AK91" s="28" t="str">
        <f>substitute('Prompt Template'!$C$2,$AI$5,$AJ91)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 and would like your help getting ready. The initiative involves launching a cross-functional project aimed at improving efficiency and collaboration across teams. Please help me structure a clear and persuasive presentation outline, including key objectives, expected benefits, potential risks, and measurable success metrics. Also suggest thoughtful questions stakeholders might ask and provide strong, concise responses. Finally, recommend strategies for handling objections and aligning the proposal with broader business goals so I can communicate confidently and effectively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 and would like your help getting ready. The initiative involves launching a cross-functional project aimed at improving efficiency and collaboration across teams. Please help me structure a clear and persuasive presentation outline, including key objectives, expected benefits, potential risks, and measurable success metrics. Also suggest thoughtful questions stakeholders might ask and provide strong, concise responses. Finally, recommend strategies for handling objections and aligning the proposal with broader business goals so I can communicate confidently and effectively during the meeting.&lt;/user_input&gt;</v>
      </c>
      <c r="AL91" s="26">
        <f t="array" ref="AL91">index('Response Scoring'!$G:$G,match($A91,'Response Scoring'!$A:$A,0))</f>
        <v>5</v>
      </c>
      <c r="AM91" s="26">
        <f t="shared" si="16"/>
        <v>1</v>
      </c>
      <c r="AN91" s="26" t="str">
        <f>'Raw Data'!$T87</f>
        <v>You are a Competitive Intelligence Assistant for the team. Your role is to systematically gather, summarize, and structure information about competitors’ products, pricing, positioning, messaging, partnerships, and recent updates. Always use credible, up-to-date public sources and cite them clearly. Organize findings into standard sections: Company Overview, Target Segments, Product Features, Pricing Model, Differentiators, Strengths/Weaknesses, Recent News, and Strategic Implications. Highlight changes over time and flag assumptions or gaps. Maintain an objective, fact-based tone—no speculation. Provide comparison tables when relevant. End each report with 3–5 actionable insights for our team and suggested follow-up research areas. Ensure consistency in format across all outputs.</v>
      </c>
      <c r="AP91" s="28" t="str">
        <f>substitute('Prompt Template'!$D$2,$AN$5,$AO91)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1" s="26">
        <f t="array" ref="AQ91">index('Response Scoring'!$I:$I,match($A91,'Response Scoring'!$A:$A,0))</f>
        <v>0</v>
      </c>
      <c r="AR91" s="26">
        <f t="shared" si="17"/>
        <v>0</v>
      </c>
      <c r="AS91" s="30">
        <f t="shared" si="18"/>
        <v>4.505</v>
      </c>
      <c r="AT91" s="26">
        <f t="shared" si="19"/>
        <v>22.395</v>
      </c>
      <c r="AU91" s="26">
        <f t="shared" si="20"/>
        <v>44.79</v>
      </c>
      <c r="AV91" s="26" t="str">
        <f t="shared" si="21"/>
        <v>AI Experimenter</v>
      </c>
      <c r="AW91" s="26" t="str">
        <f>'Raw Data'!U87</f>
        <v/>
      </c>
      <c r="AX91" s="26" t="str">
        <f>'Raw Data'!V87</f>
        <v/>
      </c>
      <c r="AY91" s="26" t="str">
        <f>'Raw Data'!W87</f>
        <v/>
      </c>
      <c r="AZ91" s="26" t="str">
        <f>'Raw Data'!X87</f>
        <v/>
      </c>
      <c r="BA91" s="26" t="str">
        <f>'Raw Data'!Y87</f>
        <v/>
      </c>
      <c r="BB91" s="26" t="str">
        <f>'Raw Data'!Z87</f>
        <v/>
      </c>
      <c r="BW91" s="31" t="str">
        <f>'Raw Data'!C87</f>
        <v>Growth &amp; Partner Marketing</v>
      </c>
      <c r="BZ91" s="26" t="str">
        <f>'Raw Data'!F87</f>
        <v>Manager or Senior Manager</v>
      </c>
      <c r="CA91" s="31" t="str">
        <f>'Raw Data'!AU87</f>
        <v>It is difficult to clearly convey what I want the AI to do through prompts.</v>
      </c>
      <c r="CB91" s="31" t="str">
        <f>'Raw Data'!AV87</f>
        <v>No</v>
      </c>
      <c r="CC91" s="31" t="str">
        <f>'Raw Data'!AW87</f>
        <v>Strongly agree</v>
      </c>
    </row>
    <row r="92" ht="15.75" customHeight="1">
      <c r="A92" s="26">
        <f>'Raw Data'!$A88</f>
        <v>86</v>
      </c>
      <c r="B92" s="26" t="str">
        <f>'Raw Data'!$G88</f>
        <v>Daily</v>
      </c>
      <c r="C92" s="26">
        <f t="shared" si="1"/>
        <v>1</v>
      </c>
      <c r="D92" s="26" t="str">
        <f>'Raw Data'!$H88</f>
        <v>Brainstorming ideas, testing concepts, or getting feedback on my thinking,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v>
      </c>
      <c r="E92" s="26">
        <f t="shared" si="2"/>
        <v>2</v>
      </c>
      <c r="F92" s="27">
        <f t="shared" si="3"/>
        <v>0.6666666667</v>
      </c>
      <c r="G92" s="26" t="str">
        <f>'Raw Data'!$I88</f>
        <v>I maintain a library of prompts that I reuse frequently</v>
      </c>
      <c r="H92" s="26">
        <f t="shared" si="4"/>
        <v>0.5</v>
      </c>
      <c r="I92" s="26" t="str">
        <f>'Raw Data'!$J88</f>
        <v>Create a systematic process where AI handles data analysis and summary generation consistently</v>
      </c>
      <c r="J92" s="26">
        <f t="shared" si="5"/>
        <v>1</v>
      </c>
      <c r="K92" s="26" t="str">
        <f>'Raw Data'!$K88</f>
        <v>Search with AI for the topic and verify. Create a draft with agenda and page plans with AI by giving the information of the stakeholders what they want to know etc. Study Autodesk ppt template and make AI creat ppt draft file and manually fix the design and details.</v>
      </c>
      <c r="L92" s="26" t="s">
        <v>383</v>
      </c>
      <c r="M92" s="28" t="str">
        <f>substitute('Prompt Template'!$A$2,$K$5,$L92)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&lt;user_input&gt;Search with AI for the topic and verify. Create a draft with agenda and page plans with AI by giving the information of the stakeholders what they want to know etc. Study Autodesk ppt template and make AI creat ppt draft file and manually fix the design and details.&lt;/user_input&gt;</v>
      </c>
      <c r="N92" s="26">
        <f t="array" ref="N92">index('Response Scoring'!$C:$C,match($A92,'Response Scoring'!$A:$A,0))</f>
        <v>3</v>
      </c>
      <c r="O92" s="29">
        <f t="shared" si="6"/>
        <v>1</v>
      </c>
      <c r="P92" s="26" t="str">
        <f>'Raw Data'!$L88</f>
        <v>I got asked to create a presentation ppt about what is future of partner marketing to decision makers of the partners. This needed to be presented by someone who does not have much marketing background and the content should be practical as well as well-aligned with Autodesk big rock. I studied Autodesk big rock, latest marketing trend, and Korea economic situation with AI and made ppt fits the audience and help the presenter to understand the content by giving the slide note created by AI</v>
      </c>
      <c r="Q92" s="26" t="s">
        <v>384</v>
      </c>
      <c r="R92" s="28" t="str">
        <f>substitute('Prompt Template'!$B$2,$P$5,$Q92)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got asked to create a presentation ppt about what is future of partner marketing to decision makers of the partners. This needed to be presented by someone who does not have much marketing background and the content should be practical as well as well-aligned with Autodesk big rock. I studied Autodesk big rock, latest marketing trend, and Korea economic situation with AI and made ppt fits the audience and help the presenter to understand the content by giving the slide note created by AI&lt;/user_input&gt;</v>
      </c>
      <c r="S92" s="26">
        <f t="array" ref="S92">index('Response Scoring'!$E:$E,match($A92,'Response Scoring'!$A:$A,0))</f>
        <v>2</v>
      </c>
      <c r="T92" s="29">
        <f t="shared" si="7"/>
        <v>0.6666666667</v>
      </c>
      <c r="U92" s="29">
        <f t="shared" si="8"/>
        <v>7.666666667</v>
      </c>
      <c r="V92" s="26" t="str">
        <f>'Raw Data'!$M88</f>
        <v>Providing real-time updates on breaking news events happening right now</v>
      </c>
      <c r="W92" s="26">
        <f t="shared" si="9"/>
        <v>0</v>
      </c>
      <c r="X92" s="26" t="str">
        <f>'Raw Data'!$N88</f>
        <v>Hallucinations (generating false or misleading information), Biases in answers, Data privacy concerns when information is shared with an LLM</v>
      </c>
      <c r="Y92" s="26">
        <f t="shared" si="10"/>
        <v>0.75</v>
      </c>
      <c r="Z92" s="26" t="str">
        <f>'Raw Data'!$O88</f>
        <v>Anonymize information by removing identifying details, Use secure company instances or enterprise plans when available</v>
      </c>
      <c r="AA92" s="29">
        <f t="shared" si="11"/>
        <v>1</v>
      </c>
      <c r="AB92" s="26" t="str">
        <f>'Raw Data'!$P88</f>
        <v>Always: I routinely cross-check AI outputs with reliable sources</v>
      </c>
      <c r="AC92" s="26">
        <f t="shared" si="12"/>
        <v>1</v>
      </c>
      <c r="AD92" s="26" t="str">
        <f>'Raw Data'!$Q88</f>
        <v>Cross-reference key claims with reliable external sources, Ask the same AI tool to double-check its work for accuracy, Check if the response uses confident language and specific details, Use a different AI tool to review and verify the content</v>
      </c>
      <c r="AE92" s="26">
        <f t="shared" si="13"/>
        <v>0</v>
      </c>
      <c r="AF92" s="30">
        <f t="shared" si="14"/>
        <v>5.5</v>
      </c>
      <c r="AG92" s="26" t="str">
        <f>'Raw Data'!$R88</f>
        <v>Sometimes: I iterate 2-3 times to reach a good result</v>
      </c>
      <c r="AH92" s="26">
        <f t="shared" si="15"/>
        <v>0.67</v>
      </c>
      <c r="AI92" s="26" t="str">
        <f>'Raw Data'!$S88</f>
        <v>I give who I am and situation and information of the people that I will discuss with, what to do with main requirement. And make it step by step process so I do not want the answer from the beginning but ask to give me some questions help the AI understand it more clearly. Based on the answers I give I let the AI develope the requirement.</v>
      </c>
      <c r="AJ92" s="26" t="s">
        <v>385</v>
      </c>
      <c r="AK92" s="28" t="str">
        <f>substitute('Prompt Template'!$C$2,$AI$5,$AJ92)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give who I am and situation and information of the people that I will discuss with, what to do with main requirement. And make it step by step process so I do not want the answer from the beginning but ask to give me some questions help the AI understand it more clearly. Based on the answers I give I let the AI develope the requirement.&lt;/prompt&gt;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give who I am and situation and information of the people that I will discuss with, what to do with main requirement. And make it step by step process so I do not want the answer from the beginning but ask to give me some questions help the AI understand it more clearly. Based on the answers I give I let the AI develope the requirement.&lt;/user_input&gt;</v>
      </c>
      <c r="AL92" s="26">
        <f t="array" ref="AL92">index('Response Scoring'!$G:$G,match($A92,'Response Scoring'!$A:$A,0))</f>
        <v>2</v>
      </c>
      <c r="AM92" s="26">
        <f t="shared" si="16"/>
        <v>0.4</v>
      </c>
      <c r="AN92" s="26" t="str">
        <f>'Raw Data'!$T88</f>
        <v>Give the competitor list and what information of the competitors with the reason why I want to collect the data. Ask for proposal from AI what extra information would be helpful to collect for this purpose. 
Test with some samples to see where the AI collect data from and validate if the source is creaditable. After varifying, make it apply that for all competitors and give frequency and share the agent with team members.</v>
      </c>
      <c r="AP92" s="28" t="str">
        <f>substitute('Prompt Template'!$D$2,$AN$5,$AO92)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2" s="26">
        <f t="array" ref="AQ92">index('Response Scoring'!$I:$I,match($A92,'Response Scoring'!$A:$A,0))</f>
        <v>0</v>
      </c>
      <c r="AR92" s="26">
        <f t="shared" si="17"/>
        <v>0</v>
      </c>
      <c r="AS92" s="30">
        <f t="shared" si="18"/>
        <v>2.405</v>
      </c>
      <c r="AT92" s="26">
        <f t="shared" si="19"/>
        <v>24.56</v>
      </c>
      <c r="AU92" s="26">
        <f t="shared" si="20"/>
        <v>49.12</v>
      </c>
      <c r="AV92" s="26" t="str">
        <f t="shared" si="21"/>
        <v>AI Experimenter</v>
      </c>
      <c r="AW92" s="26" t="str">
        <f>'Raw Data'!U88</f>
        <v/>
      </c>
      <c r="AX92" s="26" t="str">
        <f>'Raw Data'!V88</f>
        <v/>
      </c>
      <c r="AY92" s="26" t="str">
        <f>'Raw Data'!W88</f>
        <v/>
      </c>
      <c r="AZ92" s="26" t="str">
        <f>'Raw Data'!X88</f>
        <v/>
      </c>
      <c r="BA92" s="26" t="str">
        <f>'Raw Data'!Y88</f>
        <v/>
      </c>
      <c r="BB92" s="26" t="str">
        <f>'Raw Data'!Z88</f>
        <v/>
      </c>
      <c r="BW92" s="31" t="str">
        <f>'Raw Data'!C88</f>
        <v>Growth &amp; Partner Marketing</v>
      </c>
      <c r="BZ92" s="26" t="str">
        <f>'Raw Data'!F88</f>
        <v>Individual Contributor</v>
      </c>
      <c r="CA92" s="31" t="str">
        <f>'Raw Data'!AU88</f>
        <v>Data analysis and create designs and translated content.</v>
      </c>
      <c r="CB92" s="31" t="str">
        <f>'Raw Data'!AV88</f>
        <v>Nothing but want to try Claud and Gemini</v>
      </c>
      <c r="CC92" s="31" t="str">
        <f>'Raw Data'!AW88</f>
        <v>Agree</v>
      </c>
    </row>
    <row r="93" ht="15.75" customHeight="1">
      <c r="A93" s="26">
        <f>'Raw Data'!$A89</f>
        <v>87</v>
      </c>
      <c r="B93" s="26" t="str">
        <f>'Raw Data'!$G89</f>
        <v>Daily</v>
      </c>
      <c r="C93" s="26">
        <f t="shared" si="1"/>
        <v>1</v>
      </c>
      <c r="D93" s="26" t="str">
        <f>'Raw Data'!$H89</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Creating first drafts of content from scratch (reports, proposals, marketing copy)</v>
      </c>
      <c r="E93" s="26">
        <f t="shared" si="2"/>
        <v>2</v>
      </c>
      <c r="F93" s="27">
        <f t="shared" si="3"/>
        <v>0.6666666667</v>
      </c>
      <c r="G93" s="26" t="str">
        <f>'Raw Data'!$I89</f>
        <v>I've built custom AI tools (i.e. CustomGPTs, Copilot Agents) for repetitive tasks</v>
      </c>
      <c r="H93" s="26">
        <f t="shared" si="4"/>
        <v>0.75</v>
      </c>
      <c r="I93" s="26" t="str">
        <f>'Raw Data'!$J89</f>
        <v>Ask AI to write the summary after you've analyzed all the data</v>
      </c>
      <c r="J93" s="26">
        <f t="shared" si="5"/>
        <v>0.33</v>
      </c>
      <c r="K93" s="26" t="str">
        <f>'Raw Data'!$K89</f>
        <v>Ask AI on the topic, then create a draft</v>
      </c>
      <c r="L93" s="26" t="s">
        <v>386</v>
      </c>
      <c r="M93" s="28" t="str">
        <f>substitute('Prompt Template'!$A$2,$K$5,$L93)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on the topic, then create a draft&lt;/user_input&gt;</v>
      </c>
      <c r="N93" s="26">
        <f t="array" ref="N93">index('Response Scoring'!$C:$C,match($A93,'Response Scoring'!$A:$A,0))</f>
        <v>1</v>
      </c>
      <c r="O93" s="29">
        <f t="shared" si="6"/>
        <v>0.3333333333</v>
      </c>
      <c r="P93" s="26" t="str">
        <f>'Raw Data'!$L89</f>
        <v>As the company moves quickly, we have a lot of important information in various location.  I utilize AI to find what I look for.  That has saved 3+ hours a week.</v>
      </c>
      <c r="Q93" s="26" t="s">
        <v>387</v>
      </c>
      <c r="R93" s="28" t="str">
        <f>substitute('Prompt Template'!$B$2,$P$5,$Q93)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the company moves quickly, we have a lot of important information in various location.  I utilize AI to find what I look for.  That has saved 3+ hours a week.&lt;/user_input&gt;</v>
      </c>
      <c r="S93" s="26">
        <f t="array" ref="S93">index('Response Scoring'!$E:$E,match($A93,'Response Scoring'!$A:$A,0))</f>
        <v>1</v>
      </c>
      <c r="T93" s="29">
        <f t="shared" si="7"/>
        <v>0.3333333333</v>
      </c>
      <c r="U93" s="29">
        <f t="shared" si="8"/>
        <v>4.58</v>
      </c>
      <c r="V93" s="26" t="str">
        <f>'Raw Data'!$M89</f>
        <v>Analyzing presentation slides to evaluate both the visual design and written content for consistency</v>
      </c>
      <c r="W93" s="26">
        <f t="shared" si="9"/>
        <v>1</v>
      </c>
      <c r="X93" s="26" t="str">
        <f>'Raw Data'!$N89</f>
        <v>Hallucinations (generating false or misleading information), Data privacy concerns when information is shared with an LLM, Vulnerability to manipulation by bad actors, Biases in answers</v>
      </c>
      <c r="Y93" s="26">
        <f t="shared" si="10"/>
        <v>1</v>
      </c>
      <c r="Z93" s="26" t="str">
        <f>'Raw Data'!$O89</f>
        <v>Verify that the AI tool has SSL/HTTPS encryption before using it, Anonymize information by removing identifying details, Use secure company instances or enterprise plans when available</v>
      </c>
      <c r="AA93" s="29">
        <f t="shared" si="11"/>
        <v>0</v>
      </c>
      <c r="AB93" s="26" t="str">
        <f>'Raw Data'!$P89</f>
        <v>Sometimes: I do a quick check against known data or references</v>
      </c>
      <c r="AC93" s="26">
        <f t="shared" si="12"/>
        <v>0.67</v>
      </c>
      <c r="AD93" s="26" t="str">
        <f>'Raw Data'!$Q89</f>
        <v>Cross-reference key claims with reliable external sources, Use a different AI tool to review and verify the content, Verify any calculations or data analysis independently, Ask the same AI tool to double-check its work for accuracy</v>
      </c>
      <c r="AE93" s="26">
        <f t="shared" si="13"/>
        <v>1</v>
      </c>
      <c r="AF93" s="30">
        <f t="shared" si="14"/>
        <v>7.34</v>
      </c>
      <c r="AG93" s="26" t="str">
        <f>'Raw Data'!$R89</f>
        <v>Sometimes: I iterate 2-3 times to reach a good result</v>
      </c>
      <c r="AH93" s="26">
        <f t="shared" si="15"/>
        <v>0.67</v>
      </c>
      <c r="AI93" s="26" t="str">
        <f>'Raw Data'!$S89</f>
        <v>I have a meeting to discuss a new initiative.  Set the agenda and goals for the meeting, then summarize them in bullet points based on the company strategy of next fiscal year.</v>
      </c>
      <c r="AJ93" s="26" t="s">
        <v>388</v>
      </c>
      <c r="AK93" s="28" t="str">
        <f>substitute('Prompt Template'!$C$2,$AI$5,$AJ93)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 discuss a new initiative.  Set the agenda and goals for the meeting, then summarize them in bullet points based on the company strategy of next fiscal year.&lt;/prompt&gt;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 discuss a new initiative.  Set the agenda and goals for the meeting, then summarize them in bullet points based on the company strategy of next fiscal year.&lt;/user_input&gt;</v>
      </c>
      <c r="AL93" s="26">
        <f t="array" ref="AL93">index('Response Scoring'!$G:$G,match($A93,'Response Scoring'!$A:$A,0))</f>
        <v>2</v>
      </c>
      <c r="AM93" s="26">
        <f t="shared" si="16"/>
        <v>0.4</v>
      </c>
      <c r="AN93" s="26" t="str">
        <f>'Raw Data'!$T89</f>
        <v>I don't know how to create custom AI instructions</v>
      </c>
      <c r="AP93" s="28" t="str">
        <f>substitute('Prompt Template'!$D$2,$AN$5,$AO93)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3" s="26">
        <f t="array" ref="AQ93">index('Response Scoring'!$I:$I,match($A93,'Response Scoring'!$A:$A,0))</f>
        <v>0</v>
      </c>
      <c r="AR93" s="26">
        <f t="shared" si="17"/>
        <v>0</v>
      </c>
      <c r="AS93" s="30">
        <f t="shared" si="18"/>
        <v>2.405</v>
      </c>
      <c r="AT93" s="26">
        <f t="shared" si="19"/>
        <v>22.69</v>
      </c>
      <c r="AU93" s="26">
        <f t="shared" si="20"/>
        <v>45.38</v>
      </c>
      <c r="AV93" s="26" t="str">
        <f t="shared" si="21"/>
        <v>AI Experimenter</v>
      </c>
      <c r="AW93" s="26" t="str">
        <f>'Raw Data'!U89</f>
        <v/>
      </c>
      <c r="AX93" s="26" t="str">
        <f>'Raw Data'!V89</f>
        <v/>
      </c>
      <c r="AY93" s="26" t="str">
        <f>'Raw Data'!W89</f>
        <v/>
      </c>
      <c r="AZ93" s="26" t="str">
        <f>'Raw Data'!X89</f>
        <v/>
      </c>
      <c r="BA93" s="26" t="str">
        <f>'Raw Data'!Y89</f>
        <v/>
      </c>
      <c r="BB93" s="26" t="str">
        <f>'Raw Data'!Z89</f>
        <v/>
      </c>
      <c r="BW93" s="31" t="str">
        <f>'Raw Data'!C89</f>
        <v>Digital &amp; eCommerce</v>
      </c>
      <c r="BZ93" s="26" t="str">
        <f>'Raw Data'!F89</f>
        <v>Individual Contributor</v>
      </c>
      <c r="CA93" s="31" t="str">
        <f>'Raw Data'!AU89</f>
        <v/>
      </c>
      <c r="CB93" s="31" t="str">
        <f>'Raw Data'!AV89</f>
        <v>I use some picture/image generative AI tools as my hobby.</v>
      </c>
      <c r="CC93" s="31" t="str">
        <f>'Raw Data'!AW89</f>
        <v>Agree</v>
      </c>
    </row>
    <row r="94" ht="15.75" customHeight="1">
      <c r="A94" s="26">
        <f>'Raw Data'!$A90</f>
        <v>88</v>
      </c>
      <c r="B94" s="26" t="str">
        <f>'Raw Data'!$G90</f>
        <v>Daily</v>
      </c>
      <c r="C94" s="26">
        <f t="shared" si="1"/>
        <v>1</v>
      </c>
      <c r="D94" s="26" t="str">
        <f>'Raw Data'!$H90</f>
        <v>Getting quick answers to specific questions or looking up information, Creating first drafts of content from scratch (reports, proposals, marketing copy), Brainstorming ideas, testing concepts, or getting feedback on my thinking</v>
      </c>
      <c r="E94" s="26">
        <f t="shared" si="2"/>
        <v>2</v>
      </c>
      <c r="F94" s="27">
        <f t="shared" si="3"/>
        <v>0.6666666667</v>
      </c>
      <c r="G94" s="26" t="str">
        <f>'Raw Data'!$I90</f>
        <v>I create fresh prompts each time I use AI</v>
      </c>
      <c r="H94" s="26">
        <f t="shared" si="4"/>
        <v>0.25</v>
      </c>
      <c r="I94" s="26" t="str">
        <f>'Raw Data'!$J90</f>
        <v>Use AI to help analyze each data source, then compile results manually</v>
      </c>
      <c r="J94" s="26">
        <f t="shared" si="5"/>
        <v>0.67</v>
      </c>
      <c r="K94" s="26" t="str">
        <f>'Raw Data'!$K90</f>
        <v>Collect data sources using AI and summarize them using AI. Then brainstorm presentation content using AI, but manually adjust the final content.</v>
      </c>
      <c r="L94" s="26" t="s">
        <v>389</v>
      </c>
      <c r="M94" s="28" t="str">
        <f>substitute('Prompt Template'!$A$2,$K$5,$L94)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&lt;user_input&gt;Collect data sources using AI and summarize them using AI. Then brainstorm presentation content using AI, but manually adjust the final content.&lt;/user_input&gt;</v>
      </c>
      <c r="N94" s="26">
        <f t="array" ref="N94">index('Response Scoring'!$C:$C,match($A94,'Response Scoring'!$A:$A,0))</f>
        <v>2</v>
      </c>
      <c r="O94" s="29">
        <f t="shared" si="6"/>
        <v>0.6666666667</v>
      </c>
      <c r="P94" s="26" t="str">
        <f>'Raw Data'!$L90</f>
        <v>Data collection in unknown area and analysis of existing data.
Make suggestions after memorizing prompts.</v>
      </c>
      <c r="Q94" s="26" t="s">
        <v>390</v>
      </c>
      <c r="R94" s="28" t="str">
        <f>substitute('Prompt Template'!$B$2,$P$5,$Q94)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&lt;user_input&gt;Data collection in unknown area and analysis of existing data.
Make suggestions after memorizing prompts.&lt;/user_input&gt;</v>
      </c>
      <c r="S94" s="26">
        <f t="array" ref="S94">index('Response Scoring'!$E:$E,match($A94,'Response Scoring'!$A:$A,0))</f>
        <v>1</v>
      </c>
      <c r="T94" s="29">
        <f t="shared" si="7"/>
        <v>0.3333333333</v>
      </c>
      <c r="U94" s="29">
        <f t="shared" si="8"/>
        <v>5.086666667</v>
      </c>
      <c r="V94" s="26" t="str">
        <f>'Raw Data'!$M90</f>
        <v>Analyzing presentation slides to evaluate both the visual design and written content for consistency</v>
      </c>
      <c r="W94" s="26">
        <f t="shared" si="9"/>
        <v>1</v>
      </c>
      <c r="X94" s="26" t="str">
        <f>'Raw Data'!$N90</f>
        <v>Hallucinations (generating false or misleading information), Biases in answers, Data privacy concerns when information is shared with an LLM, Vulnerability to manipulation by bad actors</v>
      </c>
      <c r="Y94" s="26">
        <f t="shared" si="10"/>
        <v>1</v>
      </c>
      <c r="Z94" s="26" t="str">
        <f>'Raw Data'!$O90</f>
        <v>Anonymize information by removing identifying details, Use secure company instances or enterprise plans when available</v>
      </c>
      <c r="AA94" s="29">
        <f t="shared" si="11"/>
        <v>1</v>
      </c>
      <c r="AB94" s="26" t="str">
        <f>'Raw Data'!$P90</f>
        <v>Rarely: I only verify if something doesn't sound right</v>
      </c>
      <c r="AC94" s="26">
        <f t="shared" si="12"/>
        <v>0.33</v>
      </c>
      <c r="AD94" s="26" t="str">
        <f>'Raw Data'!$Q90</f>
        <v>Use a different AI tool to review and verify the content, Cross-reference key claims with reliable external sources</v>
      </c>
      <c r="AE94" s="26">
        <f t="shared" si="13"/>
        <v>0.5</v>
      </c>
      <c r="AF94" s="30">
        <f t="shared" si="14"/>
        <v>7.66</v>
      </c>
      <c r="AG94" s="26" t="str">
        <f>'Raw Data'!$R90</f>
        <v>Rarely: I only tweak the prompt if something feels obviously off</v>
      </c>
      <c r="AH94" s="26">
        <f t="shared" si="15"/>
        <v>0.33</v>
      </c>
      <c r="AI94" s="26" t="str">
        <f>'Raw Data'!$S90</f>
        <v>Explanation of one's position
Explanation of the expected role 
Purpose of the meeting</v>
      </c>
      <c r="AJ94" s="26" t="s">
        <v>391</v>
      </c>
      <c r="AK94" s="28" t="str">
        <f>substitute('Prompt Template'!$C$2,$AI$5,$AJ94)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&lt;prompt&gt;Explanation of one's position
Explanation of the expected role 
Purpose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&lt;user_input&gt;Explanation of one's position
Explanation of the expected role 
Purpose of the meeting&lt;/user_input&gt;</v>
      </c>
      <c r="AL94" s="26">
        <f t="array" ref="AL94">index('Response Scoring'!$G:$G,match($A94,'Response Scoring'!$A:$A,0))</f>
        <v>2</v>
      </c>
      <c r="AM94" s="26">
        <f t="shared" si="16"/>
        <v>0.4</v>
      </c>
      <c r="AN94" s="26" t="str">
        <f>'Raw Data'!$T90</f>
        <v>You are the marketing manager for Company A.
Please answer the following questions based on the features, price, and market position of Company A's product, Product B.</v>
      </c>
      <c r="AP94" s="28" t="str">
        <f>substitute('Prompt Template'!$D$2,$AN$5,$AO94)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4" s="26">
        <f t="array" ref="AQ94">index('Response Scoring'!$I:$I,match($A94,'Response Scoring'!$A:$A,0))</f>
        <v>0</v>
      </c>
      <c r="AR94" s="26">
        <f t="shared" si="17"/>
        <v>0</v>
      </c>
      <c r="AS94" s="30">
        <f t="shared" si="18"/>
        <v>1.895</v>
      </c>
      <c r="AT94" s="26">
        <f t="shared" si="19"/>
        <v>22.91</v>
      </c>
      <c r="AU94" s="26">
        <f t="shared" si="20"/>
        <v>45.82</v>
      </c>
      <c r="AV94" s="26" t="str">
        <f t="shared" si="21"/>
        <v>AI Experimenter</v>
      </c>
      <c r="AW94" s="26" t="str">
        <f>'Raw Data'!U90</f>
        <v/>
      </c>
      <c r="AX94" s="26" t="str">
        <f>'Raw Data'!V90</f>
        <v/>
      </c>
      <c r="AY94" s="26" t="str">
        <f>'Raw Data'!W90</f>
        <v/>
      </c>
      <c r="AZ94" s="26" t="str">
        <f>'Raw Data'!X90</f>
        <v/>
      </c>
      <c r="BA94" s="26" t="str">
        <f>'Raw Data'!Y90</f>
        <v/>
      </c>
      <c r="BB94" s="26" t="str">
        <f>'Raw Data'!Z90</f>
        <v/>
      </c>
      <c r="BW94" s="31" t="str">
        <f>'Raw Data'!C90</f>
        <v>Growth &amp; Partner Marketing</v>
      </c>
      <c r="BZ94" s="26" t="str">
        <f>'Raw Data'!F90</f>
        <v>Individual Contributor</v>
      </c>
      <c r="CA94" s="31" t="str">
        <f>'Raw Data'!AU90</f>
        <v>Improving the accuracy of AI agents using prompts takes time
There are limitations to the sources AI agents can reference</v>
      </c>
      <c r="CB94" s="31" t="str">
        <f>'Raw Data'!AV90</f>
        <v>Nothing</v>
      </c>
      <c r="CC94" s="31" t="str">
        <f>'Raw Data'!AW90</f>
        <v>Agree</v>
      </c>
    </row>
    <row r="95" ht="15.75" customHeight="1">
      <c r="A95" s="26">
        <f>'Raw Data'!$A91</f>
        <v>89</v>
      </c>
      <c r="B95" s="26" t="str">
        <f>'Raw Data'!$G91</f>
        <v>Daily</v>
      </c>
      <c r="C95" s="26">
        <f t="shared" si="1"/>
        <v>1</v>
      </c>
      <c r="D95" s="26" t="str">
        <f>'Raw Data'!$H91</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v>
      </c>
      <c r="E95" s="26">
        <f t="shared" si="2"/>
        <v>2</v>
      </c>
      <c r="F95" s="27">
        <f t="shared" si="3"/>
        <v>0.6666666667</v>
      </c>
      <c r="G95" s="26" t="str">
        <f>'Raw Data'!$I91</f>
        <v>I maintain a library of prompts that I reuse frequently</v>
      </c>
      <c r="H95" s="26">
        <f t="shared" si="4"/>
        <v>0.5</v>
      </c>
      <c r="I95" s="26" t="str">
        <f>'Raw Data'!$J91</f>
        <v>Create a systematic process where AI handles data analysis and summary generation consistently</v>
      </c>
      <c r="J95" s="26">
        <f t="shared" si="5"/>
        <v>1</v>
      </c>
      <c r="K95" s="26" t="str">
        <f>'Raw Data'!$K91</f>
        <v>1. Do subject matter research &amp; validation 
2. Use AI to analyze the priorities of the senior stakeholders and what's important from their perspective 
3. Kick-off the outline of the presentation slide
4. Review &amp; rehearsal</v>
      </c>
      <c r="L95" s="26" t="s">
        <v>392</v>
      </c>
      <c r="M95" s="28" t="str">
        <f>substitute('Prompt Template'!$A$2,$K$5,$L95)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Do subject matter research &amp; validation 
2. Use AI to analyze the priorities of the senior stakeholders and what's important from their perspective 
3. Kick-off the outline of the presentation slide
4. Review &amp; rehearsal&lt;/user_input&gt;</v>
      </c>
      <c r="N95" s="26">
        <f t="array" ref="N95">index('Response Scoring'!$C:$C,match($A95,'Response Scoring'!$A:$A,0))</f>
        <v>3</v>
      </c>
      <c r="O95" s="29">
        <f t="shared" si="6"/>
        <v>1</v>
      </c>
      <c r="P95" s="26" t="str">
        <f>'Raw Data'!$L91</f>
        <v>I needed to provide research data &amp; success stories from other brands on why top of the funnel campaign is important to drive top of the mind awareness and consideration, and how the brand to demand investment results to business growth</v>
      </c>
      <c r="Q95" s="26" t="s">
        <v>393</v>
      </c>
      <c r="R95" s="28" t="str">
        <f>substitute('Prompt Template'!$B$2,$P$5,$Q95)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provide research data &amp; success stories from other brands on why top of the funnel campaign is important to drive top of the mind awareness and consideration, and how the brand to demand investment results to business growth&lt;/user_input&gt;</v>
      </c>
      <c r="S95" s="26">
        <f t="array" ref="S95">index('Response Scoring'!$E:$E,match($A95,'Response Scoring'!$A:$A,0))</f>
        <v>1</v>
      </c>
      <c r="T95" s="29">
        <f t="shared" si="7"/>
        <v>0.3333333333</v>
      </c>
      <c r="U95" s="29">
        <f t="shared" si="8"/>
        <v>6.333333333</v>
      </c>
      <c r="V95" s="26" t="str">
        <f>'Raw Data'!$M91</f>
        <v>Analyzing presentation slides to evaluate both the visual design and written content for consistency</v>
      </c>
      <c r="W95" s="26">
        <f t="shared" si="9"/>
        <v>1</v>
      </c>
      <c r="X95" s="26" t="str">
        <f>'Raw Data'!$N91</f>
        <v>Hallucinations (generating false or misleading information), Biases in answers, Data privacy concerns when information is shared with an LLM, Vulnerability to manipulation by bad actors</v>
      </c>
      <c r="Y95" s="26">
        <f t="shared" si="10"/>
        <v>1</v>
      </c>
      <c r="Z95" s="26" t="str">
        <f>'Raw Data'!$O91</f>
        <v>Anonymize information by removing identifying details, Use secure company instances or enterprise plans when available</v>
      </c>
      <c r="AA95" s="29">
        <f t="shared" si="11"/>
        <v>1</v>
      </c>
      <c r="AB95" s="26" t="str">
        <f>'Raw Data'!$P91</f>
        <v>Always: I routinely cross-check AI outputs with reliable sources</v>
      </c>
      <c r="AC95" s="26">
        <f t="shared" si="12"/>
        <v>1</v>
      </c>
      <c r="AD95" s="26" t="str">
        <f>'Raw Data'!$Q91</f>
        <v>Use a different AI tool to review and verify the content, Cross-reference key claims with reliable external sources, Verify any calculations or data analysis independently, Check if the response uses confident language and specific details</v>
      </c>
      <c r="AE95" s="26">
        <f t="shared" si="13"/>
        <v>0</v>
      </c>
      <c r="AF95" s="30">
        <f t="shared" si="14"/>
        <v>8</v>
      </c>
      <c r="AG95" s="26" t="str">
        <f>'Raw Data'!$R91</f>
        <v>Sometimes: I iterate 2-3 times to reach a good result</v>
      </c>
      <c r="AH95" s="26">
        <f t="shared" si="15"/>
        <v>0.67</v>
      </c>
      <c r="AI95" s="26" t="str">
        <f>'Raw Data'!$S91</f>
        <v>I am preparing for an important meeting to discuss how we should set the ROAS goals for SEM activity in FY27. My goal for this meeting is to align with all the planning leads on the methodology/ approach so that we can develop our respective quarterly industry target to be shared with our agency partner. 
The Context: 
The Initiative: [ROAS goal setting for SEM campaign]
The Stakeholders: [All industry planning leads] 
The Data: [We should be referring to the XXX dashboard for data as the single source of truth]
Please help me prepare by providing:
A Strategic Narrative: How should I frame this to the specific audience to get 'buy-in' quickly?
Pre-Mortem Analysis: What are the 3 toughest questions or 'objections' the stakeholders might raise, and how should I answer them?
Executive Summary: A 3-sentence 'elevator pitch' that clearly states the Value Proposition.
Agenda and Flow: A 45-minute meeting structure that leaves enough room for Q&amp;A without losing momentum.
Next Steps: A suggested list of 2-3 'asks' and the timelines to close the meeting with.</v>
      </c>
      <c r="AJ95" s="26" t="s">
        <v>394</v>
      </c>
      <c r="AK95" s="28" t="str">
        <f>substitute('Prompt Template'!$C$2,$AI$5,$AJ95)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an important meeting to discuss how we should set the ROAS goals for SEM activity in FY27. My goal for this meeting is to align with all the planning leads on the methodology/ approach so that we can develop our respective quarterly industry target to be shared with our agency partner. 
The Context: 
The Initiative: [ROAS goal setting for SEM campaign]
The Stakeholders: [All industry planning leads] 
The Data: [We should be referring to the XXX dashboard for data as the single source of truth]
Please help me prepare by providing:
A Strategic Narrative: How should I frame this to the specific audience to get 'buy-in' quickly?
Pre-Mortem Analysis: What are the 3 toughest questions or 'objections' the stakeholders might raise, and how should I answer them?
Executive Summary: A 3-sentence 'elevator pitch' that clearly states the Value Proposition.
Agenda and Flow: A 45-minute meeting structure that leaves enough room for Q&amp;A without losing momentum.
Next Steps: A suggested list of 2-3 'asks' and the timelines to close the meeting with.&lt;/prompt&gt;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an important meeting to discuss how we should set the ROAS goals for SEM activity in FY27. My goal for this meeting is to align with all the planning leads on the methodology/ approach so that we can develop our respective quarterly industry target to be shared with our agency partner. 
The Context: 
The Initiative: [ROAS goal setting for SEM campaign]
The Stakeholders: [All industry planning leads] 
The Data: [We should be referring to the XXX dashboard for data as the single source of truth]
Please help me prepare by providing:
A Strategic Narrative: How should I frame this to the specific audience to get 'buy-in' quickly?
Pre-Mortem Analysis: What are the 3 toughest questions or 'objections' the stakeholders might raise, and how should I answer them?
Executive Summary: A 3-sentence 'elevator pitch' that clearly states the Value Proposition.
Agenda and Flow: A 45-minute meeting structure that leaves enough room for Q&amp;A without losing momentum.
Next Steps: A suggested list of 2-3 'asks' and the timelines to close the meeting with.&lt;/user_input&gt;</v>
      </c>
      <c r="AL95" s="26">
        <f t="array" ref="AL95">index('Response Scoring'!$G:$G,match($A95,'Response Scoring'!$A:$A,0))</f>
        <v>5</v>
      </c>
      <c r="AM95" s="26">
        <f t="shared" si="16"/>
        <v>1</v>
      </c>
      <c r="AN95" s="26" t="str">
        <f>'Raw Data'!$T91</f>
        <v>1. Role &amp; Core Objective
You are a Competitive Intelligence Specialist. Your goal is to help the marketing and product teams gather, analyze, and synthesize data regarding competitors’ products, pricing, and positioning. You provide objective, data-backed insights to inform our B2B SaaS strategy.
2. Research Framework
For every request, follow this structured research protocol:
Product Capabilities: Identify core features, recent product launches, and technical USPs (Unique Selling Propositions). Look specifically for integrations with enterprise stacks (e.g., Salesforce, Snowflake, AWS).
Pricing Strategy: Extract pricing tiers, "starting from" costs, and hidden fees. Note if they use consumption-based, seat-based, or enterprise-negotiated models.
Market Positioning: Analyze how they describe themselves on their homepage vs. social media. Identify their "Primary Value Pillar" (e.g., Are they the "cheap alternative," the "innovative leader," or the "easy-to-use" choice?).
Customer Sentiment: Search for recent reviews on G2, Capterra, or TrustRadius to identify common pain points and "reasons for switching."
3. Operational Rules
Verification: Always prioritize primary sources (competitor's own website, SEC filings, official press releases).
Comparison Mode: When asked to compare, use a table format to highlight gaps between our product and the competitor.
Tone: Maintain a professional, analytical, and objective tone. Avoid marketing fluff; focus on technical specs and financial realities.
Citations: You must provide the URL for every data point found online so the team can verify the source.
4. Specific Formatting Instructions
- When summarizing a competitor, always conclude with a "So What?" section:
- Threat Level: (Low/Medium/High)
- Winning Angle: One specific way our team can position against this competitor in a sales deck.
- Counter-Argument: How to respond if a prospect says, "But [Competitor] is cheaper.</v>
      </c>
      <c r="AP95" s="28" t="str">
        <f>substitute('Prompt Template'!$D$2,$AN$5,$AO95)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5" s="26">
        <f t="array" ref="AQ95">index('Response Scoring'!$I:$I,match($A95,'Response Scoring'!$A:$A,0))</f>
        <v>0</v>
      </c>
      <c r="AR95" s="26">
        <f t="shared" si="17"/>
        <v>0</v>
      </c>
      <c r="AS95" s="30">
        <f t="shared" si="18"/>
        <v>4.505</v>
      </c>
      <c r="AT95" s="26">
        <f t="shared" si="19"/>
        <v>30.51</v>
      </c>
      <c r="AU95" s="26">
        <f t="shared" si="20"/>
        <v>61.02</v>
      </c>
      <c r="AV95" s="26" t="str">
        <f t="shared" si="21"/>
        <v>AI Practitioner</v>
      </c>
      <c r="AW95" s="26" t="str">
        <f>'Raw Data'!U91</f>
        <v/>
      </c>
      <c r="AX95" s="26" t="str">
        <f>'Raw Data'!V91</f>
        <v/>
      </c>
      <c r="AY95" s="26" t="str">
        <f>'Raw Data'!W91</f>
        <v/>
      </c>
      <c r="AZ95" s="26" t="str">
        <f>'Raw Data'!X91</f>
        <v/>
      </c>
      <c r="BA95" s="26" t="str">
        <f>'Raw Data'!Y91</f>
        <v/>
      </c>
      <c r="BB95" s="26" t="str">
        <f>'Raw Data'!Z91</f>
        <v/>
      </c>
      <c r="BW95" s="31" t="str">
        <f>'Raw Data'!C91</f>
        <v>Digital &amp; eCommerce</v>
      </c>
      <c r="BZ95" s="26" t="str">
        <f>'Raw Data'!F91</f>
        <v>Manager or Senior Manager</v>
      </c>
      <c r="CA95" s="31" t="str">
        <f>'Raw Data'!AU91</f>
        <v>Developing a perfect prompt - still need a lot of practice and reiterations</v>
      </c>
      <c r="CB95" s="31" t="str">
        <f>'Raw Data'!AV91</f>
        <v>Gemini, Perplexity</v>
      </c>
      <c r="CC95" s="31" t="str">
        <f>'Raw Data'!AW91</f>
        <v>Agree</v>
      </c>
    </row>
    <row r="96" ht="15.75" customHeight="1">
      <c r="A96" s="26">
        <f>'Raw Data'!$A92</f>
        <v>90</v>
      </c>
      <c r="B96" s="26" t="str">
        <f>'Raw Data'!$G92</f>
        <v>Daily</v>
      </c>
      <c r="C96" s="26">
        <f t="shared" si="1"/>
        <v>1</v>
      </c>
      <c r="D96" s="26" t="str">
        <f>'Raw Data'!$H92</f>
        <v>Getting quick answers to specific questions or looking up information, Brainstorming ideas, testing concepts, or getting feedback on my thinking</v>
      </c>
      <c r="E96" s="26">
        <f t="shared" si="2"/>
        <v>2</v>
      </c>
      <c r="F96" s="27">
        <f t="shared" si="3"/>
        <v>0.6666666667</v>
      </c>
      <c r="G96" s="26" t="str">
        <f>'Raw Data'!$I92</f>
        <v>I don't use AI for work</v>
      </c>
      <c r="H96" s="26">
        <f t="shared" si="4"/>
        <v>0</v>
      </c>
      <c r="I96" s="26" t="str">
        <f>'Raw Data'!$J92</f>
        <v>I wouldn’t use AI for this task</v>
      </c>
      <c r="J96" s="26" t="b">
        <f t="shared" si="5"/>
        <v>0</v>
      </c>
      <c r="K96" s="26" t="str">
        <f>'Raw Data'!$K92</f>
        <v>I would briefly ask about the topic to AI, and verify the information using other search channels to concrete my slide.</v>
      </c>
      <c r="L96" s="26" t="s">
        <v>395</v>
      </c>
      <c r="M96" s="28" t="str">
        <f>substitute('Prompt Template'!$A$2,$K$5,$L96)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briefly ask about the topic to AI, and verify the information using other search channels to concrete my slide.&lt;/user_input&gt;</v>
      </c>
      <c r="N96" s="26">
        <f t="array" ref="N96">index('Response Scoring'!$C:$C,match($A96,'Response Scoring'!$A:$A,0))</f>
        <v>1</v>
      </c>
      <c r="O96" s="29">
        <f t="shared" si="6"/>
        <v>0.3333333333</v>
      </c>
      <c r="P96" s="26" t="str">
        <f>'Raw Data'!$L92</f>
        <v>To initiate the idea or task.</v>
      </c>
      <c r="Q96" s="26" t="s">
        <v>396</v>
      </c>
      <c r="R96" s="28" t="str">
        <f>substitute('Prompt Template'!$B$2,$P$5,$Q96)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initiate the idea or task.&lt;/user_input&gt;</v>
      </c>
      <c r="S96" s="26">
        <f t="array" ref="S96">index('Response Scoring'!$E:$E,match($A96,'Response Scoring'!$A:$A,0))</f>
        <v>1</v>
      </c>
      <c r="T96" s="29">
        <f t="shared" si="7"/>
        <v>0.3333333333</v>
      </c>
      <c r="U96" s="29">
        <f t="shared" si="8"/>
        <v>3.5</v>
      </c>
      <c r="V96" s="26" t="str">
        <f>'Raw Data'!$M92</f>
        <v>Providing real-time updates on breaking news events happening right now</v>
      </c>
      <c r="W96" s="26">
        <f t="shared" si="9"/>
        <v>0</v>
      </c>
      <c r="X96" s="26" t="str">
        <f>'Raw Data'!$N92</f>
        <v>Hallucinations (generating false or misleading information)</v>
      </c>
      <c r="Y96" s="26">
        <f t="shared" si="10"/>
        <v>0.25</v>
      </c>
      <c r="Z96" s="26" t="str">
        <f>'Raw Data'!$O92</f>
        <v>Anonymize information by removing identifying details</v>
      </c>
      <c r="AA96" s="29">
        <f t="shared" si="11"/>
        <v>0.5</v>
      </c>
      <c r="AB96" s="26" t="str">
        <f>'Raw Data'!$P92</f>
        <v>Sometimes: I do a quick check against known data or references</v>
      </c>
      <c r="AC96" s="26">
        <f t="shared" si="12"/>
        <v>0.67</v>
      </c>
      <c r="AD96" s="26" t="str">
        <f>'Raw Data'!$Q92</f>
        <v>Cross-reference key claims with reliable external sources</v>
      </c>
      <c r="AE96" s="26">
        <f t="shared" si="13"/>
        <v>0.25</v>
      </c>
      <c r="AF96" s="30">
        <f t="shared" si="14"/>
        <v>3.34</v>
      </c>
      <c r="AG96" s="26" t="str">
        <f>'Raw Data'!$R92</f>
        <v>Rarely: I only tweak the prompt if something feels obviously off</v>
      </c>
      <c r="AH96" s="26">
        <f t="shared" si="15"/>
        <v>0.33</v>
      </c>
      <c r="AI96" s="26" t="str">
        <f>'Raw Data'!$S92</f>
        <v>I ask current issues and news related to the topic to check if there are any background knowledge that I need to aware</v>
      </c>
      <c r="AJ96" s="26" t="s">
        <v>397</v>
      </c>
      <c r="AK96" s="28" t="str">
        <f>substitute('Prompt Template'!$C$2,$AI$5,$AJ96)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ask current issues and news related to the topic to check if there are any background knowledge that I need to aware&lt;/prompt&gt;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ask current issues and news related to the topic to check if there are any background knowledge that I need to aware&lt;/user_input&gt;</v>
      </c>
      <c r="AL96" s="26">
        <f t="array" ref="AL96">index('Response Scoring'!$G:$G,match($A96,'Response Scoring'!$A:$A,0))</f>
        <v>2</v>
      </c>
      <c r="AM96" s="26">
        <f t="shared" si="16"/>
        <v>0.4</v>
      </c>
      <c r="AN96" s="26" t="str">
        <f>'Raw Data'!$T92</f>
        <v>I would match product by product that we need to compare with competitors, I might train custom GPT aware this product match, and will figure out detail competition points constantly</v>
      </c>
      <c r="AP96" s="28" t="str">
        <f>substitute('Prompt Template'!$D$2,$AN$5,$AO96)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6" s="26">
        <f t="array" ref="AQ96">index('Response Scoring'!$I:$I,match($A96,'Response Scoring'!$A:$A,0))</f>
        <v>0</v>
      </c>
      <c r="AR96" s="26">
        <f t="shared" si="17"/>
        <v>0</v>
      </c>
      <c r="AS96" s="30">
        <f t="shared" si="18"/>
        <v>1.895</v>
      </c>
      <c r="AT96" s="26">
        <f t="shared" si="19"/>
        <v>14.05</v>
      </c>
      <c r="AU96" s="26">
        <f t="shared" si="20"/>
        <v>28.1</v>
      </c>
      <c r="AV96" s="26" t="str">
        <f t="shared" si="21"/>
        <v>AI Experimenter</v>
      </c>
      <c r="AW96" s="26" t="str">
        <f>'Raw Data'!U92</f>
        <v/>
      </c>
      <c r="AX96" s="26" t="str">
        <f>'Raw Data'!V92</f>
        <v/>
      </c>
      <c r="AY96" s="26" t="str">
        <f>'Raw Data'!W92</f>
        <v/>
      </c>
      <c r="AZ96" s="26" t="str">
        <f>'Raw Data'!X92</f>
        <v/>
      </c>
      <c r="BA96" s="26" t="str">
        <f>'Raw Data'!Y92</f>
        <v/>
      </c>
      <c r="BB96" s="26" t="str">
        <f>'Raw Data'!Z92</f>
        <v/>
      </c>
      <c r="BW96" s="31" t="str">
        <f>'Raw Data'!C92</f>
        <v>Growth &amp; Partner Marketing</v>
      </c>
      <c r="BZ96" s="26" t="str">
        <f>'Raw Data'!F92</f>
        <v>Individual Contributor</v>
      </c>
      <c r="CA96" s="31" t="str">
        <f>'Raw Data'!AU92</f>
        <v>To avoid sharing too much information with AI</v>
      </c>
      <c r="CB96" s="31" t="str">
        <f>'Raw Data'!AV92</f>
        <v>ChatGPT and Gemini</v>
      </c>
      <c r="CC96" s="31" t="str">
        <f>'Raw Data'!AW92</f>
        <v>Neutral</v>
      </c>
    </row>
    <row r="97" ht="15.75" customHeight="1">
      <c r="A97" s="26">
        <f>'Raw Data'!$A93</f>
        <v>91</v>
      </c>
      <c r="B97" s="26" t="str">
        <f>'Raw Data'!$G93</f>
        <v>Daily</v>
      </c>
      <c r="C97" s="26">
        <f t="shared" si="1"/>
        <v>1</v>
      </c>
      <c r="D97" s="26" t="str">
        <f>'Raw Data'!$H93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97" s="26">
        <f t="shared" si="2"/>
        <v>3</v>
      </c>
      <c r="F97" s="27">
        <f t="shared" si="3"/>
        <v>1</v>
      </c>
      <c r="G97" s="26" t="str">
        <f>'Raw Data'!$I93</f>
        <v>I create fresh prompts each time I use AI</v>
      </c>
      <c r="H97" s="26">
        <f t="shared" si="4"/>
        <v>0.25</v>
      </c>
      <c r="I97" s="26" t="str">
        <f>'Raw Data'!$J93</f>
        <v>Create a systematic process where AI handles data analysis and summary generation consistently</v>
      </c>
      <c r="J97" s="26">
        <f t="shared" si="5"/>
        <v>1</v>
      </c>
      <c r="K97" s="26" t="str">
        <f>'Raw Data'!$K93</f>
        <v>Research and sumnarize about the topics, Ideations with AI, Ask AI the potential questions they might ask to identify the focus areas, Review the fisrt draft with AI for suggestions</v>
      </c>
      <c r="L97" s="26" t="s">
        <v>398</v>
      </c>
      <c r="M97" s="28" t="str">
        <f>substitute('Prompt Template'!$A$2,$K$5,$L97)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and sumnarize about the topics, Ideations with AI, Ask AI the potential questions they might ask to identify the focus areas, Review the fisrt draft with AI for suggestions&lt;/user_input&gt;</v>
      </c>
      <c r="N97" s="26">
        <f t="array" ref="N97">index('Response Scoring'!$C:$C,match($A97,'Response Scoring'!$A:$A,0))</f>
        <v>3</v>
      </c>
      <c r="O97" s="29">
        <f t="shared" si="6"/>
        <v>1</v>
      </c>
      <c r="P97" s="26" t="str">
        <f>'Raw Data'!$L93</f>
        <v>Presentation summary and feedback form creation (the right questions to ask) to identify whitespace or Expansion actions. Feedback categorization, Message creation and curation for specific customers, Find files</v>
      </c>
      <c r="Q97" s="26" t="s">
        <v>399</v>
      </c>
      <c r="R97" s="28" t="str">
        <f>substitute('Prompt Template'!$B$2,$P$5,$Q97)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&lt;user_input&gt;Presentation summary and feedback form creation (the right questions to ask) to identify whitespace or Expansion actions. Feedback categorization, Message creation and curation for specific customers, Find files&lt;/user_input&gt;</v>
      </c>
      <c r="S97" s="26">
        <f t="array" ref="S97">index('Response Scoring'!$E:$E,match($A97,'Response Scoring'!$A:$A,0))</f>
        <v>2</v>
      </c>
      <c r="T97" s="29">
        <f t="shared" si="7"/>
        <v>0.6666666667</v>
      </c>
      <c r="U97" s="29">
        <f t="shared" si="8"/>
        <v>7.916666667</v>
      </c>
      <c r="V97" s="26" t="str">
        <f>'Raw Data'!$M93</f>
        <v>Providing real-time updates on breaking news events happening right now</v>
      </c>
      <c r="W97" s="26">
        <f t="shared" si="9"/>
        <v>0</v>
      </c>
      <c r="X97" s="26" t="str">
        <f>'Raw Data'!$N93</f>
        <v>Biases in answers, Data privacy concerns when information is shared with an LLM, Vulnerability to manipulation by bad actors, Hallucinations (generating false or misleading information)</v>
      </c>
      <c r="Y97" s="26">
        <f t="shared" si="10"/>
        <v>1</v>
      </c>
      <c r="Z97" s="26" t="str">
        <f>'Raw Data'!$O93</f>
        <v>Use secure company instances or enterprise plans when available</v>
      </c>
      <c r="AA97" s="29">
        <f t="shared" si="11"/>
        <v>0.5</v>
      </c>
      <c r="AB97" s="26" t="str">
        <f>'Raw Data'!$P93</f>
        <v>Always: I routinely cross-check AI outputs with reliable sources</v>
      </c>
      <c r="AC97" s="26">
        <f t="shared" si="12"/>
        <v>1</v>
      </c>
      <c r="AD97" s="26" t="str">
        <f>'Raw Data'!$Q93</f>
        <v>Use a different AI tool to review and verify the content, Cross-reference key claims with reliable external sources, Verify any calculations or data analysis independently</v>
      </c>
      <c r="AE97" s="26">
        <f t="shared" si="13"/>
        <v>0.75</v>
      </c>
      <c r="AF97" s="30">
        <f t="shared" si="14"/>
        <v>6.5</v>
      </c>
      <c r="AG97" s="26" t="str">
        <f>'Raw Data'!$R93</f>
        <v>Sometimes: I iterate 2-3 times to reach a good result</v>
      </c>
      <c r="AH97" s="26">
        <f t="shared" si="15"/>
        <v>0.67</v>
      </c>
      <c r="AI97" s="26" t="str">
        <f>'Raw Data'!$S93</f>
        <v>My role is Account based Marketing, planning for a new initiative. The objective of this initiative is to identify whitespace in AEC industry targeting Construction companies.
Here is the target list, check the 6 month published information and come up with keywords that are relevant to our business and mapped with our solutions and why that area can be our business opportinities. And suggest what kind of programs and approaches ABM can do to support sales. Brainstorm the ideas.</v>
      </c>
      <c r="AJ97" s="26" t="s">
        <v>400</v>
      </c>
      <c r="AK97" s="28" t="str">
        <f>substitute('Prompt Template'!$C$2,$AI$5,$AJ97)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&lt;prompt&gt;My role is Account based Marketing, planning for a new initiative. The objective of this initiative is to identify whitespace in AEC industry targeting Construction companies.
Here is the target list, check the 6 month published information and come up with keywords that are relevant to our business and mapped with our solutions and why that area can be our business opportinities. And suggest what kind of programs and approaches ABM can do to support sales. Brainstorm the ideas.&lt;/prompt&gt;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&lt;user_input&gt;My role is Account based Marketing, planning for a new initiative. The objective of this initiative is to identify whitespace in AEC industry targeting Construction companies.
Here is the target list, check the 6 month published information and come up with keywords that are relevant to our business and mapped with our solutions and why that area can be our business opportinities. And suggest what kind of programs and approaches ABM can do to support sales. Brainstorm the ideas.&lt;/user_input&gt;</v>
      </c>
      <c r="AL97" s="26">
        <f t="array" ref="AL97">index('Response Scoring'!$G:$G,match($A97,'Response Scoring'!$A:$A,0))</f>
        <v>3</v>
      </c>
      <c r="AM97" s="26">
        <f t="shared" si="16"/>
        <v>0.6</v>
      </c>
      <c r="AN97" s="26" t="str">
        <f>'Raw Data'!$T93</f>
        <v>Regularly update (the first monday of every month) the each competitive products(give the names) news, promotions, price, and events. and how it will treathen our posion in the market.</v>
      </c>
      <c r="AP97" s="28" t="str">
        <f>substitute('Prompt Template'!$D$2,$AN$5,$AO97)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7" s="26">
        <f t="array" ref="AQ97">index('Response Scoring'!$I:$I,match($A97,'Response Scoring'!$A:$A,0))</f>
        <v>0</v>
      </c>
      <c r="AR97" s="26">
        <f t="shared" si="17"/>
        <v>0</v>
      </c>
      <c r="AS97" s="30">
        <f t="shared" si="18"/>
        <v>3.105</v>
      </c>
      <c r="AT97" s="26">
        <f t="shared" si="19"/>
        <v>27.835</v>
      </c>
      <c r="AU97" s="26">
        <f t="shared" si="20"/>
        <v>55.67</v>
      </c>
      <c r="AV97" s="26" t="str">
        <f t="shared" si="21"/>
        <v>AI Experimenter</v>
      </c>
      <c r="AW97" s="26" t="str">
        <f>'Raw Data'!U93</f>
        <v/>
      </c>
      <c r="AX97" s="26" t="str">
        <f>'Raw Data'!V93</f>
        <v/>
      </c>
      <c r="AY97" s="26" t="str">
        <f>'Raw Data'!W93</f>
        <v/>
      </c>
      <c r="AZ97" s="26" t="str">
        <f>'Raw Data'!X93</f>
        <v/>
      </c>
      <c r="BA97" s="26" t="str">
        <f>'Raw Data'!Y93</f>
        <v/>
      </c>
      <c r="BB97" s="26" t="str">
        <f>'Raw Data'!Z93</f>
        <v/>
      </c>
      <c r="BW97" s="31" t="str">
        <f>'Raw Data'!C93</f>
        <v>Growth &amp; Partner Marketing</v>
      </c>
      <c r="BZ97" s="26" t="str">
        <f>'Raw Data'!F93</f>
        <v>Individual Contributor</v>
      </c>
      <c r="CA97" s="31" t="str">
        <f>'Raw Data'!AU93</f>
        <v/>
      </c>
      <c r="CB97" s="31" t="str">
        <f>'Raw Data'!AV93</f>
        <v>gemini</v>
      </c>
      <c r="CC97" s="31" t="str">
        <f>'Raw Data'!AW93</f>
        <v>Agree</v>
      </c>
    </row>
    <row r="98" ht="15.75" customHeight="1">
      <c r="A98" s="26">
        <f>'Raw Data'!$A94</f>
        <v>92</v>
      </c>
      <c r="B98" s="26" t="str">
        <f>'Raw Data'!$G94</f>
        <v>A few times a month</v>
      </c>
      <c r="C98" s="26">
        <f t="shared" si="1"/>
        <v>0.25</v>
      </c>
      <c r="D98" s="26" t="str">
        <f>'Raw Data'!$H94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v>
      </c>
      <c r="E98" s="26">
        <f t="shared" si="2"/>
        <v>2</v>
      </c>
      <c r="F98" s="27">
        <f t="shared" si="3"/>
        <v>0.6666666667</v>
      </c>
      <c r="G98" s="26" t="str">
        <f>'Raw Data'!$I94</f>
        <v>I don't use AI for work</v>
      </c>
      <c r="H98" s="26">
        <f t="shared" si="4"/>
        <v>0</v>
      </c>
      <c r="I98" s="26" t="str">
        <f>'Raw Data'!$J94</f>
        <v>Create a systematic process where AI handles data analysis and summary generation consistently</v>
      </c>
      <c r="J98" s="26">
        <f t="shared" si="5"/>
        <v>1</v>
      </c>
      <c r="K98" s="26" t="str">
        <f>'Raw Data'!$K94</f>
        <v>Research for insights</v>
      </c>
      <c r="L98" s="26" t="s">
        <v>401</v>
      </c>
      <c r="M98" s="28" t="str">
        <f>substitute('Prompt Template'!$A$2,$K$5,$L98)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for insights&lt;/user_input&gt;</v>
      </c>
      <c r="N98" s="26">
        <f t="array" ref="N98">index('Response Scoring'!$C:$C,match($A98,'Response Scoring'!$A:$A,0))</f>
        <v>1</v>
      </c>
      <c r="O98" s="29">
        <f t="shared" si="6"/>
        <v>0.3333333333</v>
      </c>
      <c r="P98" s="26" t="str">
        <f>'Raw Data'!$L94</f>
        <v>Proofread content</v>
      </c>
      <c r="Q98" s="26" t="s">
        <v>402</v>
      </c>
      <c r="R98" s="28" t="str">
        <f>substitute('Prompt Template'!$B$2,$P$5,$Q98)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&lt;user_input&gt;Proofread content&lt;/user_input&gt;</v>
      </c>
      <c r="S98" s="26">
        <f t="array" ref="S98">index('Response Scoring'!$E:$E,match($A98,'Response Scoring'!$A:$A,0))</f>
        <v>1</v>
      </c>
      <c r="T98" s="29">
        <f t="shared" si="7"/>
        <v>0.3333333333</v>
      </c>
      <c r="U98" s="29">
        <f t="shared" si="8"/>
        <v>4.125</v>
      </c>
      <c r="V98" s="26" t="str">
        <f>'Raw Data'!$M94</f>
        <v>Analyzing presentation slides to evaluate both the visual design and written content for consistency</v>
      </c>
      <c r="W98" s="26">
        <f t="shared" si="9"/>
        <v>1</v>
      </c>
      <c r="X98" s="26" t="str">
        <f>'Raw Data'!$N94</f>
        <v>Hallucinations (generating false or misleading information), Data privacy concerns when information is shared with an LLM</v>
      </c>
      <c r="Y98" s="26">
        <f t="shared" si="10"/>
        <v>0.5</v>
      </c>
      <c r="Z98" s="26" t="str">
        <f>'Raw Data'!$O94</f>
        <v>Verify that the AI tool has SSL/HTTPS encryption before using it, Only share information that you would be comfortable sharing internally with a colleague</v>
      </c>
      <c r="AA98" s="29">
        <f t="shared" si="11"/>
        <v>0</v>
      </c>
      <c r="AB98" s="26" t="str">
        <f>'Raw Data'!$P94</f>
        <v>Sometimes: I do a quick check against known data or references</v>
      </c>
      <c r="AC98" s="26">
        <f t="shared" si="12"/>
        <v>0.67</v>
      </c>
      <c r="AD98" s="26" t="str">
        <f>'Raw Data'!$Q94</f>
        <v>Check if the response uses confident language and specific details</v>
      </c>
      <c r="AE98" s="26">
        <f t="shared" si="13"/>
        <v>0</v>
      </c>
      <c r="AF98" s="30">
        <f t="shared" si="14"/>
        <v>4.34</v>
      </c>
      <c r="AG98" s="26" t="str">
        <f>'Raw Data'!$R94</f>
        <v>Rarely: I only tweak the prompt if something feels obviously off</v>
      </c>
      <c r="AH98" s="26">
        <f t="shared" si="15"/>
        <v>0.33</v>
      </c>
      <c r="AI98" s="26" t="str">
        <f>'Raw Data'!$S94</f>
        <v>I don't know how to prompt</v>
      </c>
      <c r="AJ98" s="26" t="s">
        <v>264</v>
      </c>
      <c r="AK98" s="28" t="str">
        <f>substitute('Prompt Template'!$C$2,$AI$5,$AJ98)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98" s="26">
        <f t="array" ref="AL98">index('Response Scoring'!$G:$G,match($A98,'Response Scoring'!$A:$A,0))</f>
        <v>0</v>
      </c>
      <c r="AM98" s="26">
        <f t="shared" si="16"/>
        <v>0</v>
      </c>
      <c r="AN98" s="26" t="str">
        <f>'Raw Data'!$T94</f>
        <v>I don't know how to create custom AI instructions</v>
      </c>
      <c r="AP98" s="28" t="str">
        <f>substitute('Prompt Template'!$D$2,$AN$5,$AO98)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8" s="26">
        <f t="array" ref="AQ98">index('Response Scoring'!$I:$I,match($A98,'Response Scoring'!$A:$A,0))</f>
        <v>0</v>
      </c>
      <c r="AR98" s="26">
        <f t="shared" si="17"/>
        <v>0</v>
      </c>
      <c r="AS98" s="30">
        <f t="shared" si="18"/>
        <v>0.495</v>
      </c>
      <c r="AT98" s="26">
        <f t="shared" si="19"/>
        <v>13.6875</v>
      </c>
      <c r="AU98" s="26">
        <f t="shared" si="20"/>
        <v>27.375</v>
      </c>
      <c r="AV98" s="26" t="str">
        <f t="shared" si="21"/>
        <v>AI Experimenter</v>
      </c>
      <c r="AW98" s="26" t="str">
        <f>'Raw Data'!U94</f>
        <v/>
      </c>
      <c r="AX98" s="26" t="str">
        <f>'Raw Data'!V94</f>
        <v/>
      </c>
      <c r="AY98" s="26" t="str">
        <f>'Raw Data'!W94</f>
        <v/>
      </c>
      <c r="AZ98" s="26" t="str">
        <f>'Raw Data'!X94</f>
        <v/>
      </c>
      <c r="BA98" s="26" t="str">
        <f>'Raw Data'!Y94</f>
        <v/>
      </c>
      <c r="BB98" s="26" t="str">
        <f>'Raw Data'!Z94</f>
        <v/>
      </c>
      <c r="BW98" s="31" t="str">
        <f>'Raw Data'!C94</f>
        <v>Global Communications</v>
      </c>
      <c r="BZ98" s="26" t="str">
        <f>'Raw Data'!F94</f>
        <v>Individual Contributor</v>
      </c>
      <c r="CA98" s="31" t="str">
        <f>'Raw Data'!AU94</f>
        <v>Not to sure how to utilize AI</v>
      </c>
      <c r="CB98" s="31" t="str">
        <f>'Raw Data'!AV94</f>
        <v>None</v>
      </c>
      <c r="CC98" s="31" t="str">
        <f>'Raw Data'!AW94</f>
        <v>Agree</v>
      </c>
    </row>
    <row r="99" ht="15.75" customHeight="1">
      <c r="A99" s="26">
        <f>'Raw Data'!$A95</f>
        <v>93</v>
      </c>
      <c r="B99" s="26" t="str">
        <f>'Raw Data'!$G95</f>
        <v>Daily</v>
      </c>
      <c r="C99" s="26">
        <f t="shared" si="1"/>
        <v>1</v>
      </c>
      <c r="D99" s="26" t="str">
        <f>'Raw Data'!$H95</f>
        <v>Getting quick answers to specific questions or looking up information, Editing or improving text I've already written (emails, documents, presentations), Writing or debugging code, scripts, or formulas</v>
      </c>
      <c r="E99" s="26">
        <f t="shared" si="2"/>
        <v>1</v>
      </c>
      <c r="F99" s="27">
        <f t="shared" si="3"/>
        <v>0.3333333333</v>
      </c>
      <c r="G99" s="26" t="str">
        <f>'Raw Data'!$I95</f>
        <v>I've built custom AI tools (i.e. CustomGPTs, Copilot Agents) for repetitive tasks</v>
      </c>
      <c r="H99" s="26">
        <f t="shared" si="4"/>
        <v>0.75</v>
      </c>
      <c r="I99" s="26" t="str">
        <f>'Raw Data'!$J95</f>
        <v>Ask AI to write the summary after you've analyzed all the data</v>
      </c>
      <c r="J99" s="26">
        <f t="shared" si="5"/>
        <v>0.33</v>
      </c>
      <c r="K99" s="26" t="str">
        <f>'Raw Data'!$K95</f>
        <v>Draft the presentation by myself, ask AI to improve the presentation design and polish the content</v>
      </c>
      <c r="L99" s="26" t="s">
        <v>403</v>
      </c>
      <c r="M99" s="28" t="str">
        <f>substitute('Prompt Template'!$A$2,$K$5,$L99)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&lt;user_input&gt;Draft the presentation by myself, ask AI to improve the presentation design and polish the content&lt;/user_input&gt;</v>
      </c>
      <c r="N99" s="26">
        <f t="array" ref="N99">index('Response Scoring'!$C:$C,match($A99,'Response Scoring'!$A:$A,0))</f>
        <v>1</v>
      </c>
      <c r="O99" s="29">
        <f t="shared" si="6"/>
        <v>0.3333333333</v>
      </c>
      <c r="P99" s="26" t="str">
        <f>'Raw Data'!$L95</f>
        <v>Debug the code snippet</v>
      </c>
      <c r="Q99" s="26" t="s">
        <v>404</v>
      </c>
      <c r="R99" s="28" t="str">
        <f>substitute('Prompt Template'!$B$2,$P$5,$Q99)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&lt;user_input&gt;Debug the code snippet&lt;/user_input&gt;</v>
      </c>
      <c r="S99" s="26">
        <f t="array" ref="S99">index('Response Scoring'!$E:$E,match($A99,'Response Scoring'!$A:$A,0))</f>
        <v>1</v>
      </c>
      <c r="T99" s="29">
        <f t="shared" si="7"/>
        <v>0.3333333333</v>
      </c>
      <c r="U99" s="29">
        <f t="shared" si="8"/>
        <v>4.08</v>
      </c>
      <c r="V99" s="26" t="str">
        <f>'Raw Data'!$M95</f>
        <v>Analyzing presentation slides to evaluate both the visual design and written content for consistency</v>
      </c>
      <c r="W99" s="26">
        <f t="shared" si="9"/>
        <v>1</v>
      </c>
      <c r="X99" s="26" t="str">
        <f>'Raw Data'!$N95</f>
        <v>Hallucinations (generating false or misleading information), Data privacy concerns when information is shared with an LLM, Biases in answers, Vulnerability to manipulation by bad actors</v>
      </c>
      <c r="Y99" s="26">
        <f t="shared" si="10"/>
        <v>1</v>
      </c>
      <c r="Z99" s="26" t="str">
        <f>'Raw Data'!$O95</f>
        <v>Use secure company instances or enterprise plans when available</v>
      </c>
      <c r="AA99" s="29">
        <f t="shared" si="11"/>
        <v>0.5</v>
      </c>
      <c r="AB99" s="26" t="str">
        <f>'Raw Data'!$P95</f>
        <v>Always: I routinely cross-check AI outputs with reliable sources</v>
      </c>
      <c r="AC99" s="26">
        <f t="shared" si="12"/>
        <v>1</v>
      </c>
      <c r="AD99" s="26" t="str">
        <f>'Raw Data'!$Q95</f>
        <v>Verify any calculations or data analysis independently</v>
      </c>
      <c r="AE99" s="26">
        <f t="shared" si="13"/>
        <v>0.25</v>
      </c>
      <c r="AF99" s="30">
        <f t="shared" si="14"/>
        <v>7.5</v>
      </c>
      <c r="AG99" s="26" t="str">
        <f>'Raw Data'!$R95</f>
        <v>Sometimes: I iterate 2-3 times to reach a good result</v>
      </c>
      <c r="AH99" s="26">
        <f t="shared" si="15"/>
        <v>0.67</v>
      </c>
      <c r="AI99" s="26" t="str">
        <f>'Raw Data'!$S95</f>
        <v>You are a xx (role), preparing for a xx (topic) work meeting to discuss a new initiative for xx (topic), audience is xx (meeting attendee's role). Give me a brief for the relevant context, 3-5 bullet points for the proposal, and 3-5 potential questions from the auidences</v>
      </c>
      <c r="AJ99" s="26" t="s">
        <v>405</v>
      </c>
      <c r="AK99" s="28" t="str">
        <f>substitute('Prompt Template'!$C$2,$AI$5,$AJ99)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xx (role), preparing for a xx (topic) work meeting to discuss a new initiative for xx (topic), audience is xx (meeting attendee's role). Give me a brief for the relevant context, 3-5 bullet points for the proposal, and 3-5 potential questions from the auidences&lt;/prompt&gt;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xx (role), preparing for a xx (topic) work meeting to discuss a new initiative for xx (topic), audience is xx (meeting attendee's role). Give me a brief for the relevant context, 3-5 bullet points for the proposal, and 3-5 potential questions from the auidences&lt;/user_input&gt;</v>
      </c>
      <c r="AL99" s="26">
        <f t="array" ref="AL99">index('Response Scoring'!$G:$G,match($A99,'Response Scoring'!$A:$A,0))</f>
        <v>4</v>
      </c>
      <c r="AM99" s="26">
        <f t="shared" si="16"/>
        <v>0.8</v>
      </c>
      <c r="AN99" s="26" t="str">
        <f>'Raw Data'!$T95</f>
        <v>You are in xx company's marketing team, need to research competitor's products, pricing and positioning every month, and generate a report. The defined competitors are xx, xx. Add the emerging competitors to the report.</v>
      </c>
      <c r="AP99" s="28" t="str">
        <f>substitute('Prompt Template'!$D$2,$AN$5,$AO99)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9" s="26">
        <f t="array" ref="AQ99">index('Response Scoring'!$I:$I,match($A99,'Response Scoring'!$A:$A,0))</f>
        <v>0</v>
      </c>
      <c r="AR99" s="26">
        <f t="shared" si="17"/>
        <v>0</v>
      </c>
      <c r="AS99" s="30">
        <f t="shared" si="18"/>
        <v>3.805</v>
      </c>
      <c r="AT99" s="26">
        <f t="shared" si="19"/>
        <v>24.98</v>
      </c>
      <c r="AU99" s="26">
        <f t="shared" si="20"/>
        <v>49.96</v>
      </c>
      <c r="AV99" s="26" t="str">
        <f t="shared" si="21"/>
        <v>AI Experimenter</v>
      </c>
      <c r="AW99" s="26" t="str">
        <f>'Raw Data'!U95</f>
        <v/>
      </c>
      <c r="AX99" s="26" t="str">
        <f>'Raw Data'!V95</f>
        <v/>
      </c>
      <c r="AY99" s="26" t="str">
        <f>'Raw Data'!W95</f>
        <v/>
      </c>
      <c r="AZ99" s="26" t="str">
        <f>'Raw Data'!X95</f>
        <v/>
      </c>
      <c r="BA99" s="26" t="str">
        <f>'Raw Data'!Y95</f>
        <v/>
      </c>
      <c r="BB99" s="26" t="str">
        <f>'Raw Data'!Z95</f>
        <v/>
      </c>
      <c r="BW99" s="31" t="str">
        <f>'Raw Data'!C95</f>
        <v>Acquisition &amp; Performance Marketing</v>
      </c>
      <c r="BZ99" s="26" t="str">
        <f>'Raw Data'!F95</f>
        <v>Individual Contributor</v>
      </c>
      <c r="CA99" s="31" t="str">
        <f>'Raw Data'!AU95</f>
        <v>accuracy. my day to day work (Data analysis) requires accuracy, and the data questions usually come with a lot of restrictions and conditions. AI is good with ambiguous questions but can't directly give me the data insights.</v>
      </c>
      <c r="CB99" s="31" t="str">
        <f>'Raw Data'!AV95</f>
        <v>NA</v>
      </c>
      <c r="CC99" s="31" t="str">
        <f>'Raw Data'!AW95</f>
        <v>Neutral</v>
      </c>
    </row>
    <row r="100" ht="15.75" customHeight="1">
      <c r="A100" s="26">
        <f>'Raw Data'!$A96</f>
        <v>94</v>
      </c>
      <c r="B100" s="26" t="str">
        <f>'Raw Data'!$G96</f>
        <v>Daily</v>
      </c>
      <c r="C100" s="26">
        <f t="shared" si="1"/>
        <v>1</v>
      </c>
      <c r="D100" s="26" t="str">
        <f>'Raw Data'!$H96</f>
        <v>Editing or improving text I've already written (emails, documents, presentations), Analyzing data or documents to extract insights or summaries, Getting quick answers to specific questions or looking up information</v>
      </c>
      <c r="E100" s="26">
        <f t="shared" si="2"/>
        <v>2</v>
      </c>
      <c r="F100" s="27">
        <f t="shared" si="3"/>
        <v>0.6666666667</v>
      </c>
      <c r="G100" s="26" t="str">
        <f>'Raw Data'!$I96</f>
        <v>I create fresh prompts each time I use AI</v>
      </c>
      <c r="H100" s="26">
        <f t="shared" si="4"/>
        <v>0.25</v>
      </c>
      <c r="I100" s="26" t="str">
        <f>'Raw Data'!$J96</f>
        <v>Create a systematic process where AI handles data analysis and summary generation consistently</v>
      </c>
      <c r="J100" s="26">
        <f t="shared" si="5"/>
        <v>1</v>
      </c>
      <c r="K100" s="26" t="str">
        <f>'Raw Data'!$K96</f>
        <v>To research the topic, provide summaries and key points and help drafting an outline for the presentation</v>
      </c>
      <c r="L100" s="26" t="s">
        <v>406</v>
      </c>
      <c r="M100" s="28" t="str">
        <f>substitute('Prompt Template'!$A$2,$K$5,$L100)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research the topic, provide summaries and key points and help drafting an outline for the presentation&lt;/user_input&gt;</v>
      </c>
      <c r="N100" s="26">
        <f t="array" ref="N100">index('Response Scoring'!$C:$C,match($A100,'Response Scoring'!$A:$A,0))</f>
        <v>2</v>
      </c>
      <c r="O100" s="29">
        <f t="shared" si="6"/>
        <v>0.6666666667</v>
      </c>
      <c r="P100" s="26" t="str">
        <f>'Raw Data'!$L96</f>
        <v>Prioritizing my day and preparing for meetings, researching competitor advertising and evaluating against ours to understand strengths and weaknesses, personal research to stay up to speed on new things in my area of expertise,etc.</v>
      </c>
      <c r="Q100" s="26" t="s">
        <v>407</v>
      </c>
      <c r="R100" s="28" t="str">
        <f>substitute('Prompt Template'!$B$2,$P$5,$Q100)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&lt;user_input&gt;Prioritizing my day and preparing for meetings, researching competitor advertising and evaluating against ours to understand strengths and weaknesses, personal research to stay up to speed on new things in my area of expertise,etc.&lt;/user_input&gt;</v>
      </c>
      <c r="S100" s="26">
        <f t="array" ref="S100">index('Response Scoring'!$E:$E,match($A100,'Response Scoring'!$A:$A,0))</f>
        <v>1</v>
      </c>
      <c r="T100" s="29">
        <f t="shared" si="7"/>
        <v>0.3333333333</v>
      </c>
      <c r="U100" s="29">
        <f t="shared" si="8"/>
        <v>5.416666667</v>
      </c>
      <c r="V100" s="26" t="str">
        <f>'Raw Data'!$M96</f>
        <v>Analyzing presentation slides to evaluate both the visual design and written content for consistency</v>
      </c>
      <c r="W100" s="26">
        <f t="shared" si="9"/>
        <v>1</v>
      </c>
      <c r="X100" s="26" t="str">
        <f>'Raw Data'!$N96</f>
        <v>Hallucinations (generating false or misleading information), Biases in answers, Data privacy concerns when information is shared with an LLM, Vulnerability to manipulation by bad actors</v>
      </c>
      <c r="Y100" s="26">
        <f t="shared" si="10"/>
        <v>1</v>
      </c>
      <c r="Z100" s="26" t="str">
        <f>'Raw Data'!$O96</f>
        <v>Use secure company instances or enterprise plans when available</v>
      </c>
      <c r="AA100" s="29">
        <f t="shared" si="11"/>
        <v>0.5</v>
      </c>
      <c r="AB100" s="26" t="str">
        <f>'Raw Data'!$P96</f>
        <v>Sometimes: I do a quick check against known data or references</v>
      </c>
      <c r="AC100" s="26">
        <f t="shared" si="12"/>
        <v>0.67</v>
      </c>
      <c r="AD100" s="26" t="str">
        <f>'Raw Data'!$Q96</f>
        <v>Use a different AI tool to review and verify the content, Cross-reference key claims with reliable external sources, Verify any calculations or data analysis independently, Ask the same AI tool to double-check its work for accuracy</v>
      </c>
      <c r="AE100" s="26">
        <f t="shared" si="13"/>
        <v>1</v>
      </c>
      <c r="AF100" s="30">
        <f t="shared" si="14"/>
        <v>8.34</v>
      </c>
      <c r="AG100" s="26" t="str">
        <f>'Raw Data'!$R96</f>
        <v>Frequently: I systematically refine prompts until I'm satisfied</v>
      </c>
      <c r="AH100" s="26">
        <f t="shared" si="15"/>
        <v>1</v>
      </c>
      <c r="AI100" s="26" t="str">
        <f>'Raw Data'!$S96</f>
        <v>I’m preparing for a work meeting to discuss a new project.  Here’s the context: 
Name
Objective
Audience
Timeline
Meeting Attendees
Issues or concerns
Help me identify the most strategic questions I should ask,
clarify risks and dependencies
Define success metrics
Determine what types of questions or pushback I might get
Suggest action items and next steps</v>
      </c>
      <c r="AJ100" s="26" t="s">
        <v>408</v>
      </c>
      <c r="AK100" s="28" t="str">
        <f>substitute('Prompt Template'!$C$2,$AI$5,$AJ100)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project.  Here’s the context: 
Name
Objective
Audience
Timeline
Meeting Attendees
Issues or concerns
Help me identify the most strategic questions I should ask,
clarify risks and dependencies
Define success metrics
Determine what types of questions or pushback I might get
Suggest action items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project.  Here’s the context: 
Name
Objective
Audience
Timeline
Meeting Attendees
Issues or concerns
Help me identify the most strategic questions I should ask,
clarify risks and dependencies
Define success metrics
Determine what types of questions or pushback I might get
Suggest action items and next steps&lt;/user_input&gt;</v>
      </c>
      <c r="AL100" s="26">
        <f t="array" ref="AL100">index('Response Scoring'!$G:$G,match($A100,'Response Scoring'!$A:$A,0))</f>
        <v>4</v>
      </c>
      <c r="AM100" s="26">
        <f t="shared" si="16"/>
        <v>0.8</v>
      </c>
      <c r="AN100" s="26" t="str">
        <f>'Raw Data'!$T96</f>
        <v>I don’t know how to write custom ai instructions</v>
      </c>
      <c r="AP100" s="28" t="str">
        <f>substitute('Prompt Template'!$D$2,$AN$5,$AO100)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100" s="26">
        <f t="array" ref="AQ100">index('Response Scoring'!$I:$I,match($A100,'Response Scoring'!$A:$A,0))</f>
        <v>0</v>
      </c>
      <c r="AR100" s="26">
        <f t="shared" si="17"/>
        <v>0</v>
      </c>
      <c r="AS100" s="30">
        <f t="shared" si="18"/>
        <v>4.3</v>
      </c>
      <c r="AT100" s="26">
        <f t="shared" si="19"/>
        <v>29.235</v>
      </c>
      <c r="AU100" s="26">
        <f t="shared" si="20"/>
        <v>58.47</v>
      </c>
      <c r="AV100" s="26" t="str">
        <f t="shared" si="21"/>
        <v>AI Experimenter</v>
      </c>
      <c r="AW100" s="26" t="str">
        <f>'Raw Data'!U96</f>
        <v/>
      </c>
      <c r="AX100" s="26" t="str">
        <f>'Raw Data'!V96</f>
        <v/>
      </c>
      <c r="AY100" s="26" t="str">
        <f>'Raw Data'!W96</f>
        <v/>
      </c>
      <c r="AZ100" s="26" t="str">
        <f>'Raw Data'!X96</f>
        <v/>
      </c>
      <c r="BA100" s="26" t="str">
        <f>'Raw Data'!Y96</f>
        <v/>
      </c>
      <c r="BB100" s="26" t="str">
        <f>'Raw Data'!Z96</f>
        <v/>
      </c>
      <c r="BW100" s="31" t="str">
        <f>'Raw Data'!C96</f>
        <v>Acquisition &amp; Performance Marketing</v>
      </c>
      <c r="BZ100" s="26" t="str">
        <f>'Raw Data'!F96</f>
        <v>VP or above</v>
      </c>
      <c r="CA100" s="31" t="str">
        <f>'Raw Data'!AU96</f>
        <v>Finding time to get more sophisticated in my usage, like creating agents and evaluating other ai tools</v>
      </c>
      <c r="CB100" s="31" t="str">
        <f>'Raw Data'!AV96</f>
        <v>Claude, Perplexity</v>
      </c>
      <c r="CC100" s="31" t="str">
        <f>'Raw Data'!AW96</f>
        <v>Neutral</v>
      </c>
    </row>
    <row r="101" ht="15.75" customHeight="1">
      <c r="A101" s="26">
        <f>'Raw Data'!$A97</f>
        <v>95</v>
      </c>
      <c r="B101" s="26" t="str">
        <f>'Raw Data'!$G97</f>
        <v>Daily</v>
      </c>
      <c r="C101" s="26">
        <f t="shared" si="1"/>
        <v>1</v>
      </c>
      <c r="D101" s="26" t="str">
        <f>'Raw Data'!$H97</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v>
      </c>
      <c r="E101" s="26">
        <f t="shared" si="2"/>
        <v>2</v>
      </c>
      <c r="F101" s="27">
        <f t="shared" si="3"/>
        <v>0.6666666667</v>
      </c>
      <c r="G101" s="26" t="str">
        <f>'Raw Data'!$I97</f>
        <v>I maintain a library of prompts that I reuse frequently</v>
      </c>
      <c r="H101" s="26">
        <f t="shared" si="4"/>
        <v>0.5</v>
      </c>
      <c r="I101" s="26" t="str">
        <f>'Raw Data'!$J97</f>
        <v>Create a systematic process where AI handles data analysis and summary generation consistently</v>
      </c>
      <c r="J101" s="26">
        <f t="shared" si="5"/>
        <v>1</v>
      </c>
      <c r="K101" s="26" t="str">
        <f>'Raw Data'!$K97</f>
        <v>I would prompt AI for research on a topic, and role play the scenario.  I would prompt devel's advocacy to pressure test questions that may come up so I can answer them effectively.</v>
      </c>
      <c r="L101" s="26" t="s">
        <v>409</v>
      </c>
      <c r="M101" s="28" t="str">
        <f>substitute('Prompt Template'!$A$2,$K$5,$L101)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for research on a topic, and role play the scenario.  I would prompt devel's advocacy to pressure test questions that may come up so I can answer them effectively.&lt;/user_input&gt;</v>
      </c>
      <c r="N101" s="26">
        <f t="array" ref="N101">index('Response Scoring'!$C:$C,match($A101,'Response Scoring'!$A:$A,0))</f>
        <v>2</v>
      </c>
      <c r="O101" s="29">
        <f t="shared" si="6"/>
        <v>0.6666666667</v>
      </c>
      <c r="P101" s="26" t="str">
        <f>'Raw Data'!$L97</f>
        <v>I wanted to understand common customer objections coming from inbound phone calls.  I used AI to read the transcripts and organize the pain points into categories while also suggesting ways to handle any customer objections (using our sales methodology practices).</v>
      </c>
      <c r="Q101" s="26" t="s">
        <v>410</v>
      </c>
      <c r="R101" s="28" t="str">
        <f>substitute('Prompt Template'!$B$2,$P$5,$Q101)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wanted to understand common customer objections coming from inbound phone calls.  I used AI to read the transcripts and organize the pain points into categories while also suggesting ways to handle any customer objections (using our sales methodology practices).&lt;/user_input&gt;</v>
      </c>
      <c r="S101" s="26">
        <f t="array" ref="S101">index('Response Scoring'!$E:$E,match($A101,'Response Scoring'!$A:$A,0))</f>
        <v>3</v>
      </c>
      <c r="T101" s="29">
        <f t="shared" si="7"/>
        <v>1</v>
      </c>
      <c r="U101" s="29">
        <f t="shared" si="8"/>
        <v>8.333333333</v>
      </c>
      <c r="V101" s="26" t="str">
        <f>'Raw Data'!$M97</f>
        <v>Creating a complete slide deck with visual design for an important client presentation</v>
      </c>
      <c r="W101" s="26">
        <f t="shared" si="9"/>
        <v>0</v>
      </c>
      <c r="X101" s="26" t="str">
        <f>'Raw Data'!$N97</f>
        <v>Hallucinations (generating false or misleading information), Biases in answers, Data privacy concerns when information is shared with an LLM, Vulnerability to manipulation by bad actors</v>
      </c>
      <c r="Y101" s="26">
        <f t="shared" si="10"/>
        <v>1</v>
      </c>
      <c r="Z101" s="26" t="str">
        <f>'Raw Data'!$O97</f>
        <v>Use secure company instances or enterprise plans when available, Verify that the AI tool has SSL/HTTPS encryption before using it, Anonymize information by removing identifying details</v>
      </c>
      <c r="AA101" s="29">
        <f t="shared" si="11"/>
        <v>0</v>
      </c>
      <c r="AB101" s="26" t="str">
        <f>'Raw Data'!$P97</f>
        <v>Always: I routinely cross-check AI outputs with reliable sources</v>
      </c>
      <c r="AC101" s="26">
        <f t="shared" si="12"/>
        <v>1</v>
      </c>
      <c r="AD101" s="26" t="str">
        <f>'Raw Data'!$Q97</f>
        <v>Cross-reference key claims with reliable external sources, Verify any calculations or data analysis independently</v>
      </c>
      <c r="AE101" s="26">
        <f t="shared" si="13"/>
        <v>0.5</v>
      </c>
      <c r="AF101" s="30">
        <f t="shared" si="14"/>
        <v>5</v>
      </c>
      <c r="AG101" s="26" t="str">
        <f>'Raw Data'!$R97</f>
        <v>Frequently: I systematically refine prompts until I'm satisfied</v>
      </c>
      <c r="AH101" s="26">
        <f t="shared" si="15"/>
        <v>1</v>
      </c>
      <c r="AI101" s="26" t="str">
        <f>'Raw Data'!$S97</f>
        <v>I am a director for eCommerce Sales.  Please write an executive proposal involving the creation of a new sales team using existing budget that has been approved.  My audience is sales leadership 2 levels higher than me and the finance team.  My pitch will be measured against others.  I want permission to move ahead with my proposal as I believe it will drive new acquistion for the company in a scalable, cost-ffective way.</v>
      </c>
      <c r="AJ101" s="26" t="s">
        <v>411</v>
      </c>
      <c r="AK101" s="28" t="str">
        <f>substitute('Prompt Template'!$C$2,$AI$5,$AJ101)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director for eCommerce Sales.  Please write an executive proposal involving the creation of a new sales team using existing budget that has been approved.  My audience is sales leadership 2 levels higher than me and the finance team.  My pitch will be measured against others.  I want permission to move ahead with my proposal as I believe it will drive new acquistion for the company in a scalable, cost-ffective way.&lt;/prompt&gt;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director for eCommerce Sales.  Please write an executive proposal involving the creation of a new sales team using existing budget that has been approved.  My audience is sales leadership 2 levels higher than me and the finance team.  My pitch will be measured against others.  I want permission to move ahead with my proposal as I believe it will drive new acquistion for the company in a scalable, cost-ffective way.&lt;/user_input&gt;</v>
      </c>
      <c r="AL101" s="26">
        <f t="array" ref="AL101">index('Response Scoring'!$G:$G,match($A101,'Response Scoring'!$A:$A,0))</f>
        <v>4</v>
      </c>
      <c r="AM101" s="26">
        <f t="shared" si="16"/>
        <v>0.8</v>
      </c>
      <c r="AN101" s="26" t="str">
        <f>'Raw Data'!$T97</f>
        <v>please grab from this file &lt;insert file&gt; and summarize our competitive landscape.  Within the summary, note the competing products, pricing and positioning statements for each competitor.  Offer ways we might handle competitive situations to win business based on the positioning statements.</v>
      </c>
      <c r="AP101" s="28" t="str">
        <f>substitute('Prompt Template'!$D$2,$AN$5,$AO101)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101" s="26">
        <f t="array" ref="AQ101">index('Response Scoring'!$I:$I,match($A101,'Response Scoring'!$A:$A,0))</f>
        <v>0</v>
      </c>
      <c r="AR101" s="26">
        <f t="shared" si="17"/>
        <v>0</v>
      </c>
      <c r="AS101" s="30">
        <f t="shared" si="18"/>
        <v>4.3</v>
      </c>
      <c r="AT101" s="26">
        <f t="shared" si="19"/>
        <v>28.6</v>
      </c>
      <c r="AU101" s="26">
        <f t="shared" si="20"/>
        <v>57.2</v>
      </c>
      <c r="AV101" s="26" t="str">
        <f t="shared" si="21"/>
        <v>AI Experimenter</v>
      </c>
      <c r="AW101" s="26" t="str">
        <f>'Raw Data'!U97</f>
        <v/>
      </c>
      <c r="AX101" s="26" t="str">
        <f>'Raw Data'!V97</f>
        <v/>
      </c>
      <c r="AY101" s="26" t="str">
        <f>'Raw Data'!W97</f>
        <v/>
      </c>
      <c r="AZ101" s="26" t="str">
        <f>'Raw Data'!X97</f>
        <v/>
      </c>
      <c r="BA101" s="26" t="str">
        <f>'Raw Data'!Y97</f>
        <v/>
      </c>
      <c r="BB101" s="26" t="str">
        <f>'Raw Data'!Z97</f>
        <v/>
      </c>
      <c r="BW101" s="31" t="str">
        <f>'Raw Data'!C97</f>
        <v>Digital &amp; eCommerce</v>
      </c>
      <c r="BZ101" s="26" t="str">
        <f>'Raw Data'!F97</f>
        <v>Director or senior Director</v>
      </c>
      <c r="CA101" s="31" t="str">
        <f>'Raw Data'!AU97</f>
        <v/>
      </c>
      <c r="CB101" s="31" t="str">
        <f>'Raw Data'!AV97</f>
        <v/>
      </c>
      <c r="CC101" s="31" t="str">
        <f>'Raw Data'!AW97</f>
        <v>Strongly agree</v>
      </c>
    </row>
    <row r="102" ht="15.75" customHeight="1">
      <c r="A102" s="26">
        <f>'Raw Data'!$A98</f>
        <v>96</v>
      </c>
      <c r="B102" s="26" t="str">
        <f>'Raw Data'!$G98</f>
        <v>Daily</v>
      </c>
      <c r="C102" s="26">
        <f t="shared" si="1"/>
        <v>1</v>
      </c>
      <c r="D102" s="26" t="str">
        <f>'Raw Data'!$H98</f>
        <v>Brainstorming ideas, testing concepts, or getting feedback on my thinking, Analyzing data or documents to extract insights or summaries, Editing or improving text I've already written (emails, documents, presentations), Getting quick answers to specific questions or looking up information</v>
      </c>
      <c r="E102" s="26">
        <f t="shared" si="2"/>
        <v>2</v>
      </c>
      <c r="F102" s="27">
        <f t="shared" si="3"/>
        <v>0.6666666667</v>
      </c>
      <c r="G102" s="26" t="str">
        <f>'Raw Data'!$I98</f>
        <v>I create fresh prompts each time I use AI</v>
      </c>
      <c r="H102" s="26">
        <f t="shared" si="4"/>
        <v>0.25</v>
      </c>
      <c r="I102" s="26" t="str">
        <f>'Raw Data'!$J98</f>
        <v>I wouldn’t use AI for this task</v>
      </c>
      <c r="J102" s="26" t="b">
        <f t="shared" si="5"/>
        <v>0</v>
      </c>
      <c r="K102" s="26" t="str">
        <f>'Raw Data'!$K98</f>
        <v>Simplify understanding by designing the agenda and structure of your PPoint presentation.</v>
      </c>
      <c r="L102" s="26" t="s">
        <v>412</v>
      </c>
      <c r="M102" s="28" t="str">
        <f>substitute('Prompt Template'!$A$2,$K$5,$L102)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&lt;user_input&gt;Simplify understanding by designing the agenda and structure of your PPoint presentation.&lt;/user_input&gt;</v>
      </c>
      <c r="N102" s="26">
        <f t="array" ref="N102">index('Response Scoring'!$C:$C,match($A102,'Response Scoring'!$A:$A,0))</f>
        <v>1</v>
      </c>
      <c r="O102" s="29">
        <f t="shared" si="6"/>
        <v>0.3333333333</v>
      </c>
      <c r="P102" s="26" t="str">
        <f>'Raw Data'!$L98</f>
        <v>I organize my Slack daily tasks by linking them with sending and receiving emails in Outlook.</v>
      </c>
      <c r="Q102" s="26" t="s">
        <v>413</v>
      </c>
      <c r="R102" s="28" t="str">
        <f>substitute('Prompt Template'!$B$2,$P$5,$Q102)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organize my Slack daily tasks by linking them with sending and receiving emails in Outlook.&lt;/user_input&gt;</v>
      </c>
      <c r="S102" s="26">
        <f t="array" ref="S102">index('Response Scoring'!$E:$E,match($A102,'Response Scoring'!$A:$A,0))</f>
        <v>1</v>
      </c>
      <c r="T102" s="29">
        <f t="shared" si="7"/>
        <v>0.3333333333</v>
      </c>
      <c r="U102" s="29">
        <f t="shared" si="8"/>
        <v>3.75</v>
      </c>
      <c r="V102" s="26" t="str">
        <f>'Raw Data'!$M98</f>
        <v>Analyzing presentation slides to evaluate both the visual design and written content for consistency</v>
      </c>
      <c r="W102" s="26">
        <f t="shared" si="9"/>
        <v>1</v>
      </c>
      <c r="X102" s="26" t="str">
        <f>'Raw Data'!$N98</f>
        <v>Data privacy concerns when information is shared with an LLM, Hallucinations (generating false or misleading information), Biases in answers, Vulnerability to manipulation by bad actors</v>
      </c>
      <c r="Y102" s="26">
        <f t="shared" si="10"/>
        <v>1</v>
      </c>
      <c r="Z102" s="26" t="str">
        <f>'Raw Data'!$O98</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A102" s="29">
        <f t="shared" si="11"/>
        <v>0</v>
      </c>
      <c r="AB102" s="26" t="str">
        <f>'Raw Data'!$P98</f>
        <v>Sometimes: I do a quick check against known data or references</v>
      </c>
      <c r="AC102" s="26">
        <f t="shared" si="12"/>
        <v>0.67</v>
      </c>
      <c r="AD102" s="26" t="str">
        <f>'Raw Data'!$Q98</f>
        <v>Use a different AI tool to review and verify the content, Look for professional formatting and proper grammar, Check if the response uses confident language and specific details, Cross-reference key claims with reliable external sources</v>
      </c>
      <c r="AE102" s="26">
        <f t="shared" si="13"/>
        <v>0</v>
      </c>
      <c r="AF102" s="30">
        <f t="shared" si="14"/>
        <v>5.34</v>
      </c>
      <c r="AG102" s="26" t="str">
        <f>'Raw Data'!$R98</f>
        <v>Frequently: I systematically refine prompts until I'm satisfied</v>
      </c>
      <c r="AH102" s="26">
        <f t="shared" si="15"/>
        <v>1</v>
      </c>
      <c r="AI102" s="26" t="str">
        <f>'Raw Data'!$S98</f>
        <v>Imagine you are preparing for a work meeting to discuss a new initiative or proposal. Write a prompt asking AI to help you prepare for this meeting, including support with structuring a clear and audience-focused message, identifying data and evidence needed to strengthen credibility, anticipating potential risks, objections, and difficult questions, crafting a compelling opening and closing message, and developing a proposed PPT agenda.</v>
      </c>
      <c r="AJ102" s="26" t="s">
        <v>414</v>
      </c>
      <c r="AK102" s="28" t="str">
        <f>substitute('Prompt Template'!$C$2,$AI$5,$AJ102)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&lt;prompt&gt;Imagine you are preparing for a work meeting to discuss a new initiative or proposal. Write a prompt asking AI to help you prepare for this meeting, including support with structuring a clear and audience-focused message, identifying data and evidence needed to strengthen credibility, anticipating potential risks, objections, and difficult questions, crafting a compelling opening and closing message, and developing a proposed PPT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&lt;user_input&gt;Imagine you are preparing for a work meeting to discuss a new initiative or proposal. Write a prompt asking AI to help you prepare for this meeting, including support with structuring a clear and audience-focused message, identifying data and evidence needed to strengthen credibility, anticipating potential risks, objections, and difficult questions, crafting a compelling opening and closing message, and developing a proposed PPT agenda.&lt;/user_input&gt;</v>
      </c>
      <c r="AL102" s="26">
        <f t="array" ref="AL102">index('Response Scoring'!$G:$G,match($A102,'Response Scoring'!$A:$A,0))</f>
        <v>4</v>
      </c>
      <c r="AM102" s="26">
        <f t="shared" si="16"/>
        <v>0.8</v>
      </c>
      <c r="AN102" s="26" t="str">
        <f>'Raw Data'!$T98</f>
        <v>I don't know how to create custom AI instructions</v>
      </c>
      <c r="AP102" s="28" t="str">
        <f>substitute('Prompt Template'!$D$2,$AN$5,$AO102)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102" s="26">
        <f t="array" ref="AQ102">index('Response Scoring'!$I:$I,match($A102,'Response Scoring'!$A:$A,0))</f>
        <v>0</v>
      </c>
      <c r="AR102" s="26">
        <f t="shared" si="17"/>
        <v>0</v>
      </c>
      <c r="AS102" s="30">
        <f t="shared" si="18"/>
        <v>4.3</v>
      </c>
      <c r="AT102" s="26">
        <f t="shared" si="19"/>
        <v>22.235</v>
      </c>
      <c r="AU102" s="26">
        <f t="shared" si="20"/>
        <v>44.47</v>
      </c>
      <c r="AV102" s="26" t="str">
        <f t="shared" si="21"/>
        <v>AI Experimenter</v>
      </c>
      <c r="AW102" s="26" t="str">
        <f>'Raw Data'!U98</f>
        <v/>
      </c>
      <c r="AX102" s="26" t="str">
        <f>'Raw Data'!V98</f>
        <v/>
      </c>
      <c r="AY102" s="26" t="str">
        <f>'Raw Data'!W98</f>
        <v/>
      </c>
      <c r="AZ102" s="26" t="str">
        <f>'Raw Data'!X98</f>
        <v/>
      </c>
      <c r="BA102" s="26" t="str">
        <f>'Raw Data'!Y98</f>
        <v/>
      </c>
      <c r="BB102" s="26" t="str">
        <f>'Raw Data'!Z98</f>
        <v/>
      </c>
      <c r="BW102" s="31" t="str">
        <f>'Raw Data'!C98</f>
        <v>Education</v>
      </c>
      <c r="BZ102" s="26" t="str">
        <f>'Raw Data'!F98</f>
        <v>Manager or Senior Manager</v>
      </c>
      <c r="CA102" s="31" t="str">
        <f>'Raw Data'!AU98</f>
        <v>I sometimes struggle when the AI response slightly misses the intent of my prompt. Even small nuances can change the direction of the output, and refining the prompt to get exactly what I need can take additional iterations.
I also find it challenging to obtain highly relevant sample case studies that closely match my specific use case. While AI provides general examples, I often need more tailored, practical scenarios that directly align with my objectives.</v>
      </c>
      <c r="CB102" s="31" t="str">
        <f>'Raw Data'!AV98</f>
        <v>No</v>
      </c>
      <c r="CC102" s="31" t="str">
        <f>'Raw Data'!AW98</f>
        <v>Agree</v>
      </c>
    </row>
    <row r="103" ht="15.75" customHeight="1">
      <c r="A103" s="26">
        <f>'Raw Data'!$A99</f>
        <v>97</v>
      </c>
      <c r="B103" s="26" t="str">
        <f>'Raw Data'!$G99</f>
        <v>Daily</v>
      </c>
      <c r="C103" s="26">
        <f t="shared" si="1"/>
        <v>1</v>
      </c>
      <c r="D103" s="26" t="str">
        <f>'Raw Data'!$H99</f>
        <v>Getting quick answers to specific questions or looking up information, Brainstorming ideas, testing concepts, or getting feedback on my thinking</v>
      </c>
      <c r="E103" s="26">
        <f t="shared" si="2"/>
        <v>2</v>
      </c>
      <c r="F103" s="27">
        <f t="shared" si="3"/>
        <v>0.6666666667</v>
      </c>
      <c r="G103" s="26" t="str">
        <f>'Raw Data'!$I99</f>
        <v>I've created workflows that connect AI with other systems (Slack, Salesforce, email) using integrations or code</v>
      </c>
      <c r="H103" s="26">
        <f t="shared" si="4"/>
        <v>1</v>
      </c>
      <c r="I103" s="26" t="str">
        <f>'Raw Data'!$J99</f>
        <v>Create a systematic process where AI handles data analysis and summary generation consistently</v>
      </c>
      <c r="J103" s="26">
        <f t="shared" si="5"/>
        <v>1</v>
      </c>
      <c r="K103" s="26" t="str">
        <f>'Raw Data'!$K99</f>
        <v>Collect information on the theme</v>
      </c>
      <c r="L103" s="26" t="s">
        <v>415</v>
      </c>
      <c r="M103" s="28" t="str">
        <f>substitute('Prompt Template'!$A$2,$K$5,$L103)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&lt;user_input&gt;Collect information on the theme&lt;/user_input&gt;</v>
      </c>
      <c r="N103" s="26">
        <f t="array" ref="N103">index('Response Scoring'!$C:$C,match($A103,'Response Scoring'!$A:$A,0))</f>
        <v>1</v>
      </c>
      <c r="O103" s="29">
        <f t="shared" si="6"/>
        <v>0.3333333333</v>
      </c>
      <c r="P103" s="26" t="str">
        <f>'Raw Data'!$L99</f>
        <v>By learning about the latest industry information and competitors' activities when creating a proposal, I was able to determine the priorities that should be included in the proposal.</v>
      </c>
      <c r="Q103" s="26" t="s">
        <v>416</v>
      </c>
      <c r="R103" s="28" t="str">
        <f>substitute('Prompt Template'!$B$2,$P$5,$Q103)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&lt;user_input&gt;By learning about the latest industry information and competitors' activities when creating a proposal, I was able to determine the priorities that should be included in the proposal.&lt;/user_input&gt;</v>
      </c>
      <c r="S103" s="26">
        <f t="array" ref="S103">index('Response Scoring'!$E:$E,match($A103,'Response Scoring'!$A:$A,0))</f>
        <v>1</v>
      </c>
      <c r="T103" s="29">
        <f t="shared" si="7"/>
        <v>0.3333333333</v>
      </c>
      <c r="U103" s="29">
        <f t="shared" si="8"/>
        <v>5.5</v>
      </c>
      <c r="V103" s="26" t="str">
        <f>'Raw Data'!$M99</f>
        <v>Providing real-time updates on breaking news events happening right now</v>
      </c>
      <c r="W103" s="26">
        <f t="shared" si="9"/>
        <v>0</v>
      </c>
      <c r="X103" s="26" t="str">
        <f>'Raw Data'!$N99</f>
        <v>Hallucinations (generating false or misleading information), Data privacy concerns when information is shared with an LLM, Biases in answers</v>
      </c>
      <c r="Y103" s="26">
        <f t="shared" si="10"/>
        <v>0.75</v>
      </c>
      <c r="Z103" s="26" t="str">
        <f>'Raw Data'!$O99</f>
        <v>Verify that the AI tool has SSL/HTTPS encryption before using it</v>
      </c>
      <c r="AA103" s="29">
        <f t="shared" si="11"/>
        <v>0</v>
      </c>
      <c r="AB103" s="26" t="str">
        <f>'Raw Data'!$P99</f>
        <v>Sometimes: I do a quick check against known data or references</v>
      </c>
      <c r="AC103" s="26">
        <f t="shared" si="12"/>
        <v>0.67</v>
      </c>
      <c r="AD103" s="26" t="str">
        <f>'Raw Data'!$Q99</f>
        <v>Ask the same AI tool to double-check its work for accuracy, Check if the response uses confident language and specific details, Use a different AI tool to review and verify the content, Verify any calculations or data analysis independently</v>
      </c>
      <c r="AE103" s="26">
        <f t="shared" si="13"/>
        <v>0</v>
      </c>
      <c r="AF103" s="30">
        <f t="shared" si="14"/>
        <v>2.84</v>
      </c>
      <c r="AG103" s="26" t="str">
        <f>'Raw Data'!$R99</f>
        <v>Never: I usually just ask once and accept the first response</v>
      </c>
      <c r="AH103" s="26">
        <f t="shared" si="15"/>
        <v>0</v>
      </c>
      <c r="AI103" s="26" t="str">
        <f>'Raw Data'!$S99</f>
        <v>What kind of questions should I ask to get people to come up with new ideas?</v>
      </c>
      <c r="AJ103" s="26" t="s">
        <v>417</v>
      </c>
      <c r="AK103" s="28" t="str">
        <f>substitute('Prompt Template'!$C$2,$AI$5,$AJ103)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kind of questions should I ask to get people to come up with new ideas?&lt;/prompt&gt;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kind of questions should I ask to get people to come up with new ideas?&lt;/user_input&gt;</v>
      </c>
      <c r="AL103" s="26">
        <f t="array" ref="AL103">index('Response Scoring'!$G:$G,match($A103,'Response Scoring'!$A:$A,0))</f>
        <v>2</v>
      </c>
      <c r="AM103" s="26">
        <f t="shared" si="16"/>
        <v>0.4</v>
      </c>
      <c r="AN103" s="26" t="str">
        <f>'Raw Data'!$T99</f>
        <v>I don't know how to create custom AI instructions'.</v>
      </c>
      <c r="AP103" s="28" t="str">
        <f>substitute('Prompt Template'!$D$2,$AN$5,$AO103)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103" s="26">
        <f t="array" ref="AQ103">index('Response Scoring'!$I:$I,match($A103,'Response Scoring'!$A:$A,0))</f>
        <v>0</v>
      </c>
      <c r="AR103" s="26">
        <f t="shared" si="17"/>
        <v>0</v>
      </c>
      <c r="AS103" s="30">
        <f t="shared" si="18"/>
        <v>1.4</v>
      </c>
      <c r="AT103" s="26">
        <f t="shared" si="19"/>
        <v>15.31</v>
      </c>
      <c r="AU103" s="26">
        <f t="shared" si="20"/>
        <v>30.62</v>
      </c>
      <c r="AV103" s="26" t="str">
        <f t="shared" si="21"/>
        <v>AI Experimenter</v>
      </c>
      <c r="AW103" s="26" t="str">
        <f>'Raw Data'!U99</f>
        <v/>
      </c>
      <c r="AX103" s="26" t="str">
        <f>'Raw Data'!V99</f>
        <v/>
      </c>
      <c r="AY103" s="26" t="str">
        <f>'Raw Data'!W99</f>
        <v/>
      </c>
      <c r="AZ103" s="26" t="str">
        <f>'Raw Data'!X99</f>
        <v/>
      </c>
      <c r="BA103" s="26" t="str">
        <f>'Raw Data'!Y99</f>
        <v/>
      </c>
      <c r="BB103" s="26" t="str">
        <f>'Raw Data'!Z99</f>
        <v/>
      </c>
      <c r="BW103" s="31" t="str">
        <f>'Raw Data'!C99</f>
        <v>Growth &amp; Partner Marketing</v>
      </c>
      <c r="BZ103" s="26" t="str">
        <f>'Raw Data'!F99</f>
        <v>Manager or Senior Manager</v>
      </c>
      <c r="CA103" s="31" t="str">
        <f>'Raw Data'!AU99</f>
        <v>Credibility</v>
      </c>
      <c r="CB103" s="31" t="str">
        <f>'Raw Data'!AV99</f>
        <v>None</v>
      </c>
      <c r="CC103" s="31" t="str">
        <f>'Raw Data'!AW99</f>
        <v>Neutral</v>
      </c>
    </row>
    <row r="104" ht="15.75" customHeight="1">
      <c r="A104" s="26">
        <f>'Raw Data'!$A100</f>
        <v>98</v>
      </c>
      <c r="B104" s="26" t="str">
        <f>'Raw Data'!$G100</f>
        <v>Weekly</v>
      </c>
      <c r="C104" s="26">
        <f t="shared" si="1"/>
        <v>0.5</v>
      </c>
      <c r="D104" s="26" t="str">
        <f>'Raw Data'!$H100</f>
        <v>Editing or improving text I've already written (emails, documents, presentations), Analyzing data or documents to extract insights or summaries, Building custom prompts, templates, or workflows that I reuse regularly, Getting quick answers to specific questions or looking up information</v>
      </c>
      <c r="E104" s="26">
        <f t="shared" si="2"/>
        <v>3</v>
      </c>
      <c r="F104" s="27">
        <f t="shared" si="3"/>
        <v>1</v>
      </c>
      <c r="G104" s="26" t="str">
        <f>'Raw Data'!$I100</f>
        <v>I've built custom AI tools (i.e. CustomGPTs, Copilot Agents) for repetitive tasks</v>
      </c>
      <c r="H104" s="26">
        <f t="shared" si="4"/>
        <v>0.75</v>
      </c>
      <c r="I104" s="26" t="str">
        <f>'Raw Data'!$J100</f>
        <v>Create a systematic process where AI handles data analysis and summary generation consistently</v>
      </c>
      <c r="J104" s="26">
        <f t="shared" si="5"/>
        <v>1</v>
      </c>
      <c r="K104" s="26" t="str">
        <f>'Raw Data'!$K100</f>
        <v>Use AI to collect information and learn about the topic first, then use AI to create a summary adapted to the audience and objectives of the meeting</v>
      </c>
      <c r="L104" s="26" t="s">
        <v>418</v>
      </c>
      <c r="M104" s="28" t="str">
        <f>substitute('Prompt Template'!$A$2,$K$5,$L104)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collect information and learn about the topic first, then use AI to create a summary adapted to the audience and objectives of the meeting&lt;/user_input&gt;</v>
      </c>
      <c r="N104" s="26">
        <f t="array" ref="N104">index('Response Scoring'!$C:$C,match($A104,'Response Scoring'!$A:$A,0))</f>
        <v>2</v>
      </c>
      <c r="O104" s="29">
        <f t="shared" si="6"/>
        <v>0.6666666667</v>
      </c>
      <c r="P104" s="26" t="str">
        <f>'Raw Data'!$L100</f>
        <v>I am practicing using AI to format complex data sheets from survey results so I can use them as simpler tables in PowerBi and working on automation so I can save time (WIP)</v>
      </c>
      <c r="Q104" s="26" t="s">
        <v>419</v>
      </c>
      <c r="R104" s="28" t="str">
        <f>substitute('Prompt Template'!$B$2,$P$5,$Q104)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practicing using AI to format complex data sheets from survey results so I can use them as simpler tables in PowerBi and working on automation so I can save time (WIP)&lt;/user_input&gt;</v>
      </c>
      <c r="S104" s="26">
        <f t="array" ref="S104">index('Response Scoring'!$E:$E,match($A104,'Response Scoring'!$A:$A,0))</f>
        <v>2</v>
      </c>
      <c r="T104" s="29">
        <f t="shared" si="7"/>
        <v>0.6666666667</v>
      </c>
      <c r="U104" s="29">
        <f t="shared" si="8"/>
        <v>7.5</v>
      </c>
      <c r="V104" s="26" t="str">
        <f>'Raw Data'!$M100</f>
        <v>Analyzing presentation slides to evaluate both the visual design and written content for consistency</v>
      </c>
      <c r="W104" s="26">
        <f t="shared" si="9"/>
        <v>1</v>
      </c>
      <c r="X104" s="26" t="str">
        <f>'Raw Data'!$N100</f>
        <v>Hallucinations (generating false or misleading information), Biases in answers, Data privacy concerns when information is shared with an LLM, Vulnerability to manipulation by bad actors</v>
      </c>
      <c r="Y104" s="26">
        <f t="shared" si="10"/>
        <v>1</v>
      </c>
      <c r="Z104" s="26" t="str">
        <f>'Raw Data'!$O100</f>
        <v>Only share information that you would be comfortable sharing internally with a colleague, Anonymize information by removing identifying details, Use secure company instances or enterprise plans when available, Avoid using AI tools for anything work-related</v>
      </c>
      <c r="AA104" s="29">
        <f t="shared" si="11"/>
        <v>0</v>
      </c>
      <c r="AB104" s="26" t="str">
        <f>'Raw Data'!$P100</f>
        <v>Always: I routinely cross-check AI outputs with reliable sources</v>
      </c>
      <c r="AC104" s="26">
        <f t="shared" si="12"/>
        <v>1</v>
      </c>
      <c r="AD104" s="26" t="str">
        <f>'Raw Data'!$Q100</f>
        <v>Ask the same AI tool to double-check its work for accuracy, Verify any calculations or data analysis independently, Cross-reference key claims with reliable external sources</v>
      </c>
      <c r="AE104" s="26">
        <f t="shared" si="13"/>
        <v>0.75</v>
      </c>
      <c r="AF104" s="30">
        <f t="shared" si="14"/>
        <v>7.5</v>
      </c>
      <c r="AG104" s="26" t="str">
        <f>'Raw Data'!$R100</f>
        <v>Frequently: I systematically refine prompts until I'm satisfied</v>
      </c>
      <c r="AH104" s="26">
        <f t="shared" si="15"/>
        <v>1</v>
      </c>
      <c r="AI104" s="26" t="str">
        <f>'Raw Data'!$S100</f>
        <v>I am working in team x and my role is y. I am working on a new initiative [description of project] and the detail presentation of this project is attached here. Help me prepare to present and discuss this project to my manager by providing a summary of the project, a list of Q&amp;A and possible push back I should prepare for.</v>
      </c>
      <c r="AJ104" s="26" t="s">
        <v>420</v>
      </c>
      <c r="AK104" s="28" t="str">
        <f>substitute('Prompt Template'!$C$2,$AI$5,$AJ104)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working in team x and my role is y. I am working on a new initiative [description of project] and the detail presentation of this project is attached here. Help me prepare to present and discuss this project to my manager by providing a summary of the project, a list of Q&amp;A and possible push back I should prepare for.&lt;/prompt&gt;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working in team x and my role is y. I am working on a new initiative [description of project] and the detail presentation of this project is attached here. Help me prepare to present and discuss this project to my manager by providing a summary of the project, a list of Q&amp;A and possible push back I should prepare for.&lt;/user_input&gt;</v>
      </c>
      <c r="AL104" s="26">
        <f t="array" ref="AL104">index('Response Scoring'!$G:$G,match($A104,'Response Scoring'!$A:$A,0))</f>
        <v>4</v>
      </c>
      <c r="AM104" s="26">
        <f t="shared" si="16"/>
        <v>0.8</v>
      </c>
      <c r="AN104" s="26" t="str">
        <f>'Raw Data'!$T100</f>
        <v>I don't know</v>
      </c>
      <c r="AP104" s="28" t="str">
        <f>substitute('Prompt Template'!$D$2,$AN$5,$AO104)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104" s="26">
        <f t="array" ref="AQ104">index('Response Scoring'!$I:$I,match($A104,'Response Scoring'!$A:$A,0))</f>
        <v>0</v>
      </c>
      <c r="AR104" s="26">
        <f t="shared" si="17"/>
        <v>0</v>
      </c>
      <c r="AS104" s="30">
        <f t="shared" si="18"/>
        <v>4.3</v>
      </c>
      <c r="AT104" s="26">
        <f t="shared" si="19"/>
        <v>31.1</v>
      </c>
      <c r="AU104" s="26">
        <f t="shared" si="20"/>
        <v>62.2</v>
      </c>
      <c r="AV104" s="26" t="str">
        <f t="shared" si="21"/>
        <v>AI Practitioner</v>
      </c>
      <c r="AW104" s="26" t="str">
        <f>'Raw Data'!U100</f>
        <v/>
      </c>
      <c r="AX104" s="26" t="str">
        <f>'Raw Data'!V100</f>
        <v/>
      </c>
      <c r="AY104" s="26" t="str">
        <f>'Raw Data'!W100</f>
        <v/>
      </c>
      <c r="AZ104" s="26" t="str">
        <f>'Raw Data'!X100</f>
        <v/>
      </c>
      <c r="BA104" s="26" t="str">
        <f>'Raw Data'!Y100</f>
        <v/>
      </c>
      <c r="BB104" s="26" t="str">
        <f>'Raw Data'!Z100</f>
        <v/>
      </c>
      <c r="BW104" s="31" t="str">
        <f>'Raw Data'!C100</f>
        <v>Brand &amp; Creative</v>
      </c>
      <c r="BZ104" s="26" t="str">
        <f>'Raw Data'!F100</f>
        <v>Individual Contributor</v>
      </c>
      <c r="CA104" s="31" t="str">
        <f>'Raw Data'!AU100</f>
        <v>Taking time to practice new learnings (agents, automation...)</v>
      </c>
      <c r="CB104" s="31" t="str">
        <f>'Raw Data'!AV100</f>
        <v>none</v>
      </c>
      <c r="CC104" s="31" t="str">
        <f>'Raw Data'!AW100</f>
        <v>Strongly agree</v>
      </c>
    </row>
    <row r="105">
      <c r="F105" s="27"/>
      <c r="M105" s="28"/>
      <c r="O105" s="29"/>
      <c r="R105" s="28"/>
      <c r="T105" s="29"/>
      <c r="U105" s="29"/>
      <c r="AA105" s="29"/>
      <c r="AF105" s="30"/>
      <c r="AK105" s="28"/>
      <c r="AP105" s="28"/>
      <c r="AS105" s="30"/>
      <c r="BW105" s="31"/>
    </row>
    <row r="106">
      <c r="F106" s="27"/>
      <c r="M106" s="28"/>
      <c r="O106" s="29"/>
      <c r="R106" s="28"/>
      <c r="T106" s="29"/>
      <c r="U106" s="29"/>
      <c r="AA106" s="29"/>
      <c r="AF106" s="30"/>
      <c r="AK106" s="28"/>
      <c r="AP106" s="28"/>
      <c r="AS106" s="30"/>
      <c r="BW106" s="31"/>
    </row>
    <row r="107">
      <c r="F107" s="27"/>
      <c r="M107" s="28"/>
      <c r="O107" s="29"/>
      <c r="R107" s="28"/>
      <c r="T107" s="29"/>
      <c r="U107" s="29"/>
      <c r="AA107" s="29"/>
      <c r="AF107" s="30"/>
      <c r="AK107" s="28"/>
      <c r="AP107" s="28"/>
      <c r="AS107" s="30"/>
      <c r="BW107" s="31"/>
    </row>
  </sheetData>
  <mergeCells count="9">
    <mergeCell ref="BW1:BZ1"/>
    <mergeCell ref="CA1:CC1"/>
    <mergeCell ref="B1:N1"/>
    <mergeCell ref="V1:AE1"/>
    <mergeCell ref="AG1:AS1"/>
    <mergeCell ref="AT1:AV1"/>
    <mergeCell ref="AW1:AX1"/>
    <mergeCell ref="AY1:BB1"/>
    <mergeCell ref="BC1:BV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75"/>
    <col customWidth="1" min="4" max="4" width="55.5"/>
    <col customWidth="1" min="5" max="5" width="12.38"/>
    <col customWidth="1" min="6" max="6" width="53.63"/>
    <col customWidth="1" min="7" max="7" width="13.38"/>
    <col customWidth="1" min="8" max="8" width="38.13"/>
  </cols>
  <sheetData>
    <row r="1" ht="22.5" customHeight="1">
      <c r="A1" s="32" t="s">
        <v>421</v>
      </c>
      <c r="B1" s="32" t="s">
        <v>422</v>
      </c>
      <c r="C1" s="33" t="s">
        <v>423</v>
      </c>
      <c r="D1" s="32" t="s">
        <v>424</v>
      </c>
      <c r="E1" s="33" t="s">
        <v>425</v>
      </c>
      <c r="F1" s="32" t="s">
        <v>426</v>
      </c>
      <c r="G1" s="33" t="s">
        <v>427</v>
      </c>
      <c r="H1" s="34" t="s">
        <v>428</v>
      </c>
      <c r="I1" s="35" t="s">
        <v>429</v>
      </c>
    </row>
    <row r="2" ht="15.75" customHeight="1">
      <c r="A2" s="36">
        <v>1.0</v>
      </c>
      <c r="B2" s="37" t="s">
        <v>430</v>
      </c>
      <c r="C2" s="38">
        <v>3.0</v>
      </c>
      <c r="D2" s="37" t="s">
        <v>431</v>
      </c>
      <c r="E2" s="38">
        <v>2.0</v>
      </c>
      <c r="F2" s="37" t="s">
        <v>432</v>
      </c>
      <c r="G2" s="38">
        <v>5.0</v>
      </c>
      <c r="H2" s="39" t="s">
        <v>433</v>
      </c>
      <c r="I2" s="38">
        <v>5.0</v>
      </c>
    </row>
    <row r="3" ht="15.75" customHeight="1">
      <c r="A3" s="36">
        <v>2.0</v>
      </c>
      <c r="B3" s="37" t="s">
        <v>434</v>
      </c>
      <c r="C3" s="38">
        <v>1.0</v>
      </c>
      <c r="D3" s="37" t="s">
        <v>435</v>
      </c>
      <c r="E3" s="38">
        <v>2.0</v>
      </c>
      <c r="F3" s="37" t="s">
        <v>436</v>
      </c>
      <c r="G3" s="38">
        <v>4.0</v>
      </c>
      <c r="H3" s="40" t="s">
        <v>437</v>
      </c>
      <c r="I3" s="38">
        <v>1.0</v>
      </c>
    </row>
    <row r="4" ht="15.75" customHeight="1">
      <c r="A4" s="36">
        <v>3.0</v>
      </c>
      <c r="B4" s="37" t="s">
        <v>438</v>
      </c>
      <c r="C4" s="38">
        <v>2.0</v>
      </c>
      <c r="D4" s="37" t="s">
        <v>439</v>
      </c>
      <c r="E4" s="38">
        <v>2.0</v>
      </c>
      <c r="F4" s="37" t="s">
        <v>440</v>
      </c>
      <c r="G4" s="38">
        <v>2.0</v>
      </c>
      <c r="H4" s="39" t="s">
        <v>441</v>
      </c>
      <c r="I4" s="38">
        <v>5.0</v>
      </c>
    </row>
    <row r="5" ht="15.75" customHeight="1">
      <c r="A5" s="36">
        <v>4.0</v>
      </c>
      <c r="B5" s="37" t="s">
        <v>442</v>
      </c>
      <c r="C5" s="38">
        <v>3.0</v>
      </c>
      <c r="D5" s="37" t="s">
        <v>443</v>
      </c>
      <c r="E5" s="38">
        <v>1.0</v>
      </c>
      <c r="F5" s="37" t="s">
        <v>444</v>
      </c>
      <c r="G5" s="38">
        <v>4.0</v>
      </c>
      <c r="H5" s="40" t="s">
        <v>445</v>
      </c>
      <c r="I5" s="38">
        <v>2.0</v>
      </c>
    </row>
    <row r="6" ht="15.75" customHeight="1">
      <c r="A6" s="36">
        <v>5.0</v>
      </c>
      <c r="B6" s="37" t="s">
        <v>446</v>
      </c>
      <c r="C6" s="38">
        <v>3.0</v>
      </c>
      <c r="D6" s="37" t="s">
        <v>447</v>
      </c>
      <c r="E6" s="38">
        <v>2.0</v>
      </c>
      <c r="F6" s="37" t="s">
        <v>448</v>
      </c>
      <c r="G6" s="38">
        <v>5.0</v>
      </c>
      <c r="H6" s="39" t="s">
        <v>449</v>
      </c>
      <c r="I6" s="38">
        <v>5.0</v>
      </c>
    </row>
    <row r="7" ht="15.75" customHeight="1">
      <c r="A7" s="36">
        <v>6.0</v>
      </c>
      <c r="B7" s="37" t="s">
        <v>450</v>
      </c>
      <c r="C7" s="38">
        <v>2.0</v>
      </c>
      <c r="D7" s="37" t="s">
        <v>451</v>
      </c>
      <c r="E7" s="38">
        <v>1.0</v>
      </c>
      <c r="F7" s="37" t="s">
        <v>452</v>
      </c>
      <c r="G7" s="38">
        <v>4.0</v>
      </c>
      <c r="H7" s="40" t="s">
        <v>453</v>
      </c>
      <c r="I7" s="38">
        <v>3.0</v>
      </c>
    </row>
    <row r="8" ht="15.75" customHeight="1">
      <c r="A8" s="36">
        <v>7.0</v>
      </c>
      <c r="B8" s="37" t="s">
        <v>454</v>
      </c>
      <c r="C8" s="38">
        <v>3.0</v>
      </c>
      <c r="D8" s="37" t="s">
        <v>455</v>
      </c>
      <c r="E8" s="38">
        <v>2.0</v>
      </c>
      <c r="F8" s="37" t="s">
        <v>456</v>
      </c>
      <c r="G8" s="38">
        <v>5.0</v>
      </c>
      <c r="H8" s="39" t="s">
        <v>457</v>
      </c>
      <c r="I8" s="38">
        <v>5.0</v>
      </c>
    </row>
    <row r="9" ht="15.75" customHeight="1">
      <c r="A9" s="36">
        <v>8.0</v>
      </c>
      <c r="B9" s="37" t="s">
        <v>458</v>
      </c>
      <c r="C9" s="38">
        <v>2.0</v>
      </c>
      <c r="D9" s="37" t="s">
        <v>459</v>
      </c>
      <c r="E9" s="38">
        <v>1.0</v>
      </c>
      <c r="F9" s="37" t="s">
        <v>460</v>
      </c>
      <c r="G9" s="38">
        <v>2.0</v>
      </c>
      <c r="H9" s="40" t="s">
        <v>461</v>
      </c>
      <c r="I9" s="38">
        <v>2.0</v>
      </c>
    </row>
    <row r="10" ht="15.75" customHeight="1">
      <c r="A10" s="36">
        <v>9.0</v>
      </c>
      <c r="B10" s="37" t="s">
        <v>462</v>
      </c>
      <c r="C10" s="38">
        <v>1.0</v>
      </c>
      <c r="D10" s="37" t="s">
        <v>463</v>
      </c>
      <c r="E10" s="38">
        <v>1.0</v>
      </c>
      <c r="F10" s="37" t="s">
        <v>464</v>
      </c>
      <c r="G10" s="38">
        <v>0.0</v>
      </c>
      <c r="H10" s="39" t="s">
        <v>465</v>
      </c>
      <c r="I10" s="38">
        <v>0.0</v>
      </c>
    </row>
    <row r="11" ht="15.75" customHeight="1">
      <c r="A11" s="36">
        <v>10.0</v>
      </c>
      <c r="B11" s="37" t="s">
        <v>466</v>
      </c>
      <c r="C11" s="38">
        <v>1.0</v>
      </c>
      <c r="D11" s="37" t="s">
        <v>467</v>
      </c>
      <c r="E11" s="38">
        <v>1.0</v>
      </c>
      <c r="F11" s="37" t="s">
        <v>468</v>
      </c>
      <c r="G11" s="38">
        <v>4.0</v>
      </c>
      <c r="H11" s="40" t="s">
        <v>469</v>
      </c>
      <c r="I11" s="38">
        <v>5.0</v>
      </c>
    </row>
    <row r="12" ht="15.75" customHeight="1">
      <c r="A12" s="36">
        <v>11.0</v>
      </c>
      <c r="B12" s="37" t="s">
        <v>470</v>
      </c>
      <c r="C12" s="38">
        <v>1.0</v>
      </c>
      <c r="D12" s="37" t="s">
        <v>471</v>
      </c>
      <c r="E12" s="38">
        <v>1.0</v>
      </c>
      <c r="F12" s="37" t="s">
        <v>472</v>
      </c>
      <c r="G12" s="38">
        <v>2.0</v>
      </c>
      <c r="H12" s="39" t="s">
        <v>473</v>
      </c>
      <c r="I12" s="38">
        <v>0.0</v>
      </c>
    </row>
    <row r="13" ht="15.75" customHeight="1">
      <c r="A13" s="36">
        <v>12.0</v>
      </c>
      <c r="B13" s="37" t="s">
        <v>474</v>
      </c>
      <c r="C13" s="38">
        <v>2.0</v>
      </c>
      <c r="D13" s="37" t="s">
        <v>475</v>
      </c>
      <c r="E13" s="38">
        <v>2.0</v>
      </c>
      <c r="F13" s="37" t="s">
        <v>476</v>
      </c>
      <c r="G13" s="38">
        <v>4.0</v>
      </c>
      <c r="H13" s="40" t="s">
        <v>477</v>
      </c>
      <c r="I13" s="38">
        <v>1.0</v>
      </c>
    </row>
    <row r="14" ht="15.75" customHeight="1">
      <c r="A14" s="36">
        <v>13.0</v>
      </c>
      <c r="B14" s="37" t="s">
        <v>478</v>
      </c>
      <c r="C14" s="38">
        <v>1.0</v>
      </c>
      <c r="D14" s="37" t="s">
        <v>479</v>
      </c>
      <c r="E14" s="38">
        <v>1.0</v>
      </c>
      <c r="F14" s="37" t="s">
        <v>480</v>
      </c>
      <c r="G14" s="38">
        <v>4.0</v>
      </c>
      <c r="H14" s="39" t="s">
        <v>481</v>
      </c>
      <c r="I14" s="38">
        <v>0.0</v>
      </c>
    </row>
    <row r="15" ht="15.75" customHeight="1">
      <c r="A15" s="36">
        <v>14.0</v>
      </c>
      <c r="B15" s="37" t="s">
        <v>482</v>
      </c>
      <c r="C15" s="38">
        <v>3.0</v>
      </c>
      <c r="D15" s="37" t="s">
        <v>483</v>
      </c>
      <c r="E15" s="38">
        <v>1.0</v>
      </c>
      <c r="F15" s="37" t="s">
        <v>484</v>
      </c>
      <c r="G15" s="38">
        <v>4.0</v>
      </c>
      <c r="H15" s="40" t="s">
        <v>485</v>
      </c>
      <c r="I15" s="38">
        <v>0.0</v>
      </c>
    </row>
    <row r="16" ht="15.75" customHeight="1">
      <c r="A16" s="36">
        <v>15.0</v>
      </c>
      <c r="B16" s="37" t="s">
        <v>486</v>
      </c>
      <c r="C16" s="38">
        <v>2.0</v>
      </c>
      <c r="D16" s="37" t="s">
        <v>487</v>
      </c>
      <c r="E16" s="38">
        <v>1.0</v>
      </c>
      <c r="F16" s="37" t="s">
        <v>488</v>
      </c>
      <c r="G16" s="38">
        <v>4.0</v>
      </c>
      <c r="H16" s="39" t="s">
        <v>489</v>
      </c>
      <c r="I16" s="38">
        <v>3.0</v>
      </c>
    </row>
    <row r="17" ht="15.75" customHeight="1">
      <c r="A17" s="36">
        <v>16.0</v>
      </c>
      <c r="B17" s="37" t="s">
        <v>490</v>
      </c>
      <c r="C17" s="38">
        <v>3.0</v>
      </c>
      <c r="D17" s="37" t="s">
        <v>491</v>
      </c>
      <c r="E17" s="38">
        <v>3.0</v>
      </c>
      <c r="F17" s="37" t="s">
        <v>492</v>
      </c>
      <c r="G17" s="38">
        <v>4.0</v>
      </c>
      <c r="H17" s="40" t="s">
        <v>493</v>
      </c>
      <c r="I17" s="38">
        <v>3.0</v>
      </c>
    </row>
    <row r="18" ht="15.75" customHeight="1">
      <c r="A18" s="36">
        <v>17.0</v>
      </c>
      <c r="B18" s="37" t="s">
        <v>494</v>
      </c>
      <c r="C18" s="38">
        <v>1.0</v>
      </c>
      <c r="D18" s="37" t="s">
        <v>495</v>
      </c>
      <c r="E18" s="38">
        <v>2.0</v>
      </c>
      <c r="F18" s="37" t="s">
        <v>496</v>
      </c>
      <c r="G18" s="38">
        <v>2.0</v>
      </c>
      <c r="H18" s="39" t="s">
        <v>497</v>
      </c>
      <c r="I18" s="38">
        <v>1.0</v>
      </c>
    </row>
    <row r="19" ht="15.75" customHeight="1">
      <c r="A19" s="36">
        <v>18.0</v>
      </c>
      <c r="B19" s="37" t="s">
        <v>498</v>
      </c>
      <c r="C19" s="38">
        <v>3.0</v>
      </c>
      <c r="D19" s="37" t="s">
        <v>499</v>
      </c>
      <c r="E19" s="38">
        <v>1.0</v>
      </c>
      <c r="F19" s="37" t="s">
        <v>500</v>
      </c>
      <c r="G19" s="38">
        <v>4.0</v>
      </c>
      <c r="H19" s="40" t="s">
        <v>501</v>
      </c>
      <c r="I19" s="38">
        <v>3.0</v>
      </c>
    </row>
    <row r="20" ht="15.75" customHeight="1">
      <c r="A20" s="36">
        <v>19.0</v>
      </c>
      <c r="B20" s="37" t="s">
        <v>502</v>
      </c>
      <c r="C20" s="38">
        <v>3.0</v>
      </c>
      <c r="D20" s="37" t="s">
        <v>503</v>
      </c>
      <c r="E20" s="38">
        <v>2.0</v>
      </c>
      <c r="F20" s="37" t="s">
        <v>504</v>
      </c>
      <c r="G20" s="38">
        <v>5.0</v>
      </c>
      <c r="H20" s="39" t="s">
        <v>505</v>
      </c>
      <c r="I20" s="38">
        <v>5.0</v>
      </c>
    </row>
    <row r="21" ht="15.75" customHeight="1">
      <c r="A21" s="36">
        <v>20.0</v>
      </c>
      <c r="B21" s="37" t="s">
        <v>506</v>
      </c>
      <c r="C21" s="38">
        <v>2.0</v>
      </c>
      <c r="D21" s="37" t="s">
        <v>507</v>
      </c>
      <c r="E21" s="38">
        <v>2.0</v>
      </c>
      <c r="F21" s="37" t="s">
        <v>508</v>
      </c>
      <c r="G21" s="38">
        <v>4.0</v>
      </c>
      <c r="H21" s="40" t="s">
        <v>509</v>
      </c>
      <c r="I21" s="38">
        <v>5.0</v>
      </c>
    </row>
    <row r="22" ht="15.75" customHeight="1">
      <c r="A22" s="36">
        <v>21.0</v>
      </c>
      <c r="B22" s="37" t="s">
        <v>510</v>
      </c>
      <c r="C22" s="38">
        <v>2.0</v>
      </c>
      <c r="D22" s="37" t="s">
        <v>511</v>
      </c>
      <c r="E22" s="38">
        <v>2.0</v>
      </c>
      <c r="F22" s="37" t="s">
        <v>512</v>
      </c>
      <c r="G22" s="38">
        <v>4.0</v>
      </c>
      <c r="H22" s="39" t="s">
        <v>513</v>
      </c>
      <c r="I22" s="38">
        <v>3.0</v>
      </c>
    </row>
    <row r="23" ht="15.75" customHeight="1">
      <c r="A23" s="36">
        <v>22.0</v>
      </c>
      <c r="B23" s="37" t="s">
        <v>514</v>
      </c>
      <c r="C23" s="38">
        <v>3.0</v>
      </c>
      <c r="D23" s="37" t="s">
        <v>515</v>
      </c>
      <c r="E23" s="38">
        <v>2.0</v>
      </c>
      <c r="F23" s="37" t="s">
        <v>516</v>
      </c>
      <c r="G23" s="38">
        <v>4.0</v>
      </c>
      <c r="H23" s="40" t="s">
        <v>517</v>
      </c>
      <c r="I23" s="38">
        <v>0.0</v>
      </c>
    </row>
    <row r="24" ht="15.75" customHeight="1">
      <c r="A24" s="36">
        <v>23.0</v>
      </c>
      <c r="B24" s="37" t="s">
        <v>518</v>
      </c>
      <c r="C24" s="38">
        <v>3.0</v>
      </c>
      <c r="D24" s="37" t="s">
        <v>519</v>
      </c>
      <c r="E24" s="38">
        <v>1.0</v>
      </c>
      <c r="F24" s="37" t="s">
        <v>520</v>
      </c>
      <c r="G24" s="38">
        <v>4.0</v>
      </c>
      <c r="H24" s="39" t="s">
        <v>521</v>
      </c>
      <c r="I24" s="38">
        <v>0.0</v>
      </c>
    </row>
    <row r="25" ht="15.75" customHeight="1">
      <c r="A25" s="36">
        <v>24.0</v>
      </c>
      <c r="B25" s="37" t="s">
        <v>522</v>
      </c>
      <c r="C25" s="38">
        <v>1.0</v>
      </c>
      <c r="D25" s="37" t="s">
        <v>523</v>
      </c>
      <c r="E25" s="38">
        <v>2.0</v>
      </c>
      <c r="F25" s="37" t="s">
        <v>524</v>
      </c>
      <c r="G25" s="38">
        <v>2.0</v>
      </c>
      <c r="H25" s="40" t="s">
        <v>465</v>
      </c>
      <c r="I25" s="38">
        <v>0.0</v>
      </c>
    </row>
    <row r="26" ht="15.75" customHeight="1">
      <c r="A26" s="36">
        <v>25.0</v>
      </c>
      <c r="B26" s="37" t="s">
        <v>525</v>
      </c>
      <c r="C26" s="38">
        <v>3.0</v>
      </c>
      <c r="D26" s="37" t="s">
        <v>526</v>
      </c>
      <c r="E26" s="38">
        <v>3.0</v>
      </c>
      <c r="F26" s="37" t="s">
        <v>527</v>
      </c>
      <c r="G26" s="38">
        <v>5.0</v>
      </c>
      <c r="H26" s="39" t="s">
        <v>528</v>
      </c>
      <c r="I26" s="38">
        <v>5.0</v>
      </c>
    </row>
    <row r="27" ht="15.75" customHeight="1">
      <c r="A27" s="36">
        <v>26.0</v>
      </c>
      <c r="B27" s="37" t="s">
        <v>529</v>
      </c>
      <c r="C27" s="38">
        <v>3.0</v>
      </c>
      <c r="D27" s="37" t="s">
        <v>530</v>
      </c>
      <c r="E27" s="38">
        <v>2.0</v>
      </c>
      <c r="F27" s="37" t="s">
        <v>531</v>
      </c>
      <c r="G27" s="38">
        <v>4.0</v>
      </c>
      <c r="H27" s="40" t="s">
        <v>532</v>
      </c>
      <c r="I27" s="38">
        <v>2.0</v>
      </c>
    </row>
    <row r="28" ht="15.75" customHeight="1">
      <c r="A28" s="36">
        <v>27.0</v>
      </c>
      <c r="B28" s="37" t="s">
        <v>533</v>
      </c>
      <c r="C28" s="38">
        <v>3.0</v>
      </c>
      <c r="D28" s="37" t="s">
        <v>534</v>
      </c>
      <c r="E28" s="38">
        <v>2.0</v>
      </c>
      <c r="F28" s="37" t="s">
        <v>535</v>
      </c>
      <c r="G28" s="38">
        <v>4.0</v>
      </c>
      <c r="H28" s="39" t="s">
        <v>536</v>
      </c>
      <c r="I28" s="38">
        <v>1.0</v>
      </c>
    </row>
    <row r="29" ht="15.75" customHeight="1">
      <c r="A29" s="36">
        <v>28.0</v>
      </c>
      <c r="B29" s="37" t="s">
        <v>537</v>
      </c>
      <c r="C29" s="38">
        <v>2.0</v>
      </c>
      <c r="D29" s="37" t="s">
        <v>538</v>
      </c>
      <c r="E29" s="38">
        <v>1.0</v>
      </c>
      <c r="F29" s="37" t="s">
        <v>539</v>
      </c>
      <c r="G29" s="38">
        <v>4.0</v>
      </c>
      <c r="H29" s="40" t="s">
        <v>540</v>
      </c>
      <c r="I29" s="38">
        <v>0.0</v>
      </c>
    </row>
    <row r="30" ht="15.75" customHeight="1">
      <c r="A30" s="36">
        <v>29.0</v>
      </c>
      <c r="B30" s="37" t="s">
        <v>541</v>
      </c>
      <c r="C30" s="38">
        <v>2.0</v>
      </c>
      <c r="D30" s="37" t="s">
        <v>542</v>
      </c>
      <c r="E30" s="38">
        <v>2.0</v>
      </c>
      <c r="F30" s="37" t="s">
        <v>543</v>
      </c>
      <c r="G30" s="38">
        <v>3.0</v>
      </c>
      <c r="H30" s="39" t="s">
        <v>544</v>
      </c>
      <c r="I30" s="38">
        <v>2.0</v>
      </c>
    </row>
    <row r="31" ht="15.75" customHeight="1">
      <c r="A31" s="36">
        <v>30.0</v>
      </c>
      <c r="B31" s="37" t="s">
        <v>545</v>
      </c>
      <c r="C31" s="38">
        <v>3.0</v>
      </c>
      <c r="D31" s="37" t="s">
        <v>546</v>
      </c>
      <c r="E31" s="38">
        <v>2.0</v>
      </c>
      <c r="F31" s="37" t="s">
        <v>547</v>
      </c>
      <c r="G31" s="38">
        <v>4.0</v>
      </c>
      <c r="H31" s="40" t="s">
        <v>548</v>
      </c>
      <c r="I31" s="38">
        <v>0.0</v>
      </c>
    </row>
    <row r="32" ht="15.75" customHeight="1">
      <c r="A32" s="36">
        <v>31.0</v>
      </c>
      <c r="B32" s="37" t="s">
        <v>549</v>
      </c>
      <c r="C32" s="38">
        <v>3.0</v>
      </c>
      <c r="D32" s="37" t="s">
        <v>550</v>
      </c>
      <c r="E32" s="38">
        <v>3.0</v>
      </c>
      <c r="F32" s="37" t="s">
        <v>551</v>
      </c>
      <c r="G32" s="38">
        <v>5.0</v>
      </c>
      <c r="H32" s="39" t="s">
        <v>552</v>
      </c>
      <c r="I32" s="38">
        <v>5.0</v>
      </c>
    </row>
    <row r="33" ht="15.75" customHeight="1">
      <c r="A33" s="36">
        <v>32.0</v>
      </c>
      <c r="B33" s="37" t="s">
        <v>553</v>
      </c>
      <c r="C33" s="38">
        <v>2.0</v>
      </c>
      <c r="D33" s="37" t="s">
        <v>554</v>
      </c>
      <c r="E33" s="38">
        <v>1.0</v>
      </c>
      <c r="F33" s="37" t="s">
        <v>555</v>
      </c>
      <c r="G33" s="38">
        <v>2.0</v>
      </c>
      <c r="H33" s="40" t="s">
        <v>556</v>
      </c>
      <c r="I33" s="38">
        <v>0.0</v>
      </c>
    </row>
    <row r="34" ht="15.75" customHeight="1">
      <c r="A34" s="36">
        <v>33.0</v>
      </c>
      <c r="B34" s="37" t="s">
        <v>557</v>
      </c>
      <c r="C34" s="38">
        <v>1.0</v>
      </c>
      <c r="D34" s="37" t="s">
        <v>558</v>
      </c>
      <c r="E34" s="38">
        <v>1.0</v>
      </c>
      <c r="F34" s="37" t="s">
        <v>559</v>
      </c>
      <c r="G34" s="38">
        <v>2.0</v>
      </c>
      <c r="H34" s="39" t="s">
        <v>465</v>
      </c>
      <c r="I34" s="38">
        <v>0.0</v>
      </c>
    </row>
    <row r="35" ht="15.75" customHeight="1">
      <c r="A35" s="36">
        <v>34.0</v>
      </c>
      <c r="B35" s="37" t="s">
        <v>560</v>
      </c>
      <c r="C35" s="38">
        <v>1.0</v>
      </c>
      <c r="D35" s="37" t="s">
        <v>561</v>
      </c>
      <c r="E35" s="38">
        <v>3.0</v>
      </c>
      <c r="F35" s="37" t="s">
        <v>562</v>
      </c>
      <c r="G35" s="38">
        <v>3.0</v>
      </c>
      <c r="H35" s="40" t="s">
        <v>563</v>
      </c>
      <c r="I35" s="38">
        <v>0.0</v>
      </c>
    </row>
    <row r="36" ht="15.75" customHeight="1">
      <c r="A36" s="36">
        <v>35.0</v>
      </c>
      <c r="B36" s="37" t="s">
        <v>564</v>
      </c>
      <c r="C36" s="38">
        <v>2.0</v>
      </c>
      <c r="D36" s="37" t="s">
        <v>565</v>
      </c>
      <c r="E36" s="38">
        <v>1.0</v>
      </c>
      <c r="F36" s="37" t="s">
        <v>566</v>
      </c>
      <c r="G36" s="38">
        <v>2.0</v>
      </c>
      <c r="H36" s="39" t="s">
        <v>465</v>
      </c>
      <c r="I36" s="38">
        <v>0.0</v>
      </c>
    </row>
    <row r="37" ht="15.75" customHeight="1">
      <c r="A37" s="36">
        <v>36.0</v>
      </c>
      <c r="B37" s="37" t="s">
        <v>567</v>
      </c>
      <c r="C37" s="38">
        <v>2.0</v>
      </c>
      <c r="D37" s="37" t="s">
        <v>568</v>
      </c>
      <c r="E37" s="38">
        <v>2.0</v>
      </c>
      <c r="F37" s="37" t="s">
        <v>569</v>
      </c>
      <c r="G37" s="38">
        <v>3.0</v>
      </c>
      <c r="H37" s="40" t="s">
        <v>570</v>
      </c>
      <c r="I37" s="38">
        <v>5.0</v>
      </c>
    </row>
    <row r="38" ht="15.75" customHeight="1">
      <c r="A38" s="36">
        <v>37.0</v>
      </c>
      <c r="B38" s="37" t="s">
        <v>571</v>
      </c>
      <c r="C38" s="38">
        <v>1.0</v>
      </c>
      <c r="D38" s="37" t="s">
        <v>572</v>
      </c>
      <c r="E38" s="38">
        <v>2.0</v>
      </c>
      <c r="F38" s="37" t="s">
        <v>573</v>
      </c>
      <c r="G38" s="38">
        <v>0.0</v>
      </c>
      <c r="H38" s="39" t="s">
        <v>574</v>
      </c>
      <c r="I38" s="38">
        <v>2.0</v>
      </c>
    </row>
    <row r="39" ht="15.75" customHeight="1">
      <c r="A39" s="36">
        <v>38.0</v>
      </c>
      <c r="B39" s="37" t="s">
        <v>575</v>
      </c>
      <c r="C39" s="38">
        <v>2.0</v>
      </c>
      <c r="D39" s="37" t="s">
        <v>576</v>
      </c>
      <c r="E39" s="38">
        <v>2.0</v>
      </c>
      <c r="F39" s="37" t="s">
        <v>577</v>
      </c>
      <c r="G39" s="38">
        <v>4.0</v>
      </c>
      <c r="H39" s="40" t="s">
        <v>578</v>
      </c>
      <c r="I39" s="38">
        <v>5.0</v>
      </c>
    </row>
    <row r="40" ht="15.75" customHeight="1">
      <c r="A40" s="36">
        <v>39.0</v>
      </c>
      <c r="B40" s="37" t="s">
        <v>579</v>
      </c>
      <c r="C40" s="38">
        <v>2.0</v>
      </c>
      <c r="D40" s="37" t="s">
        <v>580</v>
      </c>
      <c r="E40" s="38">
        <v>3.0</v>
      </c>
      <c r="F40" s="37" t="s">
        <v>581</v>
      </c>
      <c r="G40" s="38">
        <v>3.0</v>
      </c>
      <c r="H40" s="39" t="s">
        <v>582</v>
      </c>
      <c r="I40" s="38">
        <v>4.0</v>
      </c>
    </row>
    <row r="41" ht="15.75" customHeight="1">
      <c r="A41" s="36">
        <v>40.0</v>
      </c>
      <c r="B41" s="37" t="s">
        <v>583</v>
      </c>
      <c r="C41" s="38">
        <v>3.0</v>
      </c>
      <c r="D41" s="37" t="s">
        <v>584</v>
      </c>
      <c r="E41" s="38">
        <v>2.0</v>
      </c>
      <c r="F41" s="37" t="s">
        <v>585</v>
      </c>
      <c r="G41" s="38">
        <v>4.0</v>
      </c>
      <c r="H41" s="40" t="s">
        <v>586</v>
      </c>
      <c r="I41" s="38">
        <v>2.0</v>
      </c>
    </row>
    <row r="42" ht="15.75" customHeight="1">
      <c r="A42" s="36">
        <v>41.0</v>
      </c>
      <c r="B42" s="37" t="s">
        <v>587</v>
      </c>
      <c r="C42" s="38">
        <v>2.0</v>
      </c>
      <c r="D42" s="37" t="s">
        <v>588</v>
      </c>
      <c r="E42" s="38">
        <v>2.0</v>
      </c>
      <c r="F42" s="37" t="s">
        <v>589</v>
      </c>
      <c r="G42" s="38">
        <v>2.0</v>
      </c>
      <c r="H42" s="39" t="s">
        <v>590</v>
      </c>
      <c r="I42" s="38">
        <v>3.0</v>
      </c>
    </row>
    <row r="43" ht="15.75" customHeight="1">
      <c r="A43" s="36">
        <v>42.0</v>
      </c>
      <c r="B43" s="37" t="s">
        <v>591</v>
      </c>
      <c r="C43" s="38">
        <v>2.0</v>
      </c>
      <c r="D43" s="37" t="s">
        <v>592</v>
      </c>
      <c r="E43" s="38">
        <v>1.0</v>
      </c>
      <c r="F43" s="37" t="s">
        <v>593</v>
      </c>
      <c r="G43" s="38">
        <v>2.0</v>
      </c>
      <c r="H43" s="40" t="s">
        <v>594</v>
      </c>
      <c r="I43" s="38">
        <v>0.0</v>
      </c>
    </row>
    <row r="44" ht="15.75" customHeight="1">
      <c r="A44" s="36">
        <v>43.0</v>
      </c>
      <c r="B44" s="37" t="s">
        <v>595</v>
      </c>
      <c r="C44" s="38">
        <v>2.0</v>
      </c>
      <c r="D44" s="37" t="s">
        <v>596</v>
      </c>
      <c r="E44" s="38">
        <v>2.0</v>
      </c>
      <c r="F44" s="37" t="s">
        <v>597</v>
      </c>
      <c r="G44" s="38">
        <v>2.0</v>
      </c>
      <c r="H44" s="39" t="s">
        <v>598</v>
      </c>
      <c r="I44" s="38">
        <v>0.0</v>
      </c>
    </row>
    <row r="45" ht="15.75" customHeight="1">
      <c r="A45" s="36">
        <v>44.0</v>
      </c>
      <c r="B45" s="37" t="s">
        <v>599</v>
      </c>
      <c r="C45" s="38">
        <v>2.0</v>
      </c>
      <c r="D45" s="37" t="s">
        <v>600</v>
      </c>
      <c r="E45" s="38">
        <v>2.0</v>
      </c>
      <c r="F45" s="37" t="s">
        <v>601</v>
      </c>
      <c r="G45" s="38">
        <v>2.0</v>
      </c>
      <c r="H45" s="40" t="s">
        <v>602</v>
      </c>
      <c r="I45" s="38">
        <v>1.0</v>
      </c>
    </row>
    <row r="46" ht="15.75" customHeight="1">
      <c r="A46" s="36">
        <v>45.0</v>
      </c>
      <c r="B46" s="37" t="s">
        <v>603</v>
      </c>
      <c r="C46" s="38">
        <v>2.0</v>
      </c>
      <c r="D46" s="37" t="s">
        <v>604</v>
      </c>
      <c r="E46" s="38">
        <v>3.0</v>
      </c>
      <c r="F46" s="37" t="s">
        <v>605</v>
      </c>
      <c r="G46" s="38">
        <v>2.0</v>
      </c>
      <c r="H46" s="39" t="s">
        <v>465</v>
      </c>
      <c r="I46" s="38">
        <v>0.0</v>
      </c>
    </row>
    <row r="47" ht="15.75" customHeight="1">
      <c r="A47" s="36">
        <v>46.0</v>
      </c>
      <c r="B47" s="37" t="s">
        <v>606</v>
      </c>
      <c r="C47" s="38">
        <v>3.0</v>
      </c>
      <c r="D47" s="37" t="s">
        <v>607</v>
      </c>
      <c r="E47" s="38">
        <v>3.0</v>
      </c>
      <c r="F47" s="37" t="s">
        <v>608</v>
      </c>
      <c r="G47" s="38">
        <v>4.0</v>
      </c>
      <c r="H47" s="40" t="s">
        <v>609</v>
      </c>
      <c r="I47" s="38">
        <v>0.0</v>
      </c>
    </row>
    <row r="48" ht="15.75" customHeight="1">
      <c r="A48" s="36">
        <v>47.0</v>
      </c>
      <c r="B48" s="37" t="s">
        <v>610</v>
      </c>
      <c r="C48" s="38">
        <v>2.0</v>
      </c>
      <c r="D48" s="37" t="s">
        <v>611</v>
      </c>
      <c r="E48" s="38">
        <v>1.0</v>
      </c>
      <c r="F48" s="37" t="s">
        <v>612</v>
      </c>
      <c r="G48" s="38">
        <v>2.0</v>
      </c>
      <c r="H48" s="39" t="s">
        <v>613</v>
      </c>
      <c r="I48" s="38">
        <v>4.0</v>
      </c>
    </row>
    <row r="49" ht="15.75" customHeight="1">
      <c r="A49" s="36">
        <v>48.0</v>
      </c>
      <c r="B49" s="37" t="s">
        <v>614</v>
      </c>
      <c r="C49" s="38">
        <v>3.0</v>
      </c>
      <c r="D49" s="37" t="s">
        <v>615</v>
      </c>
      <c r="E49" s="38">
        <v>2.0</v>
      </c>
      <c r="F49" s="37" t="s">
        <v>616</v>
      </c>
      <c r="G49" s="38">
        <v>3.0</v>
      </c>
      <c r="H49" s="40" t="s">
        <v>617</v>
      </c>
      <c r="I49" s="38">
        <v>5.0</v>
      </c>
    </row>
    <row r="50" ht="15.75" customHeight="1">
      <c r="A50" s="36">
        <v>49.0</v>
      </c>
      <c r="B50" s="37" t="s">
        <v>618</v>
      </c>
      <c r="C50" s="38">
        <v>3.0</v>
      </c>
      <c r="D50" s="37" t="s">
        <v>619</v>
      </c>
      <c r="E50" s="38">
        <v>2.0</v>
      </c>
      <c r="F50" s="37" t="s">
        <v>620</v>
      </c>
      <c r="G50" s="38">
        <v>5.0</v>
      </c>
      <c r="H50" s="39" t="s">
        <v>621</v>
      </c>
      <c r="I50" s="38">
        <v>5.0</v>
      </c>
    </row>
    <row r="51" ht="15.75" customHeight="1">
      <c r="A51" s="36">
        <v>50.0</v>
      </c>
      <c r="B51" s="37" t="s">
        <v>622</v>
      </c>
      <c r="C51" s="38">
        <v>1.0</v>
      </c>
      <c r="D51" s="37" t="s">
        <v>623</v>
      </c>
      <c r="E51" s="38">
        <v>2.0</v>
      </c>
      <c r="F51" s="37" t="s">
        <v>624</v>
      </c>
      <c r="G51" s="38">
        <v>4.0</v>
      </c>
      <c r="H51" s="40" t="s">
        <v>625</v>
      </c>
      <c r="I51" s="38">
        <v>5.0</v>
      </c>
    </row>
    <row r="52" ht="15.75" customHeight="1">
      <c r="A52" s="41">
        <v>51.0</v>
      </c>
      <c r="B52" s="42" t="s">
        <v>626</v>
      </c>
      <c r="C52" s="38">
        <v>3.0</v>
      </c>
      <c r="D52" s="42" t="s">
        <v>627</v>
      </c>
      <c r="E52" s="38">
        <v>2.0</v>
      </c>
      <c r="F52" s="37" t="s">
        <v>628</v>
      </c>
      <c r="G52" s="38">
        <v>0.0</v>
      </c>
      <c r="H52" s="43" t="s">
        <v>465</v>
      </c>
      <c r="I52" s="38">
        <v>0.0</v>
      </c>
    </row>
    <row r="53" ht="15.75" customHeight="1">
      <c r="A53" s="41">
        <v>52.0</v>
      </c>
      <c r="B53" s="42" t="s">
        <v>629</v>
      </c>
      <c r="C53" s="38">
        <v>3.0</v>
      </c>
      <c r="D53" s="42" t="s">
        <v>630</v>
      </c>
      <c r="E53" s="38">
        <v>3.0</v>
      </c>
      <c r="F53" s="37" t="s">
        <v>631</v>
      </c>
      <c r="G53" s="38">
        <v>5.0</v>
      </c>
      <c r="H53" s="44" t="s">
        <v>632</v>
      </c>
      <c r="I53" s="38">
        <v>5.0</v>
      </c>
    </row>
    <row r="54" ht="15.75" customHeight="1">
      <c r="A54" s="41">
        <v>53.0</v>
      </c>
      <c r="B54" s="42" t="s">
        <v>633</v>
      </c>
      <c r="C54" s="38">
        <v>1.0</v>
      </c>
      <c r="D54" s="42" t="s">
        <v>634</v>
      </c>
      <c r="E54" s="38">
        <v>1.0</v>
      </c>
      <c r="F54" s="37" t="s">
        <v>635</v>
      </c>
      <c r="G54" s="38">
        <v>4.0</v>
      </c>
      <c r="H54" s="43" t="s">
        <v>636</v>
      </c>
      <c r="I54" s="38">
        <v>5.0</v>
      </c>
    </row>
    <row r="55" ht="22.5" customHeight="1">
      <c r="A55" s="41">
        <v>54.0</v>
      </c>
      <c r="B55" s="42" t="s">
        <v>637</v>
      </c>
      <c r="C55" s="38">
        <v>2.0</v>
      </c>
      <c r="D55" s="42" t="s">
        <v>638</v>
      </c>
      <c r="E55" s="38">
        <v>1.0</v>
      </c>
      <c r="F55" s="37" t="s">
        <v>639</v>
      </c>
      <c r="G55" s="38">
        <v>4.0</v>
      </c>
      <c r="H55" s="44" t="s">
        <v>465</v>
      </c>
      <c r="I55" s="38">
        <v>0.0</v>
      </c>
    </row>
    <row r="56" ht="22.5" customHeight="1">
      <c r="A56" s="41">
        <v>55.0</v>
      </c>
      <c r="B56" s="42" t="s">
        <v>640</v>
      </c>
      <c r="C56" s="38">
        <v>3.0</v>
      </c>
      <c r="D56" s="42" t="s">
        <v>641</v>
      </c>
      <c r="E56" s="38">
        <v>2.0</v>
      </c>
      <c r="F56" s="37" t="s">
        <v>642</v>
      </c>
      <c r="G56" s="38">
        <v>4.0</v>
      </c>
      <c r="H56" s="43" t="s">
        <v>594</v>
      </c>
      <c r="I56" s="38">
        <v>0.0</v>
      </c>
    </row>
    <row r="57" ht="22.5" customHeight="1">
      <c r="A57" s="41">
        <v>56.0</v>
      </c>
      <c r="B57" s="42" t="s">
        <v>643</v>
      </c>
      <c r="C57" s="38">
        <v>1.0</v>
      </c>
      <c r="D57" s="42" t="s">
        <v>644</v>
      </c>
      <c r="E57" s="38">
        <v>1.0</v>
      </c>
      <c r="F57" s="37" t="s">
        <v>645</v>
      </c>
      <c r="G57" s="38">
        <v>4.0</v>
      </c>
      <c r="H57" s="44" t="s">
        <v>646</v>
      </c>
      <c r="I57" s="38">
        <v>0.0</v>
      </c>
    </row>
    <row r="58" ht="22.5" customHeight="1">
      <c r="A58" s="41">
        <v>57.0</v>
      </c>
      <c r="B58" s="42" t="s">
        <v>647</v>
      </c>
      <c r="C58" s="38">
        <v>3.0</v>
      </c>
      <c r="D58" s="42" t="s">
        <v>648</v>
      </c>
      <c r="E58" s="38">
        <v>2.0</v>
      </c>
      <c r="F58" s="37" t="s">
        <v>649</v>
      </c>
      <c r="G58" s="38">
        <v>2.0</v>
      </c>
      <c r="H58" s="43" t="s">
        <v>650</v>
      </c>
      <c r="I58" s="38">
        <v>5.0</v>
      </c>
    </row>
    <row r="59" ht="22.5" customHeight="1">
      <c r="A59" s="41">
        <v>58.0</v>
      </c>
      <c r="B59" s="42" t="s">
        <v>651</v>
      </c>
      <c r="C59" s="38">
        <v>3.0</v>
      </c>
      <c r="D59" s="42" t="s">
        <v>652</v>
      </c>
      <c r="E59" s="38">
        <v>2.0</v>
      </c>
      <c r="F59" s="37" t="s">
        <v>653</v>
      </c>
      <c r="G59" s="38">
        <v>3.0</v>
      </c>
      <c r="H59" s="44" t="s">
        <v>654</v>
      </c>
      <c r="I59" s="38">
        <v>5.0</v>
      </c>
    </row>
    <row r="60" ht="22.5" customHeight="1">
      <c r="A60" s="41">
        <v>59.0</v>
      </c>
      <c r="B60" s="42" t="s">
        <v>655</v>
      </c>
      <c r="C60" s="38">
        <v>3.0</v>
      </c>
      <c r="D60" s="42" t="s">
        <v>656</v>
      </c>
      <c r="E60" s="38">
        <v>2.0</v>
      </c>
      <c r="F60" s="37" t="s">
        <v>657</v>
      </c>
      <c r="G60" s="38">
        <v>4.0</v>
      </c>
      <c r="H60" s="43" t="s">
        <v>658</v>
      </c>
      <c r="I60" s="38">
        <v>3.0</v>
      </c>
    </row>
    <row r="61" ht="22.5" customHeight="1">
      <c r="A61" s="41">
        <v>60.0</v>
      </c>
      <c r="B61" s="42" t="s">
        <v>659</v>
      </c>
      <c r="C61" s="38">
        <v>2.0</v>
      </c>
      <c r="D61" s="42" t="s">
        <v>660</v>
      </c>
      <c r="E61" s="38">
        <v>3.0</v>
      </c>
      <c r="F61" s="37" t="s">
        <v>661</v>
      </c>
      <c r="G61" s="38">
        <v>4.0</v>
      </c>
      <c r="H61" s="44" t="s">
        <v>465</v>
      </c>
      <c r="I61" s="38">
        <v>0.0</v>
      </c>
    </row>
    <row r="62" ht="22.5" customHeight="1">
      <c r="A62" s="41">
        <v>61.0</v>
      </c>
      <c r="B62" s="42" t="s">
        <v>662</v>
      </c>
      <c r="C62" s="38">
        <v>3.0</v>
      </c>
      <c r="D62" s="42" t="s">
        <v>663</v>
      </c>
      <c r="E62" s="38">
        <v>3.0</v>
      </c>
      <c r="F62" s="37" t="s">
        <v>664</v>
      </c>
      <c r="G62" s="38">
        <v>5.0</v>
      </c>
      <c r="H62" s="43" t="s">
        <v>665</v>
      </c>
      <c r="I62" s="38">
        <v>5.0</v>
      </c>
    </row>
    <row r="63" ht="22.5" customHeight="1">
      <c r="A63" s="41">
        <v>62.0</v>
      </c>
      <c r="B63" s="42" t="s">
        <v>666</v>
      </c>
      <c r="C63" s="38">
        <v>1.0</v>
      </c>
      <c r="D63" s="42" t="s">
        <v>667</v>
      </c>
      <c r="E63" s="38">
        <v>2.0</v>
      </c>
      <c r="F63" s="37" t="s">
        <v>668</v>
      </c>
      <c r="G63" s="38">
        <v>4.0</v>
      </c>
      <c r="H63" s="44" t="s">
        <v>669</v>
      </c>
      <c r="I63" s="38">
        <v>5.0</v>
      </c>
    </row>
    <row r="64" ht="22.5" customHeight="1">
      <c r="A64" s="41">
        <v>63.0</v>
      </c>
      <c r="B64" s="42" t="s">
        <v>670</v>
      </c>
      <c r="C64" s="38">
        <v>1.0</v>
      </c>
      <c r="D64" s="42" t="s">
        <v>671</v>
      </c>
      <c r="E64" s="38">
        <v>1.0</v>
      </c>
      <c r="F64" s="37" t="s">
        <v>672</v>
      </c>
      <c r="G64" s="38">
        <v>2.0</v>
      </c>
      <c r="H64" s="43" t="s">
        <v>673</v>
      </c>
      <c r="I64" s="38">
        <v>2.0</v>
      </c>
    </row>
    <row r="65" ht="22.5" customHeight="1">
      <c r="A65" s="41">
        <v>64.0</v>
      </c>
      <c r="B65" s="42" t="s">
        <v>674</v>
      </c>
      <c r="C65" s="38">
        <v>3.0</v>
      </c>
      <c r="D65" s="42" t="s">
        <v>675</v>
      </c>
      <c r="E65" s="38">
        <v>1.0</v>
      </c>
      <c r="F65" s="37" t="s">
        <v>676</v>
      </c>
      <c r="G65" s="38">
        <v>4.0</v>
      </c>
      <c r="H65" s="44" t="s">
        <v>677</v>
      </c>
      <c r="I65" s="38">
        <v>0.0</v>
      </c>
    </row>
    <row r="66" ht="22.5" customHeight="1">
      <c r="A66" s="41">
        <v>65.0</v>
      </c>
      <c r="B66" s="42" t="s">
        <v>678</v>
      </c>
      <c r="C66" s="38">
        <v>3.0</v>
      </c>
      <c r="D66" s="42" t="s">
        <v>679</v>
      </c>
      <c r="E66" s="38">
        <v>2.0</v>
      </c>
      <c r="F66" s="37" t="s">
        <v>680</v>
      </c>
      <c r="G66" s="38">
        <v>4.0</v>
      </c>
      <c r="H66" s="43" t="s">
        <v>681</v>
      </c>
      <c r="I66" s="38">
        <v>5.0</v>
      </c>
    </row>
    <row r="67" ht="22.5" customHeight="1">
      <c r="A67" s="41">
        <v>66.0</v>
      </c>
      <c r="B67" s="42" t="s">
        <v>682</v>
      </c>
      <c r="C67" s="38">
        <v>1.0</v>
      </c>
      <c r="D67" s="42" t="s">
        <v>683</v>
      </c>
      <c r="E67" s="38">
        <v>1.0</v>
      </c>
      <c r="F67" s="37" t="s">
        <v>684</v>
      </c>
      <c r="G67" s="38">
        <v>2.0</v>
      </c>
      <c r="H67" s="44" t="s">
        <v>685</v>
      </c>
      <c r="I67" s="38">
        <v>1.0</v>
      </c>
    </row>
    <row r="68" ht="22.5" customHeight="1">
      <c r="A68" s="41">
        <v>67.0</v>
      </c>
      <c r="B68" s="42" t="s">
        <v>686</v>
      </c>
      <c r="C68" s="38">
        <v>3.0</v>
      </c>
      <c r="D68" s="42" t="s">
        <v>687</v>
      </c>
      <c r="E68" s="38">
        <v>3.0</v>
      </c>
      <c r="F68" s="37" t="s">
        <v>688</v>
      </c>
      <c r="G68" s="38">
        <v>3.0</v>
      </c>
      <c r="H68" s="43" t="s">
        <v>689</v>
      </c>
      <c r="I68" s="38">
        <v>5.0</v>
      </c>
    </row>
    <row r="69" ht="22.5" customHeight="1">
      <c r="A69" s="41">
        <v>68.0</v>
      </c>
      <c r="B69" s="42" t="s">
        <v>690</v>
      </c>
      <c r="C69" s="38">
        <v>0.0</v>
      </c>
      <c r="D69" s="42" t="s">
        <v>691</v>
      </c>
      <c r="E69" s="38">
        <v>1.0</v>
      </c>
      <c r="F69" s="37" t="s">
        <v>692</v>
      </c>
      <c r="G69" s="38">
        <v>0.0</v>
      </c>
      <c r="H69" s="44" t="s">
        <v>481</v>
      </c>
      <c r="I69" s="38">
        <v>0.0</v>
      </c>
    </row>
    <row r="70" ht="22.5" customHeight="1">
      <c r="A70" s="41">
        <v>69.0</v>
      </c>
      <c r="B70" s="42" t="s">
        <v>693</v>
      </c>
      <c r="C70" s="38">
        <v>2.0</v>
      </c>
      <c r="D70" s="42" t="s">
        <v>694</v>
      </c>
      <c r="E70" s="38">
        <v>2.0</v>
      </c>
      <c r="F70" s="37" t="s">
        <v>695</v>
      </c>
      <c r="G70" s="38">
        <v>4.0</v>
      </c>
      <c r="H70" s="43" t="s">
        <v>696</v>
      </c>
      <c r="I70" s="38">
        <v>2.0</v>
      </c>
    </row>
    <row r="71" ht="22.5" customHeight="1">
      <c r="A71" s="41">
        <v>70.0</v>
      </c>
      <c r="B71" s="42" t="s">
        <v>697</v>
      </c>
      <c r="C71" s="38">
        <v>3.0</v>
      </c>
      <c r="D71" s="42" t="s">
        <v>698</v>
      </c>
      <c r="E71" s="38">
        <v>2.0</v>
      </c>
      <c r="F71" s="37" t="s">
        <v>699</v>
      </c>
      <c r="G71" s="38">
        <v>5.0</v>
      </c>
      <c r="H71" s="44" t="s">
        <v>700</v>
      </c>
      <c r="I71" s="38">
        <v>5.0</v>
      </c>
    </row>
    <row r="72" ht="22.5" customHeight="1">
      <c r="A72" s="41">
        <v>71.0</v>
      </c>
      <c r="B72" s="42" t="s">
        <v>701</v>
      </c>
      <c r="C72" s="38">
        <v>2.0</v>
      </c>
      <c r="D72" s="42" t="s">
        <v>702</v>
      </c>
      <c r="E72" s="38">
        <v>2.0</v>
      </c>
      <c r="F72" s="37" t="s">
        <v>703</v>
      </c>
      <c r="G72" s="38">
        <v>2.0</v>
      </c>
      <c r="H72" s="43" t="s">
        <v>704</v>
      </c>
      <c r="I72" s="38">
        <v>2.0</v>
      </c>
    </row>
    <row r="73" ht="22.5" customHeight="1">
      <c r="A73" s="41">
        <v>72.0</v>
      </c>
      <c r="B73" s="42" t="s">
        <v>705</v>
      </c>
      <c r="C73" s="38">
        <v>2.0</v>
      </c>
      <c r="D73" s="42" t="s">
        <v>706</v>
      </c>
      <c r="E73" s="38">
        <v>2.0</v>
      </c>
      <c r="F73" s="37" t="s">
        <v>707</v>
      </c>
      <c r="G73" s="38">
        <v>2.0</v>
      </c>
      <c r="H73" s="44" t="s">
        <v>465</v>
      </c>
      <c r="I73" s="38">
        <v>0.0</v>
      </c>
    </row>
    <row r="74" ht="22.5" customHeight="1">
      <c r="A74" s="41">
        <v>73.0</v>
      </c>
      <c r="B74" s="42" t="s">
        <v>708</v>
      </c>
      <c r="C74" s="38">
        <v>3.0</v>
      </c>
      <c r="D74" s="42" t="s">
        <v>709</v>
      </c>
      <c r="E74" s="38">
        <v>2.0</v>
      </c>
      <c r="F74" s="37" t="s">
        <v>710</v>
      </c>
      <c r="G74" s="38">
        <v>5.0</v>
      </c>
      <c r="H74" s="43" t="s">
        <v>711</v>
      </c>
      <c r="I74" s="38">
        <v>2.0</v>
      </c>
    </row>
    <row r="75" ht="22.5" customHeight="1">
      <c r="A75" s="41">
        <v>74.0</v>
      </c>
      <c r="B75" s="42" t="s">
        <v>712</v>
      </c>
      <c r="C75" s="38">
        <v>2.0</v>
      </c>
      <c r="D75" s="42" t="s">
        <v>713</v>
      </c>
      <c r="E75" s="38">
        <v>1.0</v>
      </c>
      <c r="F75" s="37" t="s">
        <v>714</v>
      </c>
      <c r="G75" s="38">
        <v>2.0</v>
      </c>
      <c r="H75" s="44" t="s">
        <v>715</v>
      </c>
      <c r="I75" s="38">
        <v>4.0</v>
      </c>
    </row>
    <row r="76" ht="22.5" customHeight="1">
      <c r="A76" s="41">
        <v>75.0</v>
      </c>
      <c r="B76" s="42" t="s">
        <v>716</v>
      </c>
      <c r="C76" s="38">
        <v>3.0</v>
      </c>
      <c r="D76" s="42" t="s">
        <v>717</v>
      </c>
      <c r="E76" s="38">
        <v>2.0</v>
      </c>
      <c r="F76" s="37" t="s">
        <v>718</v>
      </c>
      <c r="G76" s="38">
        <v>5.0</v>
      </c>
      <c r="H76" s="43" t="s">
        <v>719</v>
      </c>
      <c r="I76" s="38">
        <v>5.0</v>
      </c>
    </row>
    <row r="77" ht="22.5" customHeight="1">
      <c r="A77" s="41">
        <v>76.0</v>
      </c>
      <c r="B77" s="42" t="s">
        <v>720</v>
      </c>
      <c r="C77" s="38">
        <v>2.0</v>
      </c>
      <c r="D77" s="42" t="s">
        <v>721</v>
      </c>
      <c r="E77" s="38">
        <v>2.0</v>
      </c>
      <c r="F77" s="37" t="s">
        <v>722</v>
      </c>
      <c r="G77" s="38">
        <v>2.0</v>
      </c>
      <c r="H77" s="44" t="s">
        <v>723</v>
      </c>
      <c r="I77" s="38">
        <v>0.0</v>
      </c>
    </row>
    <row r="78" ht="22.5" customHeight="1">
      <c r="A78" s="41">
        <v>77.0</v>
      </c>
      <c r="B78" s="42" t="s">
        <v>724</v>
      </c>
      <c r="C78" s="38">
        <v>1.0</v>
      </c>
      <c r="D78" s="42" t="s">
        <v>725</v>
      </c>
      <c r="E78" s="38">
        <v>0.0</v>
      </c>
      <c r="F78" s="37" t="s">
        <v>726</v>
      </c>
      <c r="G78" s="38">
        <v>2.0</v>
      </c>
      <c r="H78" s="43" t="s">
        <v>723</v>
      </c>
      <c r="I78" s="38">
        <v>0.0</v>
      </c>
    </row>
    <row r="79" ht="22.5" customHeight="1">
      <c r="A79" s="41">
        <v>78.0</v>
      </c>
      <c r="B79" s="42" t="s">
        <v>727</v>
      </c>
      <c r="C79" s="38">
        <v>1.0</v>
      </c>
      <c r="D79" s="42" t="s">
        <v>728</v>
      </c>
      <c r="E79" s="38">
        <v>3.0</v>
      </c>
      <c r="F79" s="37" t="s">
        <v>729</v>
      </c>
      <c r="G79" s="38">
        <v>2.0</v>
      </c>
      <c r="H79" s="44" t="s">
        <v>723</v>
      </c>
      <c r="I79" s="38">
        <v>0.0</v>
      </c>
    </row>
    <row r="80" ht="22.5" customHeight="1">
      <c r="A80" s="41">
        <v>79.0</v>
      </c>
      <c r="B80" s="42" t="s">
        <v>730</v>
      </c>
      <c r="C80" s="38">
        <v>1.0</v>
      </c>
      <c r="D80" s="42" t="s">
        <v>731</v>
      </c>
      <c r="E80" s="38">
        <v>2.0</v>
      </c>
      <c r="F80" s="37" t="s">
        <v>732</v>
      </c>
      <c r="G80" s="38">
        <v>3.0</v>
      </c>
      <c r="H80" s="43" t="s">
        <v>723</v>
      </c>
      <c r="I80" s="38">
        <v>0.0</v>
      </c>
    </row>
    <row r="81" ht="22.5" customHeight="1">
      <c r="A81" s="41">
        <v>80.0</v>
      </c>
      <c r="B81" s="42" t="s">
        <v>733</v>
      </c>
      <c r="C81" s="38">
        <v>3.0</v>
      </c>
      <c r="D81" s="42" t="s">
        <v>734</v>
      </c>
      <c r="E81" s="38">
        <v>3.0</v>
      </c>
      <c r="F81" s="37" t="s">
        <v>735</v>
      </c>
      <c r="G81" s="38">
        <v>5.0</v>
      </c>
      <c r="H81" s="44" t="s">
        <v>723</v>
      </c>
      <c r="I81" s="38">
        <v>0.0</v>
      </c>
    </row>
    <row r="82" ht="22.5" customHeight="1">
      <c r="A82" s="41">
        <v>81.0</v>
      </c>
      <c r="B82" s="42" t="s">
        <v>736</v>
      </c>
      <c r="C82" s="38">
        <v>2.0</v>
      </c>
      <c r="D82" s="42" t="s">
        <v>737</v>
      </c>
      <c r="E82" s="38">
        <v>2.0</v>
      </c>
      <c r="F82" s="37" t="s">
        <v>738</v>
      </c>
      <c r="G82" s="38">
        <v>2.0</v>
      </c>
      <c r="H82" s="43" t="s">
        <v>723</v>
      </c>
      <c r="I82" s="38">
        <v>0.0</v>
      </c>
    </row>
    <row r="83" ht="22.5" customHeight="1">
      <c r="A83" s="41">
        <v>82.0</v>
      </c>
      <c r="B83" s="42" t="s">
        <v>739</v>
      </c>
      <c r="C83" s="38">
        <v>3.0</v>
      </c>
      <c r="D83" s="42" t="s">
        <v>740</v>
      </c>
      <c r="E83" s="38">
        <v>3.0</v>
      </c>
      <c r="F83" s="37" t="s">
        <v>741</v>
      </c>
      <c r="G83" s="38">
        <v>0.0</v>
      </c>
      <c r="H83" s="44" t="s">
        <v>723</v>
      </c>
      <c r="I83" s="38">
        <v>0.0</v>
      </c>
    </row>
    <row r="84" ht="22.5" customHeight="1">
      <c r="A84" s="41">
        <v>83.0</v>
      </c>
      <c r="B84" s="42" t="s">
        <v>742</v>
      </c>
      <c r="C84" s="38">
        <v>1.0</v>
      </c>
      <c r="D84" s="42" t="s">
        <v>743</v>
      </c>
      <c r="E84" s="38">
        <v>1.0</v>
      </c>
      <c r="F84" s="37" t="s">
        <v>744</v>
      </c>
      <c r="G84" s="38">
        <v>2.0</v>
      </c>
      <c r="H84" s="43" t="s">
        <v>723</v>
      </c>
      <c r="I84" s="38">
        <v>0.0</v>
      </c>
    </row>
    <row r="85" ht="22.5" customHeight="1">
      <c r="A85" s="41">
        <v>84.0</v>
      </c>
      <c r="B85" s="42" t="s">
        <v>745</v>
      </c>
      <c r="C85" s="38">
        <v>1.0</v>
      </c>
      <c r="D85" s="42" t="s">
        <v>746</v>
      </c>
      <c r="E85" s="38">
        <v>1.0</v>
      </c>
      <c r="F85" s="37" t="s">
        <v>747</v>
      </c>
      <c r="G85" s="38">
        <v>1.0</v>
      </c>
      <c r="H85" s="44" t="s">
        <v>723</v>
      </c>
      <c r="I85" s="38">
        <v>0.0</v>
      </c>
    </row>
    <row r="86" ht="22.5" customHeight="1">
      <c r="A86" s="41">
        <v>85.0</v>
      </c>
      <c r="B86" s="42" t="s">
        <v>748</v>
      </c>
      <c r="C86" s="38">
        <v>3.0</v>
      </c>
      <c r="D86" s="42" t="s">
        <v>749</v>
      </c>
      <c r="E86" s="38">
        <v>1.0</v>
      </c>
      <c r="F86" s="37" t="s">
        <v>750</v>
      </c>
      <c r="G86" s="38">
        <v>5.0</v>
      </c>
      <c r="H86" s="43" t="s">
        <v>723</v>
      </c>
      <c r="I86" s="38">
        <v>0.0</v>
      </c>
    </row>
    <row r="87" ht="22.5" customHeight="1">
      <c r="A87" s="41">
        <v>86.0</v>
      </c>
      <c r="B87" s="42" t="s">
        <v>751</v>
      </c>
      <c r="C87" s="38">
        <v>3.0</v>
      </c>
      <c r="D87" s="42" t="s">
        <v>752</v>
      </c>
      <c r="E87" s="38">
        <v>2.0</v>
      </c>
      <c r="F87" s="37" t="s">
        <v>753</v>
      </c>
      <c r="G87" s="38">
        <v>2.0</v>
      </c>
      <c r="H87" s="44" t="s">
        <v>723</v>
      </c>
      <c r="I87" s="38">
        <v>0.0</v>
      </c>
    </row>
    <row r="88" ht="22.5" customHeight="1">
      <c r="A88" s="41">
        <v>87.0</v>
      </c>
      <c r="B88" s="42" t="s">
        <v>754</v>
      </c>
      <c r="C88" s="38">
        <v>1.0</v>
      </c>
      <c r="D88" s="42" t="s">
        <v>755</v>
      </c>
      <c r="E88" s="38">
        <v>1.0</v>
      </c>
      <c r="F88" s="37" t="s">
        <v>756</v>
      </c>
      <c r="G88" s="38">
        <v>2.0</v>
      </c>
      <c r="H88" s="43" t="s">
        <v>723</v>
      </c>
      <c r="I88" s="38">
        <v>0.0</v>
      </c>
    </row>
    <row r="89" ht="22.5" customHeight="1">
      <c r="A89" s="41">
        <v>88.0</v>
      </c>
      <c r="B89" s="42" t="s">
        <v>757</v>
      </c>
      <c r="C89" s="38">
        <v>2.0</v>
      </c>
      <c r="D89" s="42" t="s">
        <v>758</v>
      </c>
      <c r="E89" s="38">
        <v>1.0</v>
      </c>
      <c r="F89" s="37" t="s">
        <v>759</v>
      </c>
      <c r="G89" s="38">
        <v>2.0</v>
      </c>
      <c r="H89" s="44" t="s">
        <v>723</v>
      </c>
      <c r="I89" s="38">
        <v>0.0</v>
      </c>
    </row>
    <row r="90" ht="22.5" customHeight="1">
      <c r="A90" s="41">
        <v>89.0</v>
      </c>
      <c r="B90" s="42" t="s">
        <v>760</v>
      </c>
      <c r="C90" s="38">
        <v>3.0</v>
      </c>
      <c r="D90" s="42" t="s">
        <v>761</v>
      </c>
      <c r="E90" s="38">
        <v>1.0</v>
      </c>
      <c r="F90" s="37" t="s">
        <v>762</v>
      </c>
      <c r="G90" s="38">
        <v>5.0</v>
      </c>
      <c r="H90" s="43" t="s">
        <v>723</v>
      </c>
      <c r="I90" s="38">
        <v>0.0</v>
      </c>
    </row>
    <row r="91" ht="22.5" customHeight="1">
      <c r="A91" s="41">
        <v>90.0</v>
      </c>
      <c r="B91" s="42" t="s">
        <v>763</v>
      </c>
      <c r="C91" s="38">
        <v>1.0</v>
      </c>
      <c r="D91" s="42" t="s">
        <v>764</v>
      </c>
      <c r="E91" s="38">
        <v>1.0</v>
      </c>
      <c r="F91" s="37" t="s">
        <v>765</v>
      </c>
      <c r="G91" s="38">
        <v>2.0</v>
      </c>
      <c r="H91" s="44" t="s">
        <v>723</v>
      </c>
      <c r="I91" s="38">
        <v>0.0</v>
      </c>
    </row>
    <row r="92" ht="22.5" customHeight="1">
      <c r="A92" s="41">
        <v>91.0</v>
      </c>
      <c r="B92" s="42" t="s">
        <v>766</v>
      </c>
      <c r="C92" s="38">
        <v>3.0</v>
      </c>
      <c r="D92" s="42" t="s">
        <v>767</v>
      </c>
      <c r="E92" s="38">
        <v>2.0</v>
      </c>
      <c r="F92" s="37" t="s">
        <v>768</v>
      </c>
      <c r="G92" s="38">
        <v>3.0</v>
      </c>
      <c r="H92" s="43" t="s">
        <v>723</v>
      </c>
      <c r="I92" s="38">
        <v>0.0</v>
      </c>
    </row>
    <row r="93" ht="22.5" customHeight="1">
      <c r="A93" s="41">
        <v>92.0</v>
      </c>
      <c r="B93" s="42" t="s">
        <v>769</v>
      </c>
      <c r="C93" s="38">
        <v>1.0</v>
      </c>
      <c r="D93" s="42" t="s">
        <v>770</v>
      </c>
      <c r="E93" s="38">
        <v>1.0</v>
      </c>
      <c r="F93" s="37" t="s">
        <v>628</v>
      </c>
      <c r="G93" s="38">
        <v>0.0</v>
      </c>
      <c r="H93" s="44" t="s">
        <v>723</v>
      </c>
      <c r="I93" s="38">
        <v>0.0</v>
      </c>
    </row>
    <row r="94" ht="22.5" customHeight="1">
      <c r="A94" s="41">
        <v>93.0</v>
      </c>
      <c r="B94" s="42" t="s">
        <v>771</v>
      </c>
      <c r="C94" s="38">
        <v>1.0</v>
      </c>
      <c r="D94" s="42" t="s">
        <v>772</v>
      </c>
      <c r="E94" s="38">
        <v>1.0</v>
      </c>
      <c r="F94" s="37" t="s">
        <v>773</v>
      </c>
      <c r="G94" s="38">
        <v>4.0</v>
      </c>
      <c r="H94" s="43" t="s">
        <v>723</v>
      </c>
      <c r="I94" s="38">
        <v>0.0</v>
      </c>
    </row>
    <row r="95" ht="22.5" customHeight="1">
      <c r="A95" s="41">
        <v>94.0</v>
      </c>
      <c r="B95" s="42" t="s">
        <v>774</v>
      </c>
      <c r="C95" s="38">
        <v>2.0</v>
      </c>
      <c r="D95" s="42" t="s">
        <v>775</v>
      </c>
      <c r="E95" s="38">
        <v>1.0</v>
      </c>
      <c r="F95" s="37" t="s">
        <v>776</v>
      </c>
      <c r="G95" s="38">
        <v>4.0</v>
      </c>
      <c r="H95" s="44" t="s">
        <v>723</v>
      </c>
      <c r="I95" s="38">
        <v>0.0</v>
      </c>
    </row>
    <row r="96" ht="22.5" customHeight="1">
      <c r="A96" s="41">
        <v>95.0</v>
      </c>
      <c r="B96" s="42" t="s">
        <v>777</v>
      </c>
      <c r="C96" s="38">
        <v>2.0</v>
      </c>
      <c r="D96" s="42" t="s">
        <v>778</v>
      </c>
      <c r="E96" s="38">
        <v>3.0</v>
      </c>
      <c r="F96" s="37" t="s">
        <v>779</v>
      </c>
      <c r="G96" s="38">
        <v>4.0</v>
      </c>
      <c r="H96" s="43" t="s">
        <v>723</v>
      </c>
      <c r="I96" s="38">
        <v>0.0</v>
      </c>
    </row>
    <row r="97" ht="22.5" customHeight="1">
      <c r="A97" s="41">
        <v>96.0</v>
      </c>
      <c r="B97" s="42" t="s">
        <v>780</v>
      </c>
      <c r="C97" s="38">
        <v>1.0</v>
      </c>
      <c r="D97" s="42" t="s">
        <v>781</v>
      </c>
      <c r="E97" s="38">
        <v>1.0</v>
      </c>
      <c r="F97" s="37" t="s">
        <v>782</v>
      </c>
      <c r="G97" s="38">
        <v>4.0</v>
      </c>
      <c r="H97" s="44" t="s">
        <v>723</v>
      </c>
      <c r="I97" s="38">
        <v>0.0</v>
      </c>
    </row>
    <row r="98" ht="22.5" customHeight="1">
      <c r="A98" s="41">
        <v>97.0</v>
      </c>
      <c r="B98" s="42" t="s">
        <v>783</v>
      </c>
      <c r="C98" s="38">
        <v>1.0</v>
      </c>
      <c r="D98" s="42" t="s">
        <v>784</v>
      </c>
      <c r="E98" s="38">
        <v>1.0</v>
      </c>
      <c r="F98" s="37" t="s">
        <v>785</v>
      </c>
      <c r="G98" s="38">
        <v>2.0</v>
      </c>
      <c r="H98" s="43" t="s">
        <v>723</v>
      </c>
      <c r="I98" s="38">
        <v>0.0</v>
      </c>
    </row>
    <row r="99" ht="22.5" customHeight="1">
      <c r="A99" s="41">
        <v>98.0</v>
      </c>
      <c r="B99" s="42" t="s">
        <v>786</v>
      </c>
      <c r="C99" s="38">
        <v>2.0</v>
      </c>
      <c r="D99" s="42" t="s">
        <v>787</v>
      </c>
      <c r="E99" s="38">
        <v>2.0</v>
      </c>
      <c r="F99" s="37" t="s">
        <v>788</v>
      </c>
      <c r="G99" s="38">
        <v>4.0</v>
      </c>
      <c r="H99" s="44" t="s">
        <v>723</v>
      </c>
      <c r="I99" s="38">
        <v>0.0</v>
      </c>
    </row>
    <row r="100" ht="22.5" customHeight="1">
      <c r="A100" s="45"/>
      <c r="B100" s="42"/>
      <c r="C100" s="38"/>
      <c r="D100" s="42"/>
      <c r="E100" s="38"/>
      <c r="F100" s="37"/>
      <c r="G100" s="38"/>
      <c r="H100" s="43"/>
      <c r="I100" s="38"/>
    </row>
    <row r="101" ht="22.5" customHeight="1">
      <c r="A101" s="45"/>
      <c r="B101" s="42"/>
      <c r="C101" s="38"/>
      <c r="D101" s="42"/>
      <c r="E101" s="38"/>
      <c r="F101" s="37"/>
      <c r="G101" s="38"/>
      <c r="H101" s="44"/>
      <c r="I101" s="38"/>
    </row>
    <row r="102" ht="22.5" customHeight="1">
      <c r="A102" s="45"/>
      <c r="B102" s="42"/>
      <c r="C102" s="46"/>
      <c r="D102" s="47"/>
      <c r="E102" s="46"/>
      <c r="F102" s="47"/>
      <c r="G102" s="46"/>
      <c r="H102" s="48"/>
      <c r="I102" s="49"/>
    </row>
    <row r="103" ht="22.5" customHeight="1">
      <c r="A103" s="45"/>
      <c r="B103" s="42"/>
      <c r="C103" s="46"/>
      <c r="D103" s="47"/>
      <c r="E103" s="46"/>
      <c r="F103" s="47"/>
      <c r="G103" s="46"/>
      <c r="H103" s="50"/>
      <c r="I103" s="51"/>
    </row>
    <row r="104" ht="22.5" customHeight="1">
      <c r="A104" s="45"/>
      <c r="B104" s="42"/>
      <c r="C104" s="46"/>
      <c r="D104" s="47"/>
      <c r="E104" s="46"/>
      <c r="F104" s="47"/>
      <c r="G104" s="46"/>
      <c r="H104" s="48"/>
      <c r="I104" s="49"/>
    </row>
    <row r="105" ht="22.5" customHeight="1">
      <c r="A105" s="45"/>
      <c r="B105" s="42"/>
      <c r="C105" s="46"/>
      <c r="D105" s="47"/>
      <c r="E105" s="46"/>
      <c r="F105" s="47"/>
      <c r="G105" s="46"/>
      <c r="H105" s="50"/>
      <c r="I105" s="51"/>
    </row>
    <row r="106" ht="22.5" customHeight="1">
      <c r="A106" s="45"/>
      <c r="B106" s="42"/>
      <c r="C106" s="46"/>
      <c r="D106" s="47"/>
      <c r="E106" s="46"/>
      <c r="F106" s="47"/>
      <c r="G106" s="46"/>
      <c r="H106" s="48"/>
      <c r="I106" s="49"/>
    </row>
    <row r="107" ht="22.5" customHeight="1">
      <c r="A107" s="45"/>
      <c r="B107" s="42"/>
      <c r="C107" s="46"/>
      <c r="D107" s="47"/>
      <c r="E107" s="46"/>
      <c r="F107" s="47"/>
      <c r="G107" s="46"/>
      <c r="H107" s="50"/>
      <c r="I107" s="51"/>
    </row>
    <row r="108" ht="22.5" customHeight="1">
      <c r="A108" s="45"/>
      <c r="B108" s="42"/>
      <c r="C108" s="46"/>
      <c r="D108" s="47"/>
      <c r="E108" s="46"/>
      <c r="F108" s="47"/>
      <c r="G108" s="46"/>
      <c r="H108" s="48"/>
      <c r="I108" s="49"/>
    </row>
    <row r="109" ht="22.5" customHeight="1">
      <c r="A109" s="45"/>
      <c r="B109" s="42"/>
      <c r="C109" s="46"/>
      <c r="D109" s="47"/>
      <c r="E109" s="46"/>
      <c r="F109" s="47"/>
      <c r="G109" s="46"/>
      <c r="H109" s="50"/>
      <c r="I109" s="51"/>
    </row>
    <row r="110" ht="22.5" customHeight="1">
      <c r="A110" s="45"/>
      <c r="B110" s="42"/>
      <c r="C110" s="46"/>
      <c r="D110" s="47"/>
      <c r="E110" s="46"/>
      <c r="F110" s="47"/>
      <c r="G110" s="46"/>
      <c r="H110" s="48"/>
      <c r="I110" s="49"/>
    </row>
    <row r="111" ht="22.5" customHeight="1">
      <c r="A111" s="45"/>
      <c r="B111" s="42"/>
      <c r="C111" s="46"/>
      <c r="D111" s="47"/>
      <c r="E111" s="46"/>
      <c r="F111" s="47"/>
      <c r="G111" s="46"/>
      <c r="H111" s="50"/>
      <c r="I111" s="51"/>
    </row>
    <row r="112" ht="22.5" customHeight="1">
      <c r="A112" s="45"/>
      <c r="B112" s="42"/>
      <c r="C112" s="46"/>
      <c r="D112" s="47"/>
      <c r="E112" s="46"/>
      <c r="F112" s="47"/>
      <c r="G112" s="46"/>
      <c r="H112" s="48"/>
      <c r="I112" s="49"/>
    </row>
    <row r="113" ht="22.5" customHeight="1">
      <c r="A113" s="45"/>
      <c r="B113" s="42"/>
      <c r="C113" s="46"/>
      <c r="D113" s="47"/>
      <c r="E113" s="46"/>
      <c r="F113" s="47"/>
      <c r="G113" s="46"/>
      <c r="H113" s="50"/>
      <c r="I113" s="51"/>
    </row>
    <row r="114" ht="22.5" customHeight="1">
      <c r="A114" s="45"/>
      <c r="B114" s="42"/>
      <c r="C114" s="46"/>
      <c r="D114" s="47"/>
      <c r="E114" s="46"/>
      <c r="F114" s="47"/>
      <c r="G114" s="46"/>
      <c r="H114" s="48"/>
      <c r="I114" s="49"/>
    </row>
    <row r="115" ht="22.5" customHeight="1">
      <c r="A115" s="45"/>
      <c r="B115" s="42"/>
      <c r="C115" s="46"/>
      <c r="D115" s="47"/>
      <c r="E115" s="46"/>
      <c r="F115" s="47"/>
      <c r="G115" s="46"/>
      <c r="H115" s="50"/>
      <c r="I115" s="51"/>
    </row>
    <row r="116" ht="22.5" customHeight="1">
      <c r="A116" s="45"/>
      <c r="B116" s="42"/>
      <c r="C116" s="46"/>
      <c r="D116" s="47"/>
      <c r="E116" s="46"/>
      <c r="F116" s="47"/>
      <c r="G116" s="46"/>
      <c r="H116" s="48"/>
      <c r="I116" s="49"/>
    </row>
    <row r="117" ht="22.5" customHeight="1">
      <c r="A117" s="45"/>
      <c r="B117" s="42"/>
      <c r="C117" s="46"/>
      <c r="D117" s="47"/>
      <c r="E117" s="46"/>
      <c r="F117" s="47"/>
      <c r="G117" s="46"/>
      <c r="H117" s="50"/>
      <c r="I117" s="51"/>
    </row>
    <row r="118" ht="22.5" customHeight="1">
      <c r="A118" s="45"/>
      <c r="B118" s="42"/>
      <c r="C118" s="46"/>
      <c r="D118" s="47"/>
      <c r="E118" s="46"/>
      <c r="F118" s="47"/>
      <c r="G118" s="46"/>
      <c r="H118" s="48"/>
      <c r="I118" s="49"/>
    </row>
    <row r="119" ht="22.5" customHeight="1">
      <c r="A119" s="45"/>
      <c r="B119" s="42"/>
      <c r="C119" s="46"/>
      <c r="D119" s="47"/>
      <c r="E119" s="46"/>
      <c r="F119" s="47"/>
      <c r="G119" s="46"/>
      <c r="H119" s="50"/>
      <c r="I119" s="51"/>
    </row>
    <row r="120" ht="22.5" customHeight="1">
      <c r="A120" s="45"/>
      <c r="B120" s="42"/>
      <c r="C120" s="46"/>
      <c r="D120" s="47"/>
      <c r="E120" s="46"/>
      <c r="F120" s="47"/>
      <c r="G120" s="46"/>
      <c r="H120" s="48"/>
      <c r="I120" s="49"/>
    </row>
    <row r="121" ht="22.5" customHeight="1">
      <c r="A121" s="45"/>
      <c r="B121" s="42"/>
      <c r="C121" s="46"/>
      <c r="D121" s="47"/>
      <c r="E121" s="46"/>
      <c r="F121" s="47"/>
      <c r="G121" s="46"/>
      <c r="H121" s="50"/>
      <c r="I121" s="51"/>
    </row>
    <row r="122" ht="22.5" customHeight="1">
      <c r="A122" s="45"/>
      <c r="B122" s="42"/>
      <c r="C122" s="46"/>
      <c r="D122" s="47"/>
      <c r="E122" s="46"/>
      <c r="F122" s="47"/>
      <c r="G122" s="46"/>
      <c r="H122" s="48"/>
      <c r="I122" s="49"/>
    </row>
    <row r="123" ht="22.5" customHeight="1">
      <c r="A123" s="45"/>
      <c r="B123" s="42"/>
      <c r="C123" s="46"/>
      <c r="D123" s="47"/>
      <c r="E123" s="46"/>
      <c r="F123" s="47"/>
      <c r="G123" s="46"/>
      <c r="H123" s="50"/>
      <c r="I123" s="51"/>
    </row>
    <row r="124" ht="22.5" customHeight="1">
      <c r="A124" s="45"/>
      <c r="B124" s="42"/>
      <c r="C124" s="46"/>
      <c r="D124" s="47"/>
      <c r="E124" s="46"/>
      <c r="F124" s="47"/>
      <c r="G124" s="46"/>
      <c r="H124" s="48"/>
      <c r="I124" s="49"/>
    </row>
    <row r="125" ht="22.5" customHeight="1">
      <c r="A125" s="45"/>
      <c r="B125" s="42"/>
      <c r="C125" s="46"/>
      <c r="D125" s="47"/>
      <c r="E125" s="46"/>
      <c r="F125" s="47"/>
      <c r="G125" s="46"/>
      <c r="H125" s="50"/>
      <c r="I125" s="51"/>
    </row>
    <row r="126" ht="22.5" customHeight="1">
      <c r="A126" s="45"/>
      <c r="B126" s="42"/>
      <c r="C126" s="46"/>
      <c r="D126" s="47"/>
      <c r="E126" s="46"/>
      <c r="F126" s="47"/>
      <c r="G126" s="46"/>
      <c r="H126" s="48"/>
      <c r="I126" s="49"/>
    </row>
    <row r="127" ht="22.5" customHeight="1">
      <c r="A127" s="45"/>
      <c r="B127" s="42"/>
      <c r="C127" s="46"/>
      <c r="D127" s="47"/>
      <c r="E127" s="46"/>
      <c r="F127" s="47"/>
      <c r="G127" s="46"/>
      <c r="H127" s="50"/>
      <c r="I127" s="51"/>
    </row>
    <row r="128" ht="22.5" customHeight="1">
      <c r="A128" s="45"/>
      <c r="B128" s="42"/>
      <c r="C128" s="46"/>
      <c r="D128" s="47"/>
      <c r="E128" s="46"/>
      <c r="F128" s="47"/>
      <c r="G128" s="46"/>
      <c r="H128" s="48"/>
      <c r="I128" s="49"/>
    </row>
    <row r="129" ht="22.5" customHeight="1">
      <c r="A129" s="45"/>
      <c r="B129" s="42"/>
      <c r="C129" s="46"/>
      <c r="D129" s="47"/>
      <c r="E129" s="46"/>
      <c r="F129" s="47"/>
      <c r="G129" s="46"/>
      <c r="H129" s="50"/>
      <c r="I129" s="51"/>
    </row>
    <row r="130" ht="22.5" customHeight="1">
      <c r="A130" s="45"/>
      <c r="B130" s="42"/>
      <c r="C130" s="46"/>
      <c r="D130" s="47"/>
      <c r="E130" s="46"/>
      <c r="F130" s="47"/>
      <c r="G130" s="46"/>
      <c r="H130" s="48"/>
      <c r="I130" s="49"/>
    </row>
    <row r="131" ht="22.5" customHeight="1">
      <c r="A131" s="45"/>
      <c r="B131" s="42"/>
      <c r="C131" s="46"/>
      <c r="D131" s="47"/>
      <c r="E131" s="46"/>
      <c r="F131" s="47"/>
      <c r="G131" s="46"/>
      <c r="H131" s="50"/>
      <c r="I131" s="51"/>
    </row>
    <row r="132" ht="22.5" customHeight="1">
      <c r="A132" s="45"/>
      <c r="B132" s="42"/>
      <c r="C132" s="46"/>
      <c r="D132" s="47"/>
      <c r="E132" s="46"/>
      <c r="F132" s="47"/>
      <c r="G132" s="46"/>
      <c r="H132" s="48"/>
      <c r="I132" s="49"/>
    </row>
    <row r="133" ht="22.5" customHeight="1">
      <c r="A133" s="45"/>
      <c r="B133" s="42"/>
      <c r="C133" s="46"/>
      <c r="D133" s="47"/>
      <c r="E133" s="46"/>
      <c r="F133" s="47"/>
      <c r="G133" s="46"/>
      <c r="H133" s="50"/>
      <c r="I133" s="51"/>
    </row>
    <row r="134" ht="22.5" customHeight="1">
      <c r="A134" s="45"/>
      <c r="B134" s="42"/>
      <c r="C134" s="46"/>
      <c r="D134" s="47"/>
      <c r="E134" s="46"/>
      <c r="F134" s="47"/>
      <c r="G134" s="46"/>
      <c r="H134" s="48"/>
      <c r="I134" s="49"/>
    </row>
    <row r="135" ht="22.5" customHeight="1">
      <c r="A135" s="45"/>
      <c r="B135" s="42"/>
      <c r="C135" s="46"/>
      <c r="D135" s="47"/>
      <c r="E135" s="46"/>
      <c r="F135" s="47"/>
      <c r="G135" s="46"/>
      <c r="H135" s="50"/>
      <c r="I135" s="51"/>
    </row>
    <row r="136" ht="22.5" customHeight="1">
      <c r="A136" s="45"/>
      <c r="B136" s="42"/>
      <c r="C136" s="46"/>
      <c r="D136" s="47"/>
      <c r="E136" s="46"/>
      <c r="F136" s="47"/>
      <c r="G136" s="46"/>
      <c r="H136" s="48"/>
      <c r="I136" s="49"/>
    </row>
    <row r="137" ht="22.5" customHeight="1">
      <c r="A137" s="45"/>
      <c r="B137" s="42"/>
      <c r="C137" s="46"/>
      <c r="D137" s="47"/>
      <c r="E137" s="46"/>
      <c r="F137" s="47"/>
      <c r="G137" s="46"/>
      <c r="H137" s="50"/>
      <c r="I137" s="51"/>
    </row>
    <row r="138" ht="22.5" customHeight="1">
      <c r="A138" s="45"/>
      <c r="B138" s="42"/>
      <c r="C138" s="46"/>
      <c r="D138" s="47"/>
      <c r="E138" s="46"/>
      <c r="F138" s="47"/>
      <c r="G138" s="46"/>
      <c r="H138" s="48"/>
      <c r="I138" s="49"/>
    </row>
    <row r="139" ht="22.5" customHeight="1">
      <c r="A139" s="45"/>
      <c r="B139" s="42"/>
      <c r="C139" s="46"/>
      <c r="D139" s="47"/>
      <c r="E139" s="46"/>
      <c r="F139" s="47"/>
      <c r="G139" s="46"/>
      <c r="H139" s="50"/>
      <c r="I139" s="51"/>
    </row>
    <row r="140" ht="22.5" customHeight="1">
      <c r="A140" s="45"/>
      <c r="B140" s="42"/>
      <c r="C140" s="46"/>
      <c r="D140" s="47"/>
      <c r="E140" s="46"/>
      <c r="F140" s="47"/>
      <c r="G140" s="46"/>
      <c r="H140" s="48"/>
      <c r="I140" s="49"/>
    </row>
    <row r="141" ht="22.5" customHeight="1">
      <c r="A141" s="45"/>
      <c r="B141" s="42"/>
      <c r="C141" s="46"/>
      <c r="D141" s="47"/>
      <c r="E141" s="46"/>
      <c r="F141" s="47"/>
      <c r="G141" s="46"/>
      <c r="H141" s="50"/>
      <c r="I141" s="51"/>
    </row>
    <row r="142" ht="22.5" customHeight="1">
      <c r="A142" s="45"/>
      <c r="B142" s="42"/>
      <c r="C142" s="46"/>
      <c r="D142" s="47"/>
      <c r="E142" s="46"/>
      <c r="F142" s="47"/>
      <c r="G142" s="46"/>
      <c r="H142" s="48"/>
      <c r="I142" s="49"/>
    </row>
    <row r="143" ht="22.5" customHeight="1">
      <c r="A143" s="45"/>
      <c r="B143" s="42"/>
      <c r="C143" s="46"/>
      <c r="D143" s="47"/>
      <c r="E143" s="46"/>
      <c r="F143" s="47"/>
      <c r="G143" s="46"/>
      <c r="H143" s="50"/>
      <c r="I143" s="51"/>
    </row>
    <row r="144" ht="22.5" customHeight="1">
      <c r="A144" s="45"/>
      <c r="B144" s="42"/>
      <c r="C144" s="46"/>
      <c r="D144" s="47"/>
      <c r="E144" s="46"/>
      <c r="F144" s="47"/>
      <c r="G144" s="46"/>
      <c r="H144" s="48"/>
      <c r="I144" s="49"/>
    </row>
    <row r="145" ht="22.5" customHeight="1">
      <c r="A145" s="45"/>
      <c r="B145" s="42"/>
      <c r="C145" s="46"/>
      <c r="D145" s="47"/>
      <c r="E145" s="46"/>
      <c r="F145" s="47"/>
      <c r="G145" s="46"/>
      <c r="H145" s="50"/>
      <c r="I145" s="51"/>
    </row>
    <row r="146" ht="22.5" customHeight="1">
      <c r="A146" s="45"/>
      <c r="B146" s="42"/>
      <c r="C146" s="46"/>
      <c r="D146" s="47"/>
      <c r="E146" s="46"/>
      <c r="F146" s="47"/>
      <c r="G146" s="46"/>
      <c r="H146" s="48"/>
      <c r="I146" s="49"/>
    </row>
    <row r="147" ht="22.5" customHeight="1">
      <c r="A147" s="45"/>
      <c r="B147" s="42"/>
      <c r="C147" s="46"/>
      <c r="D147" s="47"/>
      <c r="E147" s="46"/>
      <c r="F147" s="47"/>
      <c r="G147" s="46"/>
      <c r="H147" s="50"/>
      <c r="I147" s="51"/>
    </row>
    <row r="148" ht="22.5" customHeight="1">
      <c r="A148" s="45"/>
      <c r="B148" s="42"/>
      <c r="C148" s="46"/>
      <c r="D148" s="47"/>
      <c r="E148" s="46"/>
      <c r="F148" s="47"/>
      <c r="G148" s="46"/>
      <c r="H148" s="48"/>
      <c r="I148" s="49"/>
    </row>
    <row r="149" ht="22.5" customHeight="1">
      <c r="A149" s="45"/>
      <c r="B149" s="42"/>
      <c r="C149" s="46"/>
      <c r="D149" s="47"/>
      <c r="E149" s="46"/>
      <c r="F149" s="47"/>
      <c r="G149" s="46"/>
      <c r="H149" s="50"/>
      <c r="I149" s="51"/>
    </row>
    <row r="150" ht="22.5" customHeight="1">
      <c r="A150" s="45"/>
      <c r="B150" s="42"/>
      <c r="C150" s="46"/>
      <c r="D150" s="47"/>
      <c r="E150" s="46"/>
      <c r="F150" s="47"/>
      <c r="G150" s="46"/>
      <c r="H150" s="48"/>
      <c r="I150" s="49"/>
    </row>
    <row r="151" ht="22.5" customHeight="1">
      <c r="A151" s="45"/>
      <c r="B151" s="42"/>
      <c r="C151" s="46"/>
      <c r="D151" s="47"/>
      <c r="E151" s="46"/>
      <c r="F151" s="47"/>
      <c r="G151" s="46"/>
      <c r="H151" s="50"/>
      <c r="I151" s="51"/>
    </row>
    <row r="152" ht="22.5" customHeight="1">
      <c r="A152" s="45"/>
      <c r="B152" s="42"/>
      <c r="C152" s="46"/>
      <c r="D152" s="47"/>
      <c r="E152" s="46"/>
      <c r="F152" s="47"/>
      <c r="G152" s="46"/>
      <c r="H152" s="48"/>
      <c r="I152" s="49"/>
    </row>
    <row r="153" ht="22.5" customHeight="1">
      <c r="A153" s="45"/>
      <c r="B153" s="42"/>
      <c r="C153" s="46"/>
      <c r="D153" s="47"/>
      <c r="E153" s="46"/>
      <c r="F153" s="47"/>
      <c r="G153" s="46"/>
      <c r="H153" s="50"/>
      <c r="I153" s="51"/>
    </row>
    <row r="154" ht="22.5" customHeight="1">
      <c r="A154" s="45"/>
      <c r="B154" s="42"/>
      <c r="C154" s="46"/>
      <c r="D154" s="47"/>
      <c r="E154" s="46"/>
      <c r="F154" s="47"/>
      <c r="G154" s="46"/>
      <c r="H154" s="48"/>
      <c r="I154" s="49"/>
    </row>
    <row r="155" ht="22.5" customHeight="1">
      <c r="A155" s="45"/>
      <c r="B155" s="42"/>
      <c r="C155" s="46"/>
      <c r="D155" s="47"/>
      <c r="E155" s="46"/>
      <c r="F155" s="47"/>
      <c r="G155" s="46"/>
      <c r="H155" s="50"/>
      <c r="I155" s="51"/>
    </row>
    <row r="156" ht="22.5" customHeight="1">
      <c r="A156" s="45"/>
      <c r="B156" s="42"/>
      <c r="C156" s="46"/>
      <c r="D156" s="47"/>
      <c r="E156" s="46"/>
      <c r="F156" s="47"/>
      <c r="G156" s="46"/>
      <c r="H156" s="48"/>
      <c r="I156" s="49"/>
    </row>
    <row r="157" ht="22.5" customHeight="1">
      <c r="A157" s="45"/>
      <c r="B157" s="42"/>
      <c r="C157" s="46"/>
      <c r="D157" s="47"/>
      <c r="E157" s="46"/>
      <c r="F157" s="47"/>
      <c r="G157" s="46"/>
      <c r="H157" s="50"/>
      <c r="I157" s="51"/>
    </row>
    <row r="158" ht="22.5" customHeight="1">
      <c r="A158" s="45"/>
      <c r="B158" s="42"/>
      <c r="C158" s="46"/>
      <c r="D158" s="47"/>
      <c r="E158" s="46"/>
      <c r="F158" s="47"/>
      <c r="G158" s="46"/>
      <c r="H158" s="48"/>
      <c r="I158" s="49"/>
    </row>
    <row r="159" ht="22.5" customHeight="1">
      <c r="A159" s="45"/>
      <c r="B159" s="42"/>
      <c r="C159" s="46"/>
      <c r="D159" s="47"/>
      <c r="E159" s="46"/>
      <c r="F159" s="47"/>
      <c r="G159" s="46"/>
      <c r="H159" s="50"/>
      <c r="I159" s="51"/>
    </row>
    <row r="160" ht="22.5" customHeight="1">
      <c r="A160" s="45"/>
      <c r="B160" s="42"/>
      <c r="C160" s="46"/>
      <c r="D160" s="47"/>
      <c r="E160" s="46"/>
      <c r="F160" s="47"/>
      <c r="G160" s="46"/>
      <c r="H160" s="48"/>
      <c r="I160" s="49"/>
    </row>
    <row r="161" ht="22.5" customHeight="1">
      <c r="A161" s="45"/>
      <c r="B161" s="42"/>
      <c r="C161" s="46"/>
      <c r="D161" s="47"/>
      <c r="E161" s="46"/>
      <c r="F161" s="47"/>
      <c r="G161" s="46"/>
      <c r="H161" s="50"/>
      <c r="I161" s="51"/>
    </row>
    <row r="162" ht="22.5" customHeight="1">
      <c r="A162" s="45"/>
      <c r="B162" s="42"/>
      <c r="C162" s="46"/>
      <c r="D162" s="47"/>
      <c r="E162" s="46"/>
      <c r="F162" s="47"/>
      <c r="G162" s="46"/>
      <c r="H162" s="48"/>
      <c r="I162" s="49"/>
    </row>
    <row r="163" ht="22.5" customHeight="1">
      <c r="A163" s="45"/>
      <c r="B163" s="42"/>
      <c r="C163" s="46"/>
      <c r="D163" s="47"/>
      <c r="E163" s="46"/>
      <c r="F163" s="47"/>
      <c r="G163" s="46"/>
      <c r="H163" s="50"/>
      <c r="I163" s="51"/>
    </row>
    <row r="164" ht="22.5" customHeight="1">
      <c r="A164" s="45"/>
      <c r="B164" s="42"/>
      <c r="C164" s="46"/>
      <c r="D164" s="47"/>
      <c r="E164" s="46"/>
      <c r="F164" s="47"/>
      <c r="G164" s="46"/>
      <c r="H164" s="48"/>
      <c r="I164" s="49"/>
    </row>
    <row r="165" ht="22.5" customHeight="1">
      <c r="A165" s="45"/>
      <c r="B165" s="42"/>
      <c r="C165" s="46"/>
      <c r="D165" s="47"/>
      <c r="E165" s="46"/>
      <c r="F165" s="47"/>
      <c r="G165" s="46"/>
      <c r="H165" s="50"/>
      <c r="I165" s="51"/>
    </row>
    <row r="166" ht="22.5" customHeight="1">
      <c r="A166" s="45"/>
      <c r="B166" s="42"/>
      <c r="C166" s="46"/>
      <c r="D166" s="47"/>
      <c r="E166" s="46"/>
      <c r="F166" s="47"/>
      <c r="G166" s="46"/>
      <c r="H166" s="48"/>
      <c r="I166" s="49"/>
    </row>
    <row r="167" ht="22.5" customHeight="1">
      <c r="A167" s="45"/>
      <c r="B167" s="42"/>
      <c r="C167" s="46"/>
      <c r="D167" s="47"/>
      <c r="E167" s="46"/>
      <c r="F167" s="47"/>
      <c r="G167" s="46"/>
      <c r="H167" s="50"/>
      <c r="I167" s="51"/>
    </row>
    <row r="168" ht="22.5" customHeight="1">
      <c r="A168" s="45"/>
      <c r="B168" s="42"/>
      <c r="C168" s="46"/>
      <c r="D168" s="47"/>
      <c r="E168" s="46"/>
      <c r="F168" s="47"/>
      <c r="G168" s="46"/>
      <c r="H168" s="48"/>
      <c r="I168" s="49"/>
    </row>
    <row r="169" ht="22.5" customHeight="1">
      <c r="A169" s="45"/>
      <c r="B169" s="42"/>
      <c r="C169" s="46"/>
      <c r="D169" s="47"/>
      <c r="E169" s="46"/>
      <c r="F169" s="47"/>
      <c r="G169" s="46"/>
      <c r="H169" s="50"/>
      <c r="I169" s="51"/>
    </row>
    <row r="170" ht="22.5" customHeight="1">
      <c r="A170" s="45"/>
      <c r="B170" s="42"/>
      <c r="C170" s="46"/>
      <c r="D170" s="47"/>
      <c r="E170" s="46"/>
      <c r="F170" s="47"/>
      <c r="G170" s="46"/>
      <c r="H170" s="48"/>
      <c r="I170" s="49"/>
    </row>
    <row r="171" ht="22.5" customHeight="1">
      <c r="A171" s="45"/>
      <c r="B171" s="42"/>
      <c r="C171" s="46"/>
      <c r="D171" s="47"/>
      <c r="E171" s="46"/>
      <c r="F171" s="47"/>
      <c r="G171" s="46"/>
      <c r="H171" s="50"/>
      <c r="I171" s="51"/>
    </row>
    <row r="172" ht="22.5" customHeight="1">
      <c r="A172" s="45"/>
      <c r="B172" s="42"/>
      <c r="C172" s="46"/>
      <c r="D172" s="47"/>
      <c r="E172" s="46"/>
      <c r="F172" s="47"/>
      <c r="G172" s="46"/>
      <c r="H172" s="48"/>
      <c r="I172" s="49"/>
    </row>
    <row r="173" ht="22.5" customHeight="1">
      <c r="A173" s="45"/>
      <c r="B173" s="42"/>
      <c r="C173" s="46"/>
      <c r="D173" s="47"/>
      <c r="E173" s="46"/>
      <c r="F173" s="47"/>
      <c r="G173" s="46"/>
      <c r="H173" s="50"/>
      <c r="I173" s="51"/>
    </row>
    <row r="174" ht="22.5" customHeight="1">
      <c r="A174" s="45"/>
      <c r="B174" s="42"/>
      <c r="C174" s="46"/>
      <c r="D174" s="47"/>
      <c r="E174" s="46"/>
      <c r="F174" s="47"/>
      <c r="G174" s="46"/>
      <c r="H174" s="48"/>
      <c r="I174" s="49"/>
    </row>
    <row r="175" ht="22.5" customHeight="1">
      <c r="A175" s="45"/>
      <c r="B175" s="42"/>
      <c r="C175" s="46"/>
      <c r="D175" s="47"/>
      <c r="E175" s="46"/>
      <c r="F175" s="47"/>
      <c r="G175" s="46"/>
      <c r="H175" s="50"/>
      <c r="I175" s="51"/>
    </row>
    <row r="176" ht="22.5" customHeight="1">
      <c r="A176" s="45"/>
      <c r="B176" s="42"/>
      <c r="C176" s="46"/>
      <c r="D176" s="47"/>
      <c r="E176" s="46"/>
      <c r="F176" s="47"/>
      <c r="G176" s="46"/>
      <c r="H176" s="48"/>
      <c r="I176" s="49"/>
    </row>
    <row r="177" ht="22.5" customHeight="1">
      <c r="A177" s="45"/>
      <c r="B177" s="42"/>
      <c r="C177" s="46"/>
      <c r="D177" s="47"/>
      <c r="E177" s="46"/>
      <c r="F177" s="47"/>
      <c r="G177" s="46"/>
      <c r="H177" s="50"/>
      <c r="I177" s="51"/>
    </row>
    <row r="178" ht="22.5" customHeight="1">
      <c r="A178" s="45"/>
      <c r="B178" s="42"/>
      <c r="C178" s="46"/>
      <c r="D178" s="47"/>
      <c r="E178" s="46"/>
      <c r="F178" s="47"/>
      <c r="G178" s="46"/>
      <c r="H178" s="48"/>
      <c r="I178" s="49"/>
    </row>
    <row r="179" ht="22.5" customHeight="1">
      <c r="A179" s="45"/>
      <c r="B179" s="42"/>
      <c r="C179" s="46"/>
      <c r="D179" s="47"/>
      <c r="E179" s="46"/>
      <c r="F179" s="47"/>
      <c r="G179" s="46"/>
      <c r="H179" s="50"/>
      <c r="I179" s="51"/>
    </row>
    <row r="180" ht="22.5" customHeight="1">
      <c r="A180" s="45"/>
      <c r="B180" s="42"/>
      <c r="C180" s="46"/>
      <c r="D180" s="47"/>
      <c r="E180" s="46"/>
      <c r="F180" s="47"/>
      <c r="G180" s="46"/>
      <c r="H180" s="48"/>
      <c r="I180" s="49"/>
    </row>
    <row r="181" ht="22.5" customHeight="1">
      <c r="A181" s="45"/>
      <c r="B181" s="42"/>
      <c r="C181" s="46"/>
      <c r="D181" s="47"/>
      <c r="E181" s="46"/>
      <c r="F181" s="47"/>
      <c r="G181" s="46"/>
      <c r="H181" s="50"/>
      <c r="I181" s="51"/>
    </row>
    <row r="182" ht="22.5" customHeight="1">
      <c r="A182" s="45"/>
      <c r="B182" s="42"/>
      <c r="C182" s="46"/>
      <c r="D182" s="47"/>
      <c r="E182" s="46"/>
      <c r="F182" s="47"/>
      <c r="G182" s="46"/>
      <c r="H182" s="48"/>
      <c r="I182" s="49"/>
    </row>
    <row r="183" ht="22.5" customHeight="1">
      <c r="A183" s="45"/>
      <c r="B183" s="42"/>
      <c r="C183" s="46"/>
      <c r="D183" s="47"/>
      <c r="E183" s="46"/>
      <c r="F183" s="47"/>
      <c r="G183" s="46"/>
      <c r="H183" s="50"/>
      <c r="I183" s="51"/>
    </row>
    <row r="184" ht="22.5" customHeight="1">
      <c r="A184" s="45"/>
      <c r="B184" s="42"/>
      <c r="C184" s="46"/>
      <c r="D184" s="47"/>
      <c r="E184" s="46"/>
      <c r="F184" s="47"/>
      <c r="G184" s="46"/>
      <c r="H184" s="48"/>
      <c r="I184" s="49"/>
    </row>
    <row r="185" ht="22.5" customHeight="1">
      <c r="A185" s="45"/>
      <c r="B185" s="42"/>
      <c r="C185" s="46"/>
      <c r="D185" s="47"/>
      <c r="E185" s="46"/>
      <c r="F185" s="47"/>
      <c r="G185" s="46"/>
      <c r="H185" s="50"/>
      <c r="I185" s="51"/>
    </row>
    <row r="186" ht="22.5" customHeight="1">
      <c r="A186" s="45"/>
      <c r="B186" s="42"/>
      <c r="C186" s="46"/>
      <c r="D186" s="47"/>
      <c r="E186" s="46"/>
      <c r="F186" s="47"/>
      <c r="G186" s="46"/>
      <c r="H186" s="48"/>
      <c r="I186" s="49"/>
    </row>
    <row r="187" ht="22.5" customHeight="1">
      <c r="A187" s="45"/>
      <c r="B187" s="42"/>
      <c r="C187" s="46"/>
      <c r="D187" s="47"/>
      <c r="E187" s="46"/>
      <c r="F187" s="47"/>
      <c r="G187" s="46"/>
      <c r="H187" s="50"/>
      <c r="I187" s="51"/>
    </row>
    <row r="188" ht="22.5" customHeight="1">
      <c r="A188" s="45"/>
      <c r="B188" s="42"/>
      <c r="C188" s="46"/>
      <c r="D188" s="47"/>
      <c r="E188" s="46"/>
      <c r="F188" s="47"/>
      <c r="G188" s="46"/>
      <c r="H188" s="48"/>
      <c r="I188" s="49"/>
    </row>
    <row r="189" ht="22.5" customHeight="1">
      <c r="A189" s="45"/>
      <c r="B189" s="42"/>
      <c r="C189" s="46"/>
      <c r="D189" s="47"/>
      <c r="E189" s="46"/>
      <c r="F189" s="47"/>
      <c r="G189" s="46"/>
      <c r="H189" s="50"/>
      <c r="I189" s="51"/>
    </row>
    <row r="190" ht="22.5" customHeight="1">
      <c r="A190" s="45"/>
      <c r="B190" s="42"/>
      <c r="C190" s="46"/>
      <c r="D190" s="47"/>
      <c r="E190" s="46"/>
      <c r="F190" s="47"/>
      <c r="G190" s="46"/>
      <c r="H190" s="48"/>
      <c r="I190" s="49"/>
    </row>
    <row r="191" ht="22.5" customHeight="1">
      <c r="A191" s="45"/>
      <c r="B191" s="42"/>
      <c r="C191" s="46"/>
      <c r="D191" s="47"/>
      <c r="E191" s="46"/>
      <c r="F191" s="47"/>
      <c r="G191" s="46"/>
      <c r="H191" s="50"/>
      <c r="I191" s="51"/>
    </row>
    <row r="192" ht="22.5" customHeight="1">
      <c r="A192" s="45"/>
      <c r="B192" s="42"/>
      <c r="C192" s="46"/>
      <c r="D192" s="47"/>
      <c r="E192" s="46"/>
      <c r="F192" s="47"/>
      <c r="G192" s="46"/>
      <c r="H192" s="48"/>
      <c r="I192" s="49"/>
    </row>
    <row r="193" ht="22.5" customHeight="1">
      <c r="A193" s="45"/>
      <c r="B193" s="42"/>
      <c r="C193" s="46"/>
      <c r="D193" s="47"/>
      <c r="E193" s="46"/>
      <c r="F193" s="47"/>
      <c r="G193" s="46"/>
      <c r="H193" s="50"/>
      <c r="I193" s="51"/>
    </row>
    <row r="194" ht="22.5" customHeight="1">
      <c r="A194" s="45"/>
      <c r="B194" s="42"/>
      <c r="C194" s="46"/>
      <c r="D194" s="47"/>
      <c r="E194" s="46"/>
      <c r="F194" s="47"/>
      <c r="G194" s="46"/>
      <c r="H194" s="48"/>
      <c r="I194" s="49"/>
    </row>
    <row r="195" ht="22.5" customHeight="1">
      <c r="A195" s="45"/>
      <c r="B195" s="42"/>
      <c r="C195" s="46"/>
      <c r="D195" s="47"/>
      <c r="E195" s="46"/>
      <c r="F195" s="47"/>
      <c r="G195" s="46"/>
      <c r="H195" s="50"/>
      <c r="I195" s="51"/>
    </row>
    <row r="196" ht="22.5" customHeight="1">
      <c r="A196" s="45"/>
      <c r="B196" s="42"/>
      <c r="C196" s="46"/>
      <c r="D196" s="47"/>
      <c r="E196" s="46"/>
      <c r="F196" s="47"/>
      <c r="G196" s="46"/>
      <c r="H196" s="48"/>
      <c r="I196" s="49"/>
    </row>
    <row r="197" ht="22.5" customHeight="1">
      <c r="A197" s="45"/>
      <c r="B197" s="42"/>
      <c r="C197" s="46"/>
      <c r="D197" s="47"/>
      <c r="E197" s="46"/>
      <c r="F197" s="47"/>
      <c r="G197" s="46"/>
      <c r="H197" s="50"/>
      <c r="I197" s="51"/>
    </row>
    <row r="198" ht="22.5" customHeight="1">
      <c r="A198" s="45"/>
      <c r="B198" s="42"/>
      <c r="C198" s="46"/>
      <c r="D198" s="47"/>
      <c r="E198" s="46"/>
      <c r="F198" s="47"/>
      <c r="G198" s="46"/>
      <c r="H198" s="48"/>
      <c r="I198" s="49"/>
    </row>
    <row r="199" ht="22.5" customHeight="1">
      <c r="A199" s="45"/>
      <c r="B199" s="42"/>
      <c r="C199" s="46"/>
      <c r="D199" s="47"/>
      <c r="E199" s="46"/>
      <c r="F199" s="47"/>
      <c r="G199" s="46"/>
      <c r="H199" s="50"/>
      <c r="I199" s="51"/>
    </row>
    <row r="200" ht="22.5" customHeight="1">
      <c r="A200" s="45"/>
      <c r="B200" s="42"/>
      <c r="C200" s="46"/>
      <c r="D200" s="47"/>
      <c r="E200" s="46"/>
      <c r="F200" s="47"/>
      <c r="G200" s="46"/>
      <c r="H200" s="48"/>
      <c r="I200" s="49"/>
    </row>
    <row r="201" ht="22.5" customHeight="1">
      <c r="A201" s="45"/>
      <c r="B201" s="42"/>
      <c r="C201" s="46"/>
      <c r="D201" s="47"/>
      <c r="E201" s="46"/>
      <c r="F201" s="47"/>
      <c r="G201" s="46"/>
      <c r="H201" s="50"/>
      <c r="I201" s="51"/>
    </row>
    <row r="202" ht="22.5" customHeight="1">
      <c r="A202" s="42"/>
      <c r="B202" s="47"/>
      <c r="C202" s="46"/>
      <c r="D202" s="47"/>
      <c r="E202" s="46"/>
      <c r="F202" s="47"/>
      <c r="G202" s="46"/>
      <c r="H202" s="48"/>
      <c r="I202" s="49"/>
    </row>
    <row r="203" ht="22.5" customHeight="1">
      <c r="A203" s="42"/>
      <c r="B203" s="47"/>
      <c r="C203" s="46"/>
      <c r="D203" s="47"/>
      <c r="E203" s="46"/>
      <c r="F203" s="47"/>
      <c r="G203" s="46"/>
      <c r="H203" s="50"/>
      <c r="I203" s="51"/>
    </row>
    <row r="204" ht="22.5" customHeight="1">
      <c r="A204" s="42"/>
      <c r="B204" s="47"/>
      <c r="C204" s="46"/>
      <c r="D204" s="47"/>
      <c r="E204" s="46"/>
      <c r="F204" s="47"/>
      <c r="G204" s="46"/>
      <c r="H204" s="48"/>
      <c r="I204" s="49"/>
    </row>
    <row r="205" ht="22.5" customHeight="1">
      <c r="A205" s="42"/>
      <c r="B205" s="47"/>
      <c r="C205" s="46"/>
      <c r="D205" s="47"/>
      <c r="E205" s="46"/>
      <c r="F205" s="47"/>
      <c r="G205" s="46"/>
      <c r="H205" s="50"/>
      <c r="I205" s="51"/>
    </row>
    <row r="206" ht="22.5" customHeight="1">
      <c r="A206" s="42"/>
      <c r="B206" s="47"/>
      <c r="C206" s="46"/>
      <c r="D206" s="47"/>
      <c r="E206" s="46"/>
      <c r="F206" s="47"/>
      <c r="G206" s="46"/>
      <c r="H206" s="48"/>
      <c r="I206" s="49"/>
    </row>
    <row r="207" ht="22.5" customHeight="1">
      <c r="A207" s="42"/>
      <c r="B207" s="47"/>
      <c r="C207" s="46"/>
      <c r="D207" s="47"/>
      <c r="E207" s="46"/>
      <c r="F207" s="47"/>
      <c r="G207" s="46"/>
      <c r="H207" s="50"/>
      <c r="I207" s="51"/>
    </row>
    <row r="208" ht="22.5" customHeight="1">
      <c r="A208" s="42"/>
      <c r="B208" s="47"/>
      <c r="C208" s="46"/>
      <c r="D208" s="47"/>
      <c r="E208" s="46"/>
      <c r="F208" s="47"/>
      <c r="G208" s="46"/>
      <c r="H208" s="48"/>
      <c r="I208" s="49"/>
    </row>
    <row r="209" ht="22.5" customHeight="1">
      <c r="A209" s="42"/>
      <c r="B209" s="47"/>
      <c r="C209" s="46"/>
      <c r="D209" s="47"/>
      <c r="E209" s="46"/>
      <c r="F209" s="47"/>
      <c r="G209" s="46"/>
      <c r="H209" s="50"/>
      <c r="I209" s="51"/>
    </row>
    <row r="210" ht="22.5" customHeight="1">
      <c r="A210" s="42"/>
      <c r="B210" s="47"/>
      <c r="C210" s="46"/>
      <c r="D210" s="47"/>
      <c r="E210" s="46"/>
      <c r="F210" s="47"/>
      <c r="G210" s="46"/>
      <c r="H210" s="48"/>
      <c r="I210" s="49"/>
    </row>
    <row r="211" ht="22.5" customHeight="1">
      <c r="A211" s="42"/>
      <c r="B211" s="47"/>
      <c r="C211" s="46"/>
      <c r="D211" s="47"/>
      <c r="E211" s="46"/>
      <c r="F211" s="47"/>
      <c r="G211" s="46"/>
      <c r="H211" s="50"/>
      <c r="I211" s="51"/>
    </row>
    <row r="212" ht="22.5" customHeight="1">
      <c r="A212" s="42"/>
      <c r="B212" s="47"/>
      <c r="C212" s="46"/>
      <c r="D212" s="47"/>
      <c r="E212" s="46"/>
      <c r="F212" s="47"/>
      <c r="G212" s="46"/>
      <c r="H212" s="48"/>
      <c r="I212" s="49"/>
    </row>
    <row r="213" ht="22.5" customHeight="1">
      <c r="A213" s="42"/>
      <c r="B213" s="47"/>
      <c r="C213" s="46"/>
      <c r="D213" s="47"/>
      <c r="E213" s="46"/>
      <c r="F213" s="47"/>
      <c r="G213" s="46"/>
      <c r="H213" s="50"/>
      <c r="I213" s="51"/>
    </row>
    <row r="214" ht="22.5" customHeight="1">
      <c r="A214" s="42"/>
      <c r="B214" s="47"/>
      <c r="C214" s="46"/>
      <c r="D214" s="47"/>
      <c r="E214" s="46"/>
      <c r="F214" s="47"/>
      <c r="G214" s="46"/>
      <c r="H214" s="48"/>
      <c r="I214" s="49"/>
    </row>
    <row r="215" ht="22.5" customHeight="1">
      <c r="A215" s="42"/>
      <c r="B215" s="47"/>
      <c r="C215" s="46"/>
      <c r="D215" s="47"/>
      <c r="E215" s="46"/>
      <c r="F215" s="47"/>
      <c r="G215" s="46"/>
      <c r="H215" s="50"/>
      <c r="I215" s="51"/>
    </row>
    <row r="216" ht="22.5" customHeight="1">
      <c r="A216" s="42"/>
      <c r="B216" s="47"/>
      <c r="C216" s="46"/>
      <c r="D216" s="47"/>
      <c r="E216" s="46"/>
      <c r="F216" s="47"/>
      <c r="G216" s="46"/>
      <c r="H216" s="48"/>
      <c r="I216" s="49"/>
    </row>
    <row r="217" ht="22.5" customHeight="1">
      <c r="A217" s="42"/>
      <c r="B217" s="47"/>
      <c r="C217" s="46"/>
      <c r="D217" s="47"/>
      <c r="E217" s="46"/>
      <c r="F217" s="47"/>
      <c r="G217" s="46"/>
      <c r="H217" s="50"/>
      <c r="I217" s="51"/>
    </row>
    <row r="218" ht="22.5" customHeight="1">
      <c r="A218" s="42"/>
      <c r="B218" s="47"/>
      <c r="C218" s="46"/>
      <c r="D218" s="47"/>
      <c r="E218" s="46"/>
      <c r="F218" s="47"/>
      <c r="G218" s="46"/>
      <c r="H218" s="48"/>
      <c r="I218" s="49"/>
    </row>
    <row r="219" ht="22.5" customHeight="1">
      <c r="A219" s="42"/>
      <c r="B219" s="47"/>
      <c r="C219" s="46"/>
      <c r="D219" s="47"/>
      <c r="E219" s="46"/>
      <c r="F219" s="47"/>
      <c r="G219" s="46"/>
      <c r="H219" s="50"/>
      <c r="I219" s="51"/>
    </row>
    <row r="220" ht="22.5" customHeight="1">
      <c r="A220" s="42"/>
      <c r="B220" s="47"/>
      <c r="C220" s="46"/>
      <c r="D220" s="47"/>
      <c r="E220" s="46"/>
      <c r="F220" s="47"/>
      <c r="G220" s="46"/>
      <c r="H220" s="48"/>
      <c r="I220" s="49"/>
    </row>
    <row r="221" ht="22.5" customHeight="1">
      <c r="A221" s="42"/>
      <c r="B221" s="47"/>
      <c r="C221" s="46"/>
      <c r="D221" s="47"/>
      <c r="E221" s="46"/>
      <c r="F221" s="47"/>
      <c r="G221" s="46"/>
      <c r="H221" s="50"/>
      <c r="I221" s="51"/>
    </row>
    <row r="222" ht="22.5" customHeight="1">
      <c r="A222" s="42"/>
      <c r="B222" s="47"/>
      <c r="C222" s="46"/>
      <c r="D222" s="47"/>
      <c r="E222" s="46"/>
      <c r="F222" s="47"/>
      <c r="G222" s="46"/>
      <c r="H222" s="48"/>
      <c r="I222" s="49"/>
    </row>
    <row r="223" ht="22.5" customHeight="1">
      <c r="A223" s="42"/>
      <c r="B223" s="47"/>
      <c r="C223" s="46"/>
      <c r="D223" s="47"/>
      <c r="E223" s="46"/>
      <c r="F223" s="47"/>
      <c r="G223" s="46"/>
      <c r="H223" s="50"/>
      <c r="I223" s="51"/>
    </row>
    <row r="224" ht="22.5" customHeight="1">
      <c r="A224" s="42"/>
      <c r="B224" s="47"/>
      <c r="C224" s="46"/>
      <c r="D224" s="47"/>
      <c r="E224" s="46"/>
      <c r="F224" s="47"/>
      <c r="G224" s="46"/>
      <c r="H224" s="48"/>
      <c r="I224" s="49"/>
    </row>
    <row r="225" ht="22.5" customHeight="1">
      <c r="A225" s="42"/>
      <c r="B225" s="47"/>
      <c r="C225" s="46"/>
      <c r="D225" s="47"/>
      <c r="E225" s="46"/>
      <c r="F225" s="47"/>
      <c r="G225" s="46"/>
      <c r="H225" s="50"/>
      <c r="I225" s="51"/>
    </row>
    <row r="226" ht="22.5" customHeight="1">
      <c r="A226" s="42"/>
      <c r="B226" s="47"/>
      <c r="C226" s="46"/>
      <c r="D226" s="47"/>
      <c r="E226" s="46"/>
      <c r="F226" s="47"/>
      <c r="G226" s="46"/>
      <c r="H226" s="48"/>
      <c r="I226" s="49"/>
    </row>
    <row r="227" ht="22.5" customHeight="1">
      <c r="A227" s="42"/>
      <c r="B227" s="47"/>
      <c r="C227" s="46"/>
      <c r="D227" s="47"/>
      <c r="E227" s="46"/>
      <c r="F227" s="47"/>
      <c r="G227" s="46"/>
      <c r="H227" s="50"/>
      <c r="I227" s="51"/>
    </row>
    <row r="228" ht="22.5" customHeight="1">
      <c r="A228" s="42"/>
      <c r="B228" s="47"/>
      <c r="C228" s="46"/>
      <c r="D228" s="47"/>
      <c r="E228" s="46"/>
      <c r="F228" s="47"/>
      <c r="G228" s="46"/>
      <c r="H228" s="48"/>
      <c r="I228" s="49"/>
    </row>
    <row r="229" ht="22.5" customHeight="1">
      <c r="A229" s="42"/>
      <c r="B229" s="47"/>
      <c r="C229" s="46"/>
      <c r="D229" s="47"/>
      <c r="E229" s="46"/>
      <c r="F229" s="47"/>
      <c r="G229" s="46"/>
      <c r="H229" s="50"/>
      <c r="I229" s="51"/>
    </row>
    <row r="230" ht="22.5" customHeight="1">
      <c r="A230" s="42"/>
      <c r="B230" s="47"/>
      <c r="C230" s="46"/>
      <c r="D230" s="47"/>
      <c r="E230" s="46"/>
      <c r="F230" s="47"/>
      <c r="G230" s="46"/>
      <c r="H230" s="48"/>
      <c r="I230" s="49"/>
    </row>
    <row r="231" ht="22.5" customHeight="1">
      <c r="A231" s="42"/>
      <c r="B231" s="47"/>
      <c r="C231" s="46"/>
      <c r="D231" s="47"/>
      <c r="E231" s="46"/>
      <c r="F231" s="47"/>
      <c r="G231" s="46"/>
      <c r="H231" s="50"/>
      <c r="I231" s="51"/>
    </row>
    <row r="232" ht="22.5" customHeight="1">
      <c r="A232" s="42"/>
      <c r="B232" s="47"/>
      <c r="C232" s="46"/>
      <c r="D232" s="47"/>
      <c r="E232" s="46"/>
      <c r="F232" s="47"/>
      <c r="G232" s="46"/>
      <c r="H232" s="48"/>
      <c r="I232" s="49"/>
    </row>
    <row r="233" ht="22.5" customHeight="1">
      <c r="A233" s="42"/>
      <c r="B233" s="47"/>
      <c r="C233" s="46"/>
      <c r="D233" s="47"/>
      <c r="E233" s="46"/>
      <c r="F233" s="47"/>
      <c r="G233" s="46"/>
      <c r="H233" s="50"/>
      <c r="I233" s="51"/>
    </row>
    <row r="234" ht="22.5" customHeight="1">
      <c r="A234" s="42"/>
      <c r="B234" s="47"/>
      <c r="C234" s="46"/>
      <c r="D234" s="47"/>
      <c r="E234" s="46"/>
      <c r="F234" s="47"/>
      <c r="G234" s="46"/>
      <c r="H234" s="48"/>
      <c r="I234" s="49"/>
    </row>
    <row r="235" ht="22.5" customHeight="1">
      <c r="A235" s="42"/>
      <c r="B235" s="47"/>
      <c r="C235" s="46"/>
      <c r="D235" s="47"/>
      <c r="E235" s="46"/>
      <c r="F235" s="47"/>
      <c r="G235" s="46"/>
      <c r="H235" s="50"/>
      <c r="I235" s="51"/>
    </row>
    <row r="236" ht="22.5" customHeight="1">
      <c r="A236" s="42"/>
      <c r="B236" s="47"/>
      <c r="C236" s="46"/>
      <c r="D236" s="47"/>
      <c r="E236" s="46"/>
      <c r="F236" s="47"/>
      <c r="G236" s="46"/>
      <c r="H236" s="48"/>
      <c r="I236" s="49"/>
    </row>
    <row r="237" ht="22.5" customHeight="1">
      <c r="A237" s="42"/>
      <c r="B237" s="47"/>
      <c r="C237" s="46"/>
      <c r="D237" s="47"/>
      <c r="E237" s="46"/>
      <c r="F237" s="47"/>
      <c r="G237" s="46"/>
      <c r="H237" s="50"/>
      <c r="I237" s="51"/>
    </row>
    <row r="238" ht="22.5" customHeight="1">
      <c r="A238" s="42"/>
      <c r="B238" s="47"/>
      <c r="C238" s="46"/>
      <c r="D238" s="47"/>
      <c r="E238" s="46"/>
      <c r="F238" s="47"/>
      <c r="G238" s="46"/>
      <c r="H238" s="48"/>
      <c r="I238" s="49"/>
    </row>
    <row r="239" ht="22.5" customHeight="1">
      <c r="A239" s="42"/>
      <c r="B239" s="47"/>
      <c r="C239" s="46"/>
      <c r="D239" s="47"/>
      <c r="E239" s="46"/>
      <c r="F239" s="47"/>
      <c r="G239" s="46"/>
      <c r="H239" s="50"/>
      <c r="I239" s="51"/>
    </row>
    <row r="240" ht="22.5" customHeight="1">
      <c r="A240" s="42"/>
      <c r="B240" s="47"/>
      <c r="C240" s="46"/>
      <c r="D240" s="47"/>
      <c r="E240" s="46"/>
      <c r="F240" s="47"/>
      <c r="G240" s="46"/>
      <c r="H240" s="48"/>
      <c r="I240" s="49"/>
    </row>
    <row r="241" ht="22.5" customHeight="1">
      <c r="A241" s="42"/>
      <c r="B241" s="47"/>
      <c r="C241" s="46"/>
      <c r="D241" s="47"/>
      <c r="E241" s="46"/>
      <c r="F241" s="47"/>
      <c r="G241" s="46"/>
      <c r="H241" s="50"/>
      <c r="I241" s="51"/>
    </row>
    <row r="242" ht="22.5" customHeight="1">
      <c r="A242" s="42"/>
      <c r="B242" s="47"/>
      <c r="C242" s="46"/>
      <c r="D242" s="47"/>
      <c r="E242" s="46"/>
      <c r="F242" s="47"/>
      <c r="G242" s="46"/>
      <c r="H242" s="48"/>
      <c r="I242" s="49"/>
    </row>
    <row r="243" ht="22.5" customHeight="1">
      <c r="A243" s="42"/>
      <c r="B243" s="47"/>
      <c r="C243" s="46"/>
      <c r="D243" s="47"/>
      <c r="E243" s="46"/>
      <c r="F243" s="47"/>
      <c r="G243" s="46"/>
      <c r="H243" s="50"/>
      <c r="I243" s="51"/>
    </row>
    <row r="244" ht="22.5" customHeight="1">
      <c r="A244" s="42"/>
      <c r="B244" s="47"/>
      <c r="C244" s="46"/>
      <c r="D244" s="47"/>
      <c r="E244" s="46"/>
      <c r="F244" s="47"/>
      <c r="G244" s="46"/>
      <c r="H244" s="48"/>
      <c r="I244" s="49"/>
    </row>
    <row r="245" ht="22.5" customHeight="1">
      <c r="A245" s="42"/>
      <c r="B245" s="47"/>
      <c r="C245" s="46"/>
      <c r="D245" s="47"/>
      <c r="E245" s="46"/>
      <c r="F245" s="47"/>
      <c r="G245" s="46"/>
      <c r="H245" s="50"/>
      <c r="I245" s="51"/>
    </row>
    <row r="246" ht="22.5" customHeight="1">
      <c r="A246" s="42"/>
      <c r="B246" s="47"/>
      <c r="C246" s="46"/>
      <c r="D246" s="47"/>
      <c r="E246" s="46"/>
      <c r="F246" s="47"/>
      <c r="G246" s="46"/>
      <c r="H246" s="48"/>
      <c r="I246" s="49"/>
    </row>
    <row r="247" ht="22.5" customHeight="1">
      <c r="A247" s="42"/>
      <c r="B247" s="47"/>
      <c r="C247" s="46"/>
      <c r="D247" s="47"/>
      <c r="E247" s="46"/>
      <c r="F247" s="47"/>
      <c r="G247" s="46"/>
      <c r="H247" s="50"/>
      <c r="I247" s="51"/>
    </row>
    <row r="248" ht="22.5" customHeight="1">
      <c r="A248" s="42"/>
      <c r="B248" s="47"/>
      <c r="C248" s="46"/>
      <c r="D248" s="47"/>
      <c r="E248" s="46"/>
      <c r="F248" s="47"/>
      <c r="G248" s="46"/>
      <c r="H248" s="48"/>
      <c r="I248" s="49"/>
    </row>
    <row r="249" ht="22.5" customHeight="1">
      <c r="A249" s="42"/>
      <c r="B249" s="47"/>
      <c r="C249" s="46"/>
      <c r="D249" s="47"/>
      <c r="E249" s="46"/>
      <c r="F249" s="47"/>
      <c r="G249" s="46"/>
      <c r="H249" s="50"/>
      <c r="I249" s="51"/>
    </row>
    <row r="250" ht="22.5" customHeight="1">
      <c r="A250" s="42"/>
      <c r="B250" s="47"/>
      <c r="C250" s="46"/>
      <c r="D250" s="47"/>
      <c r="E250" s="46"/>
      <c r="F250" s="47"/>
      <c r="G250" s="46"/>
      <c r="H250" s="48"/>
      <c r="I250" s="49"/>
    </row>
    <row r="251" ht="22.5" customHeight="1">
      <c r="A251" s="42"/>
      <c r="B251" s="47"/>
      <c r="C251" s="46"/>
      <c r="D251" s="47"/>
      <c r="E251" s="46"/>
      <c r="F251" s="47"/>
      <c r="G251" s="46"/>
      <c r="H251" s="50"/>
      <c r="I251" s="51"/>
    </row>
    <row r="252" ht="22.5" customHeight="1">
      <c r="A252" s="42"/>
      <c r="B252" s="47"/>
      <c r="C252" s="46"/>
      <c r="D252" s="47"/>
      <c r="E252" s="46"/>
      <c r="F252" s="47"/>
      <c r="G252" s="46"/>
      <c r="H252" s="48"/>
      <c r="I252" s="49"/>
    </row>
    <row r="253" ht="22.5" customHeight="1">
      <c r="A253" s="42"/>
      <c r="B253" s="47"/>
      <c r="C253" s="46"/>
      <c r="D253" s="47"/>
      <c r="E253" s="46"/>
      <c r="F253" s="47"/>
      <c r="G253" s="46"/>
      <c r="H253" s="50"/>
      <c r="I253" s="51"/>
    </row>
    <row r="254" ht="22.5" customHeight="1">
      <c r="A254" s="42"/>
      <c r="B254" s="47"/>
      <c r="C254" s="46"/>
      <c r="D254" s="47"/>
      <c r="E254" s="46"/>
      <c r="F254" s="47"/>
      <c r="G254" s="46"/>
      <c r="H254" s="48"/>
      <c r="I254" s="49"/>
    </row>
    <row r="255" ht="22.5" customHeight="1">
      <c r="A255" s="42"/>
      <c r="B255" s="47"/>
      <c r="C255" s="46"/>
      <c r="D255" s="47"/>
      <c r="E255" s="46"/>
      <c r="F255" s="47"/>
      <c r="G255" s="46"/>
      <c r="H255" s="50"/>
      <c r="I255" s="51"/>
    </row>
    <row r="256" ht="22.5" customHeight="1">
      <c r="A256" s="42"/>
      <c r="B256" s="47"/>
      <c r="C256" s="46"/>
      <c r="D256" s="47"/>
      <c r="E256" s="46"/>
      <c r="F256" s="47"/>
      <c r="G256" s="46"/>
      <c r="H256" s="48"/>
      <c r="I256" s="49"/>
    </row>
    <row r="257" ht="22.5" customHeight="1">
      <c r="A257" s="42"/>
      <c r="B257" s="47"/>
      <c r="C257" s="46"/>
      <c r="D257" s="47"/>
      <c r="E257" s="46"/>
      <c r="F257" s="47"/>
      <c r="G257" s="46"/>
      <c r="H257" s="50"/>
      <c r="I257" s="51"/>
    </row>
    <row r="258" ht="22.5" customHeight="1">
      <c r="A258" s="42"/>
      <c r="B258" s="47"/>
      <c r="C258" s="46"/>
      <c r="D258" s="47"/>
      <c r="E258" s="46"/>
      <c r="F258" s="47"/>
      <c r="G258" s="46"/>
      <c r="H258" s="48"/>
      <c r="I258" s="49"/>
    </row>
    <row r="259" ht="22.5" customHeight="1">
      <c r="A259" s="42"/>
      <c r="B259" s="47"/>
      <c r="C259" s="46"/>
      <c r="D259" s="47"/>
      <c r="E259" s="46"/>
      <c r="F259" s="47"/>
      <c r="G259" s="46"/>
      <c r="H259" s="50"/>
      <c r="I259" s="51"/>
    </row>
    <row r="260" ht="22.5" customHeight="1">
      <c r="A260" s="42"/>
      <c r="B260" s="47"/>
      <c r="C260" s="46"/>
      <c r="D260" s="47"/>
      <c r="E260" s="46"/>
      <c r="F260" s="47"/>
      <c r="G260" s="46"/>
      <c r="H260" s="48"/>
      <c r="I260" s="49"/>
    </row>
    <row r="261" ht="22.5" customHeight="1">
      <c r="A261" s="42"/>
      <c r="B261" s="47"/>
      <c r="C261" s="46"/>
      <c r="D261" s="47"/>
      <c r="E261" s="46"/>
      <c r="F261" s="47"/>
      <c r="G261" s="46"/>
      <c r="H261" s="50"/>
      <c r="I261" s="51"/>
    </row>
    <row r="262" ht="22.5" customHeight="1">
      <c r="A262" s="42"/>
      <c r="B262" s="47"/>
      <c r="C262" s="46"/>
      <c r="D262" s="47"/>
      <c r="E262" s="46"/>
      <c r="F262" s="47"/>
      <c r="G262" s="46"/>
      <c r="H262" s="48"/>
      <c r="I262" s="49"/>
    </row>
    <row r="263" ht="22.5" customHeight="1">
      <c r="A263" s="42"/>
      <c r="B263" s="47"/>
      <c r="C263" s="46"/>
      <c r="D263" s="47"/>
      <c r="E263" s="46"/>
      <c r="F263" s="47"/>
      <c r="G263" s="46"/>
      <c r="H263" s="50"/>
      <c r="I263" s="51"/>
    </row>
    <row r="264" ht="22.5" customHeight="1">
      <c r="A264" s="42"/>
      <c r="B264" s="47"/>
      <c r="C264" s="46"/>
      <c r="D264" s="47"/>
      <c r="E264" s="46"/>
      <c r="F264" s="47"/>
      <c r="G264" s="46"/>
      <c r="H264" s="48"/>
      <c r="I264" s="49"/>
    </row>
    <row r="265" ht="22.5" customHeight="1">
      <c r="A265" s="42"/>
      <c r="B265" s="47"/>
      <c r="C265" s="46"/>
      <c r="D265" s="47"/>
      <c r="E265" s="46"/>
      <c r="F265" s="47"/>
      <c r="G265" s="46"/>
      <c r="H265" s="50"/>
      <c r="I265" s="51"/>
    </row>
    <row r="266" ht="22.5" customHeight="1">
      <c r="A266" s="42"/>
      <c r="B266" s="47"/>
      <c r="C266" s="46"/>
      <c r="D266" s="47"/>
      <c r="E266" s="46"/>
      <c r="F266" s="47"/>
      <c r="G266" s="46"/>
      <c r="H266" s="48"/>
      <c r="I266" s="49"/>
    </row>
    <row r="267" ht="22.5" customHeight="1">
      <c r="A267" s="42"/>
      <c r="B267" s="47"/>
      <c r="C267" s="46"/>
      <c r="D267" s="47"/>
      <c r="E267" s="46"/>
      <c r="F267" s="47"/>
      <c r="G267" s="46"/>
      <c r="H267" s="50"/>
      <c r="I267" s="51"/>
    </row>
    <row r="268" ht="22.5" customHeight="1">
      <c r="A268" s="42"/>
      <c r="B268" s="47"/>
      <c r="C268" s="46"/>
      <c r="D268" s="47"/>
      <c r="E268" s="46"/>
      <c r="F268" s="47"/>
      <c r="G268" s="46"/>
      <c r="H268" s="48"/>
      <c r="I268" s="49"/>
    </row>
    <row r="269" ht="22.5" customHeight="1">
      <c r="A269" s="42"/>
      <c r="B269" s="47"/>
      <c r="C269" s="46"/>
      <c r="D269" s="47"/>
      <c r="E269" s="46"/>
      <c r="F269" s="47"/>
      <c r="G269" s="46"/>
      <c r="H269" s="50"/>
      <c r="I269" s="51"/>
    </row>
    <row r="270" ht="22.5" customHeight="1">
      <c r="A270" s="42"/>
      <c r="B270" s="47"/>
      <c r="C270" s="46"/>
      <c r="D270" s="47"/>
      <c r="E270" s="46"/>
      <c r="F270" s="47"/>
      <c r="G270" s="46"/>
      <c r="H270" s="48"/>
      <c r="I270" s="49"/>
    </row>
    <row r="271" ht="22.5" customHeight="1">
      <c r="A271" s="42"/>
      <c r="B271" s="47"/>
      <c r="C271" s="46"/>
      <c r="D271" s="47"/>
      <c r="E271" s="46"/>
      <c r="F271" s="47"/>
      <c r="G271" s="46"/>
      <c r="H271" s="50"/>
      <c r="I271" s="51"/>
    </row>
    <row r="272" ht="22.5" customHeight="1">
      <c r="A272" s="42"/>
      <c r="B272" s="47"/>
      <c r="C272" s="46"/>
      <c r="D272" s="47"/>
      <c r="E272" s="46"/>
      <c r="F272" s="47"/>
      <c r="G272" s="46"/>
      <c r="H272" s="48"/>
      <c r="I272" s="49"/>
    </row>
    <row r="273" ht="22.5" customHeight="1">
      <c r="A273" s="42"/>
      <c r="B273" s="47"/>
      <c r="C273" s="46"/>
      <c r="D273" s="47"/>
      <c r="E273" s="46"/>
      <c r="F273" s="47"/>
      <c r="G273" s="46"/>
      <c r="H273" s="50"/>
      <c r="I273" s="51"/>
    </row>
    <row r="274" ht="22.5" customHeight="1">
      <c r="A274" s="42"/>
      <c r="B274" s="47"/>
      <c r="C274" s="46"/>
      <c r="D274" s="47"/>
      <c r="E274" s="46"/>
      <c r="F274" s="47"/>
      <c r="G274" s="46"/>
      <c r="H274" s="48"/>
      <c r="I274" s="49"/>
    </row>
    <row r="275" ht="22.5" customHeight="1">
      <c r="A275" s="42"/>
      <c r="B275" s="47"/>
      <c r="C275" s="46"/>
      <c r="D275" s="47"/>
      <c r="E275" s="46"/>
      <c r="F275" s="47"/>
      <c r="G275" s="46"/>
      <c r="H275" s="50"/>
      <c r="I275" s="51"/>
    </row>
    <row r="276" ht="22.5" customHeight="1">
      <c r="A276" s="42"/>
      <c r="B276" s="47"/>
      <c r="C276" s="46"/>
      <c r="D276" s="47"/>
      <c r="E276" s="46"/>
      <c r="F276" s="47"/>
      <c r="G276" s="46"/>
      <c r="H276" s="48"/>
      <c r="I276" s="49"/>
    </row>
    <row r="277" ht="22.5" customHeight="1">
      <c r="A277" s="42"/>
      <c r="B277" s="47"/>
      <c r="C277" s="46"/>
      <c r="D277" s="47"/>
      <c r="E277" s="46"/>
      <c r="F277" s="47"/>
      <c r="G277" s="46"/>
      <c r="H277" s="50"/>
      <c r="I277" s="51"/>
    </row>
    <row r="278" ht="22.5" customHeight="1">
      <c r="A278" s="42"/>
      <c r="B278" s="47"/>
      <c r="C278" s="46"/>
      <c r="D278" s="47"/>
      <c r="E278" s="46"/>
      <c r="F278" s="47"/>
      <c r="G278" s="46"/>
      <c r="H278" s="48"/>
      <c r="I278" s="49"/>
    </row>
    <row r="279" ht="22.5" customHeight="1">
      <c r="A279" s="42"/>
      <c r="B279" s="47"/>
      <c r="C279" s="46"/>
      <c r="D279" s="47"/>
      <c r="E279" s="46"/>
      <c r="F279" s="47"/>
      <c r="G279" s="46"/>
      <c r="H279" s="50"/>
      <c r="I279" s="51"/>
    </row>
    <row r="280" ht="22.5" customHeight="1">
      <c r="A280" s="42"/>
      <c r="B280" s="47"/>
      <c r="C280" s="46"/>
      <c r="D280" s="47"/>
      <c r="E280" s="46"/>
      <c r="F280" s="47"/>
      <c r="G280" s="46"/>
      <c r="H280" s="48"/>
      <c r="I280" s="49"/>
    </row>
    <row r="281" ht="22.5" customHeight="1">
      <c r="A281" s="42"/>
      <c r="B281" s="47"/>
      <c r="C281" s="46"/>
      <c r="D281" s="47"/>
      <c r="E281" s="46"/>
      <c r="F281" s="47"/>
      <c r="G281" s="46"/>
      <c r="H281" s="50"/>
      <c r="I281" s="51"/>
    </row>
    <row r="282" ht="22.5" customHeight="1">
      <c r="A282" s="42"/>
      <c r="B282" s="47"/>
      <c r="C282" s="46"/>
      <c r="D282" s="47"/>
      <c r="E282" s="46"/>
      <c r="F282" s="47"/>
      <c r="G282" s="46"/>
      <c r="H282" s="48"/>
      <c r="I282" s="49"/>
    </row>
    <row r="283" ht="22.5" customHeight="1">
      <c r="A283" s="42"/>
      <c r="B283" s="47"/>
      <c r="C283" s="46"/>
      <c r="D283" s="47"/>
      <c r="E283" s="46"/>
      <c r="F283" s="47"/>
      <c r="G283" s="46"/>
      <c r="H283" s="50"/>
      <c r="I283" s="51"/>
    </row>
    <row r="284" ht="22.5" customHeight="1">
      <c r="A284" s="42"/>
      <c r="B284" s="47"/>
      <c r="C284" s="46"/>
      <c r="D284" s="47"/>
      <c r="E284" s="46"/>
      <c r="F284" s="47"/>
      <c r="G284" s="46"/>
      <c r="H284" s="48"/>
      <c r="I284" s="49"/>
    </row>
    <row r="285" ht="22.5" customHeight="1">
      <c r="A285" s="42"/>
      <c r="B285" s="47"/>
      <c r="C285" s="46"/>
      <c r="D285" s="47"/>
      <c r="E285" s="46"/>
      <c r="F285" s="47"/>
      <c r="G285" s="46"/>
      <c r="H285" s="50"/>
      <c r="I285" s="51"/>
    </row>
    <row r="286" ht="22.5" customHeight="1">
      <c r="A286" s="42"/>
      <c r="B286" s="47"/>
      <c r="C286" s="46"/>
      <c r="D286" s="47"/>
      <c r="E286" s="46"/>
      <c r="F286" s="47"/>
      <c r="G286" s="46"/>
      <c r="H286" s="48"/>
      <c r="I286" s="49"/>
    </row>
    <row r="287" ht="22.5" customHeight="1">
      <c r="A287" s="42"/>
      <c r="B287" s="47"/>
      <c r="C287" s="46"/>
      <c r="D287" s="47"/>
      <c r="E287" s="46"/>
      <c r="F287" s="47"/>
      <c r="G287" s="46"/>
      <c r="H287" s="50"/>
      <c r="I287" s="51"/>
    </row>
    <row r="288" ht="22.5" customHeight="1">
      <c r="A288" s="42"/>
      <c r="B288" s="47"/>
      <c r="C288" s="46"/>
      <c r="D288" s="47"/>
      <c r="E288" s="46"/>
      <c r="F288" s="47"/>
      <c r="G288" s="46"/>
      <c r="H288" s="48"/>
      <c r="I288" s="49"/>
    </row>
    <row r="289" ht="22.5" customHeight="1">
      <c r="A289" s="42"/>
      <c r="B289" s="47"/>
      <c r="C289" s="46"/>
      <c r="D289" s="47"/>
      <c r="E289" s="46"/>
      <c r="F289" s="47"/>
      <c r="G289" s="46"/>
      <c r="H289" s="50"/>
      <c r="I289" s="51"/>
    </row>
    <row r="290" ht="22.5" customHeight="1">
      <c r="A290" s="42"/>
      <c r="B290" s="47"/>
      <c r="C290" s="46"/>
      <c r="D290" s="47"/>
      <c r="E290" s="46"/>
      <c r="F290" s="47"/>
      <c r="G290" s="46"/>
      <c r="H290" s="48"/>
      <c r="I290" s="49"/>
    </row>
    <row r="291" ht="22.5" customHeight="1">
      <c r="A291" s="42"/>
      <c r="B291" s="47"/>
      <c r="C291" s="46"/>
      <c r="D291" s="47"/>
      <c r="E291" s="46"/>
      <c r="F291" s="47"/>
      <c r="G291" s="46"/>
      <c r="H291" s="50"/>
      <c r="I291" s="51"/>
    </row>
    <row r="292" ht="22.5" customHeight="1">
      <c r="A292" s="42"/>
      <c r="B292" s="47"/>
      <c r="C292" s="46"/>
      <c r="D292" s="47"/>
      <c r="E292" s="46"/>
      <c r="F292" s="47"/>
      <c r="G292" s="46"/>
      <c r="H292" s="48"/>
      <c r="I292" s="49"/>
    </row>
    <row r="293" ht="22.5" customHeight="1">
      <c r="A293" s="42"/>
      <c r="B293" s="47"/>
      <c r="C293" s="46"/>
      <c r="D293" s="47"/>
      <c r="E293" s="46"/>
      <c r="F293" s="47"/>
      <c r="G293" s="46"/>
      <c r="H293" s="50"/>
      <c r="I293" s="51"/>
    </row>
    <row r="294" ht="22.5" customHeight="1">
      <c r="A294" s="42"/>
      <c r="B294" s="47"/>
      <c r="C294" s="46"/>
      <c r="D294" s="47"/>
      <c r="E294" s="46"/>
      <c r="F294" s="47"/>
      <c r="G294" s="46"/>
      <c r="H294" s="48"/>
      <c r="I294" s="49"/>
    </row>
    <row r="295" ht="22.5" customHeight="1">
      <c r="A295" s="42"/>
      <c r="B295" s="47"/>
      <c r="C295" s="46"/>
      <c r="D295" s="47"/>
      <c r="E295" s="46"/>
      <c r="F295" s="47"/>
      <c r="G295" s="46"/>
      <c r="H295" s="50"/>
      <c r="I295" s="51"/>
    </row>
    <row r="296" ht="22.5" customHeight="1">
      <c r="A296" s="42"/>
      <c r="B296" s="47"/>
      <c r="C296" s="46"/>
      <c r="D296" s="47"/>
      <c r="E296" s="46"/>
      <c r="F296" s="47"/>
      <c r="G296" s="46"/>
      <c r="H296" s="48"/>
      <c r="I296" s="49"/>
    </row>
    <row r="297" ht="22.5" customHeight="1">
      <c r="A297" s="42"/>
      <c r="B297" s="47"/>
      <c r="C297" s="46"/>
      <c r="D297" s="47"/>
      <c r="E297" s="46"/>
      <c r="F297" s="47"/>
      <c r="G297" s="46"/>
      <c r="H297" s="50"/>
      <c r="I297" s="51"/>
    </row>
    <row r="298" ht="22.5" customHeight="1">
      <c r="A298" s="42"/>
      <c r="B298" s="47"/>
      <c r="C298" s="46"/>
      <c r="D298" s="47"/>
      <c r="E298" s="46"/>
      <c r="F298" s="47"/>
      <c r="G298" s="46"/>
      <c r="H298" s="48"/>
      <c r="I298" s="49"/>
    </row>
    <row r="299" ht="22.5" customHeight="1">
      <c r="A299" s="42"/>
      <c r="B299" s="47"/>
      <c r="C299" s="46"/>
      <c r="D299" s="47"/>
      <c r="E299" s="46"/>
      <c r="F299" s="47"/>
      <c r="G299" s="46"/>
      <c r="H299" s="50"/>
      <c r="I299" s="51"/>
    </row>
    <row r="300" ht="22.5" customHeight="1">
      <c r="A300" s="42"/>
      <c r="B300" s="47"/>
      <c r="C300" s="46"/>
      <c r="D300" s="47"/>
      <c r="E300" s="46"/>
      <c r="F300" s="47"/>
      <c r="G300" s="46"/>
      <c r="H300" s="48"/>
      <c r="I300" s="49"/>
    </row>
    <row r="301" ht="22.5" customHeight="1">
      <c r="A301" s="42"/>
      <c r="B301" s="47"/>
      <c r="C301" s="46"/>
      <c r="D301" s="47"/>
      <c r="E301" s="46"/>
      <c r="F301" s="47"/>
      <c r="G301" s="46"/>
      <c r="H301" s="50"/>
      <c r="I301" s="51"/>
    </row>
    <row r="302" ht="22.5" customHeight="1">
      <c r="A302" s="42"/>
      <c r="B302" s="47"/>
      <c r="C302" s="46"/>
      <c r="D302" s="47"/>
      <c r="E302" s="46"/>
      <c r="F302" s="47"/>
      <c r="G302" s="46"/>
      <c r="H302" s="48"/>
      <c r="I302" s="49"/>
    </row>
    <row r="303" ht="22.5" customHeight="1">
      <c r="A303" s="42"/>
      <c r="B303" s="47"/>
      <c r="C303" s="46"/>
      <c r="D303" s="47"/>
      <c r="E303" s="46"/>
      <c r="F303" s="47"/>
      <c r="G303" s="46"/>
      <c r="H303" s="50"/>
      <c r="I303" s="51"/>
    </row>
    <row r="304" ht="22.5" customHeight="1">
      <c r="A304" s="42"/>
      <c r="B304" s="47"/>
      <c r="C304" s="46"/>
      <c r="D304" s="47"/>
      <c r="E304" s="46"/>
      <c r="F304" s="47"/>
      <c r="G304" s="46"/>
      <c r="H304" s="48"/>
      <c r="I304" s="49"/>
    </row>
    <row r="305" ht="22.5" customHeight="1">
      <c r="A305" s="42"/>
      <c r="B305" s="47"/>
      <c r="C305" s="46"/>
      <c r="D305" s="47"/>
      <c r="E305" s="46"/>
      <c r="F305" s="47"/>
      <c r="G305" s="46"/>
      <c r="H305" s="50"/>
      <c r="I305" s="51"/>
    </row>
    <row r="306" ht="22.5" customHeight="1">
      <c r="A306" s="42"/>
      <c r="B306" s="47"/>
      <c r="C306" s="46"/>
      <c r="D306" s="47"/>
      <c r="E306" s="46"/>
      <c r="F306" s="47"/>
      <c r="G306" s="46"/>
      <c r="H306" s="48"/>
      <c r="I306" s="49"/>
    </row>
    <row r="307" ht="22.5" customHeight="1">
      <c r="A307" s="42"/>
      <c r="B307" s="47"/>
      <c r="C307" s="46"/>
      <c r="D307" s="47"/>
      <c r="E307" s="46"/>
      <c r="F307" s="47"/>
      <c r="G307" s="46"/>
      <c r="H307" s="50"/>
      <c r="I307" s="51"/>
    </row>
    <row r="308" ht="22.5" customHeight="1">
      <c r="A308" s="42"/>
      <c r="B308" s="47"/>
      <c r="C308" s="46"/>
      <c r="D308" s="47"/>
      <c r="E308" s="46"/>
      <c r="F308" s="47"/>
      <c r="G308" s="46"/>
      <c r="H308" s="48"/>
      <c r="I308" s="49"/>
    </row>
    <row r="309" ht="22.5" customHeight="1">
      <c r="A309" s="42"/>
      <c r="B309" s="47"/>
      <c r="C309" s="46"/>
      <c r="D309" s="47"/>
      <c r="E309" s="46"/>
      <c r="F309" s="47"/>
      <c r="G309" s="46"/>
      <c r="H309" s="50"/>
      <c r="I309" s="51"/>
    </row>
    <row r="310" ht="22.5" customHeight="1">
      <c r="A310" s="42"/>
      <c r="B310" s="47"/>
      <c r="C310" s="46"/>
      <c r="D310" s="47"/>
      <c r="E310" s="46"/>
      <c r="F310" s="47"/>
      <c r="G310" s="46"/>
      <c r="H310" s="48"/>
      <c r="I310" s="49"/>
    </row>
    <row r="311" ht="22.5" customHeight="1">
      <c r="A311" s="42"/>
      <c r="B311" s="47"/>
      <c r="C311" s="46"/>
      <c r="D311" s="47"/>
      <c r="E311" s="46"/>
      <c r="F311" s="47"/>
      <c r="G311" s="46"/>
      <c r="H311" s="50"/>
      <c r="I311" s="51"/>
    </row>
    <row r="312" ht="22.5" customHeight="1">
      <c r="A312" s="42"/>
      <c r="B312" s="47"/>
      <c r="C312" s="46"/>
      <c r="D312" s="47"/>
      <c r="E312" s="46"/>
      <c r="F312" s="47"/>
      <c r="G312" s="46"/>
      <c r="H312" s="48"/>
      <c r="I312" s="49"/>
    </row>
    <row r="313" ht="22.5" customHeight="1">
      <c r="A313" s="42"/>
      <c r="B313" s="47"/>
      <c r="C313" s="46"/>
      <c r="D313" s="47"/>
      <c r="E313" s="46"/>
      <c r="F313" s="47"/>
      <c r="G313" s="46"/>
      <c r="H313" s="50"/>
      <c r="I313" s="51"/>
    </row>
    <row r="314" ht="22.5" customHeight="1">
      <c r="A314" s="42"/>
      <c r="B314" s="47"/>
      <c r="C314" s="46"/>
      <c r="D314" s="47"/>
      <c r="E314" s="46"/>
      <c r="F314" s="47"/>
      <c r="G314" s="46"/>
      <c r="H314" s="48"/>
      <c r="I314" s="49"/>
    </row>
    <row r="315" ht="22.5" customHeight="1">
      <c r="A315" s="42"/>
      <c r="B315" s="47"/>
      <c r="C315" s="46"/>
      <c r="D315" s="47"/>
      <c r="E315" s="46"/>
      <c r="F315" s="47"/>
      <c r="G315" s="46"/>
      <c r="H315" s="50"/>
      <c r="I315" s="51"/>
    </row>
    <row r="316" ht="22.5" customHeight="1">
      <c r="A316" s="42"/>
      <c r="B316" s="47"/>
      <c r="C316" s="46"/>
      <c r="D316" s="47"/>
      <c r="E316" s="46"/>
      <c r="F316" s="47"/>
      <c r="G316" s="46"/>
      <c r="H316" s="48"/>
      <c r="I316" s="49"/>
    </row>
    <row r="317" ht="22.5" customHeight="1">
      <c r="A317" s="42"/>
      <c r="B317" s="47"/>
      <c r="C317" s="46"/>
      <c r="D317" s="47"/>
      <c r="E317" s="46"/>
      <c r="F317" s="47"/>
      <c r="G317" s="46"/>
      <c r="H317" s="50"/>
      <c r="I317" s="51"/>
    </row>
    <row r="318" ht="22.5" customHeight="1">
      <c r="A318" s="42"/>
      <c r="B318" s="47"/>
      <c r="C318" s="46"/>
      <c r="D318" s="47"/>
      <c r="E318" s="46"/>
      <c r="F318" s="47"/>
      <c r="G318" s="46"/>
      <c r="H318" s="48"/>
      <c r="I318" s="49"/>
    </row>
    <row r="319" ht="22.5" customHeight="1">
      <c r="A319" s="42"/>
      <c r="B319" s="47"/>
      <c r="C319" s="46"/>
      <c r="D319" s="47"/>
      <c r="E319" s="46"/>
      <c r="F319" s="47"/>
      <c r="G319" s="46"/>
      <c r="H319" s="50"/>
      <c r="I319" s="51"/>
    </row>
    <row r="320" ht="22.5" customHeight="1">
      <c r="A320" s="42"/>
      <c r="B320" s="47"/>
      <c r="C320" s="46"/>
      <c r="D320" s="47"/>
      <c r="E320" s="46"/>
      <c r="F320" s="47"/>
      <c r="G320" s="46"/>
      <c r="H320" s="48"/>
      <c r="I320" s="49"/>
    </row>
    <row r="321" ht="22.5" customHeight="1">
      <c r="A321" s="42"/>
      <c r="B321" s="47"/>
      <c r="C321" s="46"/>
      <c r="D321" s="47"/>
      <c r="E321" s="46"/>
      <c r="F321" s="47"/>
      <c r="G321" s="46"/>
      <c r="H321" s="50"/>
      <c r="I321" s="51"/>
    </row>
    <row r="322" ht="22.5" customHeight="1">
      <c r="A322" s="42"/>
      <c r="B322" s="47"/>
      <c r="C322" s="46"/>
      <c r="D322" s="47"/>
      <c r="E322" s="46"/>
      <c r="F322" s="47"/>
      <c r="G322" s="46"/>
      <c r="H322" s="48"/>
      <c r="I322" s="49"/>
    </row>
    <row r="323" ht="22.5" customHeight="1">
      <c r="A323" s="42"/>
      <c r="B323" s="47"/>
      <c r="C323" s="46"/>
      <c r="D323" s="47"/>
      <c r="E323" s="46"/>
      <c r="F323" s="47"/>
      <c r="G323" s="46"/>
      <c r="H323" s="50"/>
      <c r="I323" s="51"/>
    </row>
    <row r="324" ht="22.5" customHeight="1">
      <c r="A324" s="42"/>
      <c r="B324" s="47"/>
      <c r="C324" s="46"/>
      <c r="D324" s="47"/>
      <c r="E324" s="46"/>
      <c r="F324" s="47"/>
      <c r="G324" s="46"/>
      <c r="H324" s="48"/>
      <c r="I324" s="49"/>
    </row>
    <row r="325" ht="22.5" customHeight="1">
      <c r="A325" s="42"/>
      <c r="B325" s="47"/>
      <c r="C325" s="46"/>
      <c r="D325" s="47"/>
      <c r="E325" s="46"/>
      <c r="F325" s="47"/>
      <c r="G325" s="46"/>
      <c r="H325" s="50"/>
      <c r="I325" s="51"/>
    </row>
    <row r="326" ht="22.5" customHeight="1">
      <c r="A326" s="42"/>
      <c r="B326" s="47"/>
      <c r="C326" s="46"/>
      <c r="D326" s="47"/>
      <c r="E326" s="46"/>
      <c r="F326" s="47"/>
      <c r="G326" s="46"/>
      <c r="H326" s="48"/>
      <c r="I326" s="49"/>
    </row>
    <row r="327" ht="22.5" customHeight="1">
      <c r="A327" s="42"/>
      <c r="B327" s="47"/>
      <c r="C327" s="46"/>
      <c r="D327" s="47"/>
      <c r="E327" s="46"/>
      <c r="F327" s="47"/>
      <c r="G327" s="46"/>
      <c r="H327" s="50"/>
      <c r="I327" s="51"/>
    </row>
    <row r="328" ht="22.5" customHeight="1">
      <c r="A328" s="42"/>
      <c r="B328" s="47"/>
      <c r="C328" s="46"/>
      <c r="D328" s="47"/>
      <c r="E328" s="46"/>
      <c r="F328" s="47"/>
      <c r="G328" s="46"/>
      <c r="H328" s="48"/>
      <c r="I328" s="49"/>
    </row>
    <row r="329" ht="22.5" customHeight="1">
      <c r="A329" s="42"/>
      <c r="B329" s="47"/>
      <c r="C329" s="46"/>
      <c r="D329" s="47"/>
      <c r="E329" s="46"/>
      <c r="F329" s="47"/>
      <c r="G329" s="46"/>
      <c r="H329" s="50"/>
      <c r="I329" s="51"/>
    </row>
    <row r="330" ht="22.5" customHeight="1">
      <c r="A330" s="42"/>
      <c r="B330" s="47"/>
      <c r="C330" s="46"/>
      <c r="D330" s="47"/>
      <c r="E330" s="46"/>
      <c r="F330" s="47"/>
      <c r="G330" s="46"/>
      <c r="H330" s="48"/>
      <c r="I330" s="49"/>
    </row>
    <row r="331" ht="22.5" customHeight="1">
      <c r="A331" s="42"/>
      <c r="B331" s="47"/>
      <c r="C331" s="46"/>
      <c r="D331" s="47"/>
      <c r="E331" s="46"/>
      <c r="F331" s="47"/>
      <c r="G331" s="46"/>
      <c r="H331" s="50"/>
      <c r="I331" s="51"/>
    </row>
    <row r="332" ht="22.5" customHeight="1">
      <c r="A332" s="42"/>
      <c r="B332" s="47"/>
      <c r="C332" s="46"/>
      <c r="D332" s="47"/>
      <c r="E332" s="46"/>
      <c r="F332" s="47"/>
      <c r="G332" s="46"/>
      <c r="H332" s="48"/>
      <c r="I332" s="49"/>
    </row>
    <row r="333" ht="22.5" customHeight="1">
      <c r="A333" s="42"/>
      <c r="B333" s="47"/>
      <c r="C333" s="46"/>
      <c r="D333" s="47"/>
      <c r="E333" s="46"/>
      <c r="F333" s="47"/>
      <c r="G333" s="46"/>
      <c r="H333" s="50"/>
      <c r="I333" s="51"/>
    </row>
    <row r="334" ht="22.5" customHeight="1">
      <c r="A334" s="42"/>
      <c r="B334" s="47"/>
      <c r="C334" s="46"/>
      <c r="D334" s="47"/>
      <c r="E334" s="46"/>
      <c r="F334" s="47"/>
      <c r="G334" s="46"/>
      <c r="H334" s="48"/>
      <c r="I334" s="49"/>
    </row>
    <row r="335" ht="22.5" customHeight="1">
      <c r="A335" s="42"/>
      <c r="B335" s="47"/>
      <c r="C335" s="46"/>
      <c r="D335" s="47"/>
      <c r="E335" s="46"/>
      <c r="F335" s="47"/>
      <c r="G335" s="46"/>
      <c r="H335" s="50"/>
      <c r="I335" s="51"/>
    </row>
    <row r="336" ht="22.5" customHeight="1">
      <c r="A336" s="42"/>
      <c r="B336" s="47"/>
      <c r="C336" s="46"/>
      <c r="D336" s="47"/>
      <c r="E336" s="46"/>
      <c r="F336" s="47"/>
      <c r="G336" s="46"/>
      <c r="H336" s="48"/>
      <c r="I336" s="49"/>
    </row>
    <row r="337" ht="22.5" customHeight="1">
      <c r="A337" s="42"/>
      <c r="B337" s="47"/>
      <c r="C337" s="46"/>
      <c r="D337" s="47"/>
      <c r="E337" s="46"/>
      <c r="F337" s="47"/>
      <c r="G337" s="46"/>
      <c r="H337" s="50"/>
      <c r="I337" s="51"/>
    </row>
    <row r="338" ht="22.5" customHeight="1">
      <c r="A338" s="42"/>
      <c r="B338" s="47"/>
      <c r="C338" s="46"/>
      <c r="D338" s="47"/>
      <c r="E338" s="46"/>
      <c r="F338" s="47"/>
      <c r="G338" s="46"/>
      <c r="H338" s="48"/>
      <c r="I338" s="49"/>
    </row>
    <row r="339" ht="22.5" customHeight="1">
      <c r="A339" s="42"/>
      <c r="B339" s="47"/>
      <c r="C339" s="46"/>
      <c r="D339" s="47"/>
      <c r="E339" s="46"/>
      <c r="F339" s="47"/>
      <c r="G339" s="46"/>
      <c r="H339" s="50"/>
      <c r="I339" s="51"/>
    </row>
    <row r="340" ht="22.5" customHeight="1">
      <c r="A340" s="42"/>
      <c r="B340" s="47"/>
      <c r="C340" s="46"/>
      <c r="D340" s="47"/>
      <c r="E340" s="46"/>
      <c r="F340" s="47"/>
      <c r="G340" s="46"/>
      <c r="H340" s="48"/>
      <c r="I340" s="49"/>
    </row>
    <row r="341" ht="22.5" customHeight="1">
      <c r="A341" s="42"/>
      <c r="B341" s="47"/>
      <c r="C341" s="46"/>
      <c r="D341" s="47"/>
      <c r="E341" s="46"/>
      <c r="F341" s="47"/>
      <c r="G341" s="46"/>
      <c r="H341" s="50"/>
      <c r="I341" s="51"/>
    </row>
    <row r="342" ht="22.5" customHeight="1">
      <c r="A342" s="42"/>
      <c r="B342" s="47"/>
      <c r="C342" s="46"/>
      <c r="D342" s="47"/>
      <c r="E342" s="46"/>
      <c r="F342" s="47"/>
      <c r="G342" s="46"/>
      <c r="H342" s="48"/>
      <c r="I342" s="49"/>
    </row>
    <row r="343" ht="22.5" customHeight="1">
      <c r="A343" s="42"/>
      <c r="B343" s="47"/>
      <c r="C343" s="46"/>
      <c r="D343" s="47"/>
      <c r="E343" s="46"/>
      <c r="F343" s="47"/>
      <c r="G343" s="46"/>
      <c r="H343" s="50"/>
      <c r="I343" s="51"/>
    </row>
    <row r="344" ht="22.5" customHeight="1">
      <c r="A344" s="42"/>
      <c r="B344" s="47"/>
      <c r="C344" s="46"/>
      <c r="D344" s="47"/>
      <c r="E344" s="46"/>
      <c r="F344" s="47"/>
      <c r="G344" s="46"/>
      <c r="H344" s="48"/>
      <c r="I344" s="49"/>
    </row>
    <row r="345" ht="22.5" customHeight="1">
      <c r="A345" s="42"/>
      <c r="B345" s="47"/>
      <c r="C345" s="46"/>
      <c r="D345" s="47"/>
      <c r="E345" s="46"/>
      <c r="F345" s="47"/>
      <c r="G345" s="46"/>
      <c r="H345" s="50"/>
      <c r="I345" s="51"/>
    </row>
    <row r="346" ht="22.5" customHeight="1">
      <c r="A346" s="42"/>
      <c r="B346" s="47"/>
      <c r="C346" s="46"/>
      <c r="D346" s="47"/>
      <c r="E346" s="46"/>
      <c r="F346" s="47"/>
      <c r="G346" s="46"/>
      <c r="H346" s="48"/>
      <c r="I346" s="49"/>
    </row>
    <row r="347" ht="22.5" customHeight="1">
      <c r="A347" s="42"/>
      <c r="B347" s="47"/>
      <c r="C347" s="46"/>
      <c r="D347" s="47"/>
      <c r="E347" s="46"/>
      <c r="F347" s="47"/>
      <c r="G347" s="46"/>
      <c r="H347" s="50"/>
      <c r="I347" s="51"/>
    </row>
    <row r="348" ht="22.5" customHeight="1">
      <c r="A348" s="42"/>
      <c r="B348" s="47"/>
      <c r="C348" s="46"/>
      <c r="D348" s="47"/>
      <c r="E348" s="46"/>
      <c r="F348" s="47"/>
      <c r="G348" s="46"/>
      <c r="H348" s="48"/>
      <c r="I348" s="49"/>
    </row>
    <row r="349" ht="22.5" customHeight="1">
      <c r="A349" s="42"/>
      <c r="B349" s="47"/>
      <c r="C349" s="46"/>
      <c r="D349" s="47"/>
      <c r="E349" s="46"/>
      <c r="F349" s="47"/>
      <c r="G349" s="46"/>
      <c r="H349" s="50"/>
      <c r="I349" s="51"/>
    </row>
    <row r="350" ht="22.5" customHeight="1">
      <c r="A350" s="42"/>
      <c r="B350" s="47"/>
      <c r="C350" s="46"/>
      <c r="D350" s="47"/>
      <c r="E350" s="46"/>
      <c r="F350" s="47"/>
      <c r="G350" s="46"/>
      <c r="H350" s="48"/>
      <c r="I350" s="49"/>
    </row>
    <row r="351" ht="22.5" customHeight="1">
      <c r="A351" s="42"/>
      <c r="B351" s="47"/>
      <c r="C351" s="46"/>
      <c r="D351" s="47"/>
      <c r="E351" s="46"/>
      <c r="F351" s="47"/>
      <c r="G351" s="46"/>
      <c r="H351" s="50"/>
      <c r="I351" s="51"/>
    </row>
    <row r="352" ht="22.5" customHeight="1">
      <c r="A352" s="42"/>
      <c r="B352" s="47"/>
      <c r="C352" s="46"/>
      <c r="D352" s="47"/>
      <c r="E352" s="46"/>
      <c r="F352" s="47"/>
      <c r="G352" s="46"/>
      <c r="H352" s="48"/>
      <c r="I352" s="49"/>
    </row>
    <row r="353" ht="22.5" customHeight="1">
      <c r="A353" s="42"/>
      <c r="B353" s="47"/>
      <c r="C353" s="46"/>
      <c r="D353" s="47"/>
      <c r="E353" s="46"/>
      <c r="F353" s="47"/>
      <c r="G353" s="46"/>
      <c r="H353" s="50"/>
      <c r="I353" s="51"/>
    </row>
    <row r="354" ht="22.5" customHeight="1">
      <c r="A354" s="42"/>
      <c r="B354" s="47"/>
      <c r="C354" s="46"/>
      <c r="D354" s="47"/>
      <c r="E354" s="46"/>
      <c r="F354" s="47"/>
      <c r="G354" s="46"/>
      <c r="H354" s="48"/>
      <c r="I354" s="49"/>
    </row>
    <row r="355" ht="22.5" customHeight="1">
      <c r="A355" s="42"/>
      <c r="B355" s="47"/>
      <c r="C355" s="46"/>
      <c r="D355" s="47"/>
      <c r="E355" s="46"/>
      <c r="F355" s="47"/>
      <c r="G355" s="46"/>
      <c r="H355" s="50"/>
      <c r="I355" s="51"/>
    </row>
    <row r="356" ht="22.5" customHeight="1">
      <c r="A356" s="42"/>
      <c r="B356" s="47"/>
      <c r="C356" s="46"/>
      <c r="D356" s="47"/>
      <c r="E356" s="46"/>
      <c r="F356" s="47"/>
      <c r="G356" s="46"/>
      <c r="H356" s="48"/>
      <c r="I356" s="49"/>
    </row>
    <row r="357" ht="22.5" customHeight="1">
      <c r="A357" s="42"/>
      <c r="B357" s="47"/>
      <c r="C357" s="46"/>
      <c r="D357" s="47"/>
      <c r="E357" s="46"/>
      <c r="F357" s="47"/>
      <c r="G357" s="46"/>
      <c r="H357" s="50"/>
      <c r="I357" s="51"/>
    </row>
    <row r="358" ht="22.5" customHeight="1">
      <c r="A358" s="42"/>
      <c r="B358" s="47"/>
      <c r="C358" s="46"/>
      <c r="D358" s="47"/>
      <c r="E358" s="46"/>
      <c r="F358" s="47"/>
      <c r="G358" s="46"/>
      <c r="H358" s="48"/>
      <c r="I358" s="49"/>
    </row>
    <row r="359" ht="22.5" customHeight="1">
      <c r="A359" s="42"/>
      <c r="B359" s="47"/>
      <c r="C359" s="46"/>
      <c r="D359" s="47"/>
      <c r="E359" s="46"/>
      <c r="F359" s="47"/>
      <c r="G359" s="46"/>
      <c r="H359" s="50"/>
      <c r="I359" s="51"/>
    </row>
    <row r="360" ht="22.5" customHeight="1">
      <c r="A360" s="42"/>
      <c r="B360" s="47"/>
      <c r="C360" s="46"/>
      <c r="D360" s="47"/>
      <c r="E360" s="46"/>
      <c r="F360" s="47"/>
      <c r="G360" s="46"/>
      <c r="H360" s="48"/>
      <c r="I360" s="49"/>
    </row>
    <row r="361" ht="22.5" customHeight="1">
      <c r="A361" s="42"/>
      <c r="B361" s="47"/>
      <c r="C361" s="46"/>
      <c r="D361" s="47"/>
      <c r="E361" s="46"/>
      <c r="F361" s="47"/>
      <c r="G361" s="46"/>
      <c r="H361" s="50"/>
      <c r="I361" s="51"/>
    </row>
    <row r="362" ht="22.5" customHeight="1">
      <c r="A362" s="42"/>
      <c r="B362" s="47"/>
      <c r="C362" s="46"/>
      <c r="D362" s="47"/>
      <c r="E362" s="46"/>
      <c r="F362" s="47"/>
      <c r="G362" s="46"/>
      <c r="H362" s="48"/>
      <c r="I362" s="49"/>
    </row>
    <row r="363" ht="22.5" customHeight="1">
      <c r="A363" s="42"/>
      <c r="B363" s="47"/>
      <c r="C363" s="46"/>
      <c r="D363" s="47"/>
      <c r="E363" s="46"/>
      <c r="F363" s="47"/>
      <c r="G363" s="46"/>
      <c r="H363" s="50"/>
      <c r="I363" s="51"/>
    </row>
    <row r="364" ht="22.5" customHeight="1">
      <c r="A364" s="42"/>
      <c r="B364" s="47"/>
      <c r="C364" s="46"/>
      <c r="D364" s="47"/>
      <c r="E364" s="46"/>
      <c r="F364" s="47"/>
      <c r="G364" s="46"/>
      <c r="H364" s="48"/>
      <c r="I364" s="49"/>
    </row>
    <row r="365" ht="22.5" customHeight="1">
      <c r="A365" s="42"/>
      <c r="B365" s="47"/>
      <c r="C365" s="46"/>
      <c r="D365" s="47"/>
      <c r="E365" s="46"/>
      <c r="F365" s="47"/>
      <c r="G365" s="46"/>
      <c r="H365" s="50"/>
      <c r="I365" s="51"/>
    </row>
    <row r="366" ht="22.5" customHeight="1">
      <c r="A366" s="42"/>
      <c r="B366" s="47"/>
      <c r="C366" s="46"/>
      <c r="D366" s="47"/>
      <c r="E366" s="46"/>
      <c r="F366" s="47"/>
      <c r="G366" s="46"/>
      <c r="H366" s="48"/>
      <c r="I366" s="49"/>
    </row>
    <row r="367" ht="22.5" customHeight="1">
      <c r="A367" s="42"/>
      <c r="B367" s="47"/>
      <c r="C367" s="46"/>
      <c r="D367" s="47"/>
      <c r="E367" s="46"/>
      <c r="F367" s="47"/>
      <c r="G367" s="46"/>
      <c r="H367" s="50"/>
      <c r="I367" s="51"/>
    </row>
    <row r="368" ht="22.5" customHeight="1">
      <c r="A368" s="42"/>
      <c r="B368" s="47"/>
      <c r="C368" s="46"/>
      <c r="D368" s="47"/>
      <c r="E368" s="46"/>
      <c r="F368" s="47"/>
      <c r="G368" s="46"/>
      <c r="H368" s="48"/>
      <c r="I368" s="49"/>
    </row>
    <row r="369" ht="22.5" customHeight="1">
      <c r="A369" s="42"/>
      <c r="B369" s="47"/>
      <c r="C369" s="46"/>
      <c r="D369" s="47"/>
      <c r="E369" s="46"/>
      <c r="F369" s="47"/>
      <c r="G369" s="46"/>
      <c r="H369" s="50"/>
      <c r="I369" s="51"/>
    </row>
    <row r="370" ht="22.5" customHeight="1">
      <c r="A370" s="42"/>
      <c r="B370" s="47"/>
      <c r="C370" s="46"/>
      <c r="D370" s="47"/>
      <c r="E370" s="46"/>
      <c r="F370" s="47"/>
      <c r="G370" s="46"/>
      <c r="H370" s="48"/>
      <c r="I370" s="49"/>
    </row>
    <row r="371" ht="22.5" customHeight="1">
      <c r="A371" s="42"/>
      <c r="B371" s="47"/>
      <c r="C371" s="46"/>
      <c r="D371" s="47"/>
      <c r="E371" s="46"/>
      <c r="F371" s="47"/>
      <c r="G371" s="46"/>
      <c r="H371" s="50"/>
      <c r="I371" s="51"/>
    </row>
    <row r="372" ht="22.5" customHeight="1">
      <c r="A372" s="42"/>
      <c r="B372" s="47"/>
      <c r="C372" s="46"/>
      <c r="D372" s="47"/>
      <c r="E372" s="46"/>
      <c r="F372" s="47"/>
      <c r="G372" s="46"/>
      <c r="H372" s="48"/>
      <c r="I372" s="49"/>
    </row>
    <row r="373" ht="22.5" customHeight="1">
      <c r="A373" s="42"/>
      <c r="B373" s="47"/>
      <c r="C373" s="46"/>
      <c r="D373" s="47"/>
      <c r="E373" s="46"/>
      <c r="F373" s="47"/>
      <c r="G373" s="46"/>
      <c r="H373" s="50"/>
      <c r="I373" s="51"/>
    </row>
    <row r="374" ht="22.5" customHeight="1">
      <c r="A374" s="42"/>
      <c r="B374" s="47"/>
      <c r="C374" s="46"/>
      <c r="D374" s="47"/>
      <c r="E374" s="46"/>
      <c r="F374" s="47"/>
      <c r="G374" s="46"/>
      <c r="H374" s="48"/>
      <c r="I374" s="49"/>
    </row>
    <row r="375" ht="22.5" customHeight="1">
      <c r="A375" s="42"/>
      <c r="B375" s="47"/>
      <c r="C375" s="46"/>
      <c r="D375" s="47"/>
      <c r="E375" s="46"/>
      <c r="F375" s="47"/>
      <c r="G375" s="46"/>
      <c r="H375" s="50"/>
      <c r="I375" s="51"/>
    </row>
    <row r="376" ht="22.5" customHeight="1">
      <c r="A376" s="42"/>
      <c r="B376" s="47"/>
      <c r="C376" s="46"/>
      <c r="D376" s="47"/>
      <c r="E376" s="46"/>
      <c r="F376" s="47"/>
      <c r="G376" s="46"/>
      <c r="H376" s="48"/>
      <c r="I376" s="49"/>
    </row>
    <row r="377" ht="22.5" customHeight="1">
      <c r="A377" s="42"/>
      <c r="B377" s="47"/>
      <c r="C377" s="46"/>
      <c r="D377" s="47"/>
      <c r="E377" s="46"/>
      <c r="F377" s="47"/>
      <c r="G377" s="46"/>
      <c r="H377" s="50"/>
      <c r="I377" s="51"/>
    </row>
    <row r="378" ht="22.5" customHeight="1">
      <c r="A378" s="42"/>
      <c r="B378" s="47"/>
      <c r="C378" s="46"/>
      <c r="D378" s="47"/>
      <c r="E378" s="46"/>
      <c r="F378" s="47"/>
      <c r="G378" s="46"/>
      <c r="H378" s="48"/>
      <c r="I378" s="49"/>
    </row>
    <row r="379" ht="22.5" customHeight="1">
      <c r="A379" s="42"/>
      <c r="B379" s="47"/>
      <c r="C379" s="46"/>
      <c r="D379" s="47"/>
      <c r="E379" s="46"/>
      <c r="F379" s="47"/>
      <c r="G379" s="46"/>
      <c r="H379" s="50"/>
      <c r="I379" s="51"/>
    </row>
    <row r="380" ht="22.5" customHeight="1">
      <c r="A380" s="42"/>
      <c r="B380" s="47"/>
      <c r="C380" s="46"/>
      <c r="D380" s="47"/>
      <c r="E380" s="46"/>
      <c r="F380" s="47"/>
      <c r="G380" s="46"/>
      <c r="H380" s="48"/>
      <c r="I380" s="49"/>
    </row>
    <row r="381" ht="22.5" customHeight="1">
      <c r="A381" s="42"/>
      <c r="B381" s="47"/>
      <c r="C381" s="46"/>
      <c r="D381" s="47"/>
      <c r="E381" s="46"/>
      <c r="F381" s="47"/>
      <c r="G381" s="46"/>
      <c r="H381" s="50"/>
      <c r="I381" s="51"/>
    </row>
    <row r="382" ht="22.5" customHeight="1">
      <c r="A382" s="42"/>
      <c r="B382" s="47"/>
      <c r="C382" s="46"/>
      <c r="D382" s="47"/>
      <c r="E382" s="46"/>
      <c r="F382" s="47"/>
      <c r="G382" s="46"/>
      <c r="H382" s="48"/>
      <c r="I382" s="49"/>
    </row>
    <row r="383" ht="22.5" customHeight="1">
      <c r="A383" s="42"/>
      <c r="B383" s="47"/>
      <c r="C383" s="46"/>
      <c r="D383" s="47"/>
      <c r="E383" s="46"/>
      <c r="F383" s="47"/>
      <c r="G383" s="46"/>
      <c r="H383" s="50"/>
      <c r="I383" s="51"/>
    </row>
    <row r="384" ht="22.5" customHeight="1">
      <c r="A384" s="42"/>
      <c r="B384" s="47"/>
      <c r="C384" s="46"/>
      <c r="D384" s="47"/>
      <c r="E384" s="46"/>
      <c r="F384" s="47"/>
      <c r="G384" s="46"/>
      <c r="H384" s="48"/>
      <c r="I384" s="49"/>
    </row>
    <row r="385" ht="22.5" customHeight="1">
      <c r="A385" s="42"/>
      <c r="B385" s="47"/>
      <c r="C385" s="46"/>
      <c r="D385" s="47"/>
      <c r="E385" s="46"/>
      <c r="F385" s="47"/>
      <c r="G385" s="46"/>
      <c r="H385" s="50"/>
      <c r="I385" s="51"/>
    </row>
    <row r="386" ht="22.5" customHeight="1">
      <c r="A386" s="42"/>
      <c r="B386" s="47"/>
      <c r="C386" s="46"/>
      <c r="D386" s="47"/>
      <c r="E386" s="46"/>
      <c r="F386" s="47"/>
      <c r="G386" s="46"/>
      <c r="H386" s="48"/>
      <c r="I386" s="49"/>
    </row>
    <row r="387" ht="22.5" customHeight="1">
      <c r="A387" s="42"/>
      <c r="B387" s="47"/>
      <c r="C387" s="46"/>
      <c r="D387" s="47"/>
      <c r="E387" s="46"/>
      <c r="F387" s="47"/>
      <c r="G387" s="46"/>
      <c r="H387" s="50"/>
      <c r="I387" s="51"/>
    </row>
    <row r="388" ht="22.5" customHeight="1">
      <c r="A388" s="42"/>
      <c r="B388" s="47"/>
      <c r="C388" s="46"/>
      <c r="D388" s="47"/>
      <c r="E388" s="46"/>
      <c r="F388" s="47"/>
      <c r="G388" s="46"/>
      <c r="H388" s="48"/>
      <c r="I388" s="49"/>
    </row>
    <row r="389" ht="22.5" customHeight="1">
      <c r="A389" s="42"/>
      <c r="B389" s="47"/>
      <c r="C389" s="46"/>
      <c r="D389" s="47"/>
      <c r="E389" s="46"/>
      <c r="F389" s="47"/>
      <c r="G389" s="46"/>
      <c r="H389" s="50"/>
      <c r="I389" s="51"/>
    </row>
    <row r="390" ht="22.5" customHeight="1">
      <c r="A390" s="42"/>
      <c r="B390" s="47"/>
      <c r="C390" s="46"/>
      <c r="D390" s="47"/>
      <c r="E390" s="46"/>
      <c r="F390" s="47"/>
      <c r="G390" s="46"/>
      <c r="H390" s="48"/>
      <c r="I390" s="49"/>
    </row>
    <row r="391" ht="22.5" customHeight="1">
      <c r="A391" s="42"/>
      <c r="B391" s="47"/>
      <c r="C391" s="46"/>
      <c r="D391" s="47"/>
      <c r="E391" s="46"/>
      <c r="F391" s="47"/>
      <c r="G391" s="46"/>
      <c r="H391" s="50"/>
      <c r="I391" s="51"/>
    </row>
    <row r="392" ht="22.5" customHeight="1">
      <c r="A392" s="42"/>
      <c r="B392" s="47"/>
      <c r="C392" s="46"/>
      <c r="D392" s="47"/>
      <c r="E392" s="46"/>
      <c r="F392" s="47"/>
      <c r="G392" s="46"/>
      <c r="H392" s="48"/>
      <c r="I392" s="49"/>
    </row>
    <row r="393" ht="22.5" customHeight="1">
      <c r="A393" s="42"/>
      <c r="B393" s="47"/>
      <c r="C393" s="46"/>
      <c r="D393" s="47"/>
      <c r="E393" s="46"/>
      <c r="F393" s="47"/>
      <c r="G393" s="46"/>
      <c r="H393" s="50"/>
      <c r="I393" s="51"/>
    </row>
    <row r="394" ht="22.5" customHeight="1">
      <c r="A394" s="42"/>
      <c r="B394" s="47"/>
      <c r="C394" s="46"/>
      <c r="D394" s="47"/>
      <c r="E394" s="46"/>
      <c r="F394" s="47"/>
      <c r="G394" s="46"/>
      <c r="H394" s="48"/>
      <c r="I394" s="49"/>
    </row>
    <row r="395" ht="22.5" customHeight="1">
      <c r="A395" s="42"/>
      <c r="B395" s="47"/>
      <c r="C395" s="46"/>
      <c r="D395" s="47"/>
      <c r="E395" s="46"/>
      <c r="F395" s="47"/>
      <c r="G395" s="46"/>
      <c r="H395" s="50"/>
      <c r="I395" s="51"/>
    </row>
    <row r="396" ht="22.5" customHeight="1">
      <c r="A396" s="42"/>
      <c r="B396" s="47"/>
      <c r="C396" s="46"/>
      <c r="D396" s="47"/>
      <c r="E396" s="46"/>
      <c r="F396" s="47"/>
      <c r="G396" s="46"/>
      <c r="H396" s="48"/>
      <c r="I396" s="49"/>
    </row>
    <row r="397" ht="22.5" customHeight="1">
      <c r="A397" s="42"/>
      <c r="B397" s="47"/>
      <c r="C397" s="46"/>
      <c r="D397" s="47"/>
      <c r="E397" s="46"/>
      <c r="F397" s="47"/>
      <c r="G397" s="46"/>
      <c r="H397" s="50"/>
      <c r="I397" s="51"/>
    </row>
    <row r="398" ht="22.5" customHeight="1">
      <c r="A398" s="42"/>
      <c r="B398" s="47"/>
      <c r="C398" s="46"/>
      <c r="D398" s="47"/>
      <c r="E398" s="46"/>
      <c r="F398" s="47"/>
      <c r="G398" s="46"/>
      <c r="H398" s="48"/>
      <c r="I398" s="49"/>
    </row>
    <row r="399" ht="22.5" customHeight="1">
      <c r="A399" s="42"/>
      <c r="B399" s="47"/>
      <c r="C399" s="46"/>
      <c r="D399" s="47"/>
      <c r="E399" s="46"/>
      <c r="F399" s="47"/>
      <c r="G399" s="46"/>
      <c r="H399" s="50"/>
      <c r="I399" s="51"/>
    </row>
    <row r="400" ht="22.5" customHeight="1">
      <c r="A400" s="42"/>
      <c r="B400" s="47"/>
      <c r="C400" s="46"/>
      <c r="D400" s="47"/>
      <c r="E400" s="46"/>
      <c r="F400" s="47"/>
      <c r="G400" s="46"/>
      <c r="H400" s="48"/>
      <c r="I400" s="49"/>
    </row>
    <row r="401" ht="22.5" customHeight="1">
      <c r="A401" s="42"/>
      <c r="B401" s="47"/>
      <c r="C401" s="46"/>
      <c r="D401" s="47"/>
      <c r="E401" s="46"/>
      <c r="F401" s="47"/>
      <c r="G401" s="46"/>
      <c r="H401" s="50"/>
      <c r="I401" s="51"/>
    </row>
    <row r="402" ht="22.5" customHeight="1">
      <c r="A402" s="42"/>
      <c r="B402" s="47"/>
      <c r="C402" s="46"/>
      <c r="D402" s="47"/>
      <c r="E402" s="46"/>
      <c r="F402" s="47"/>
      <c r="G402" s="46"/>
      <c r="H402" s="48"/>
      <c r="I402" s="49"/>
    </row>
    <row r="403" ht="22.5" customHeight="1">
      <c r="A403" s="42"/>
      <c r="B403" s="47"/>
      <c r="C403" s="46"/>
      <c r="D403" s="47"/>
      <c r="E403" s="46"/>
      <c r="F403" s="47"/>
      <c r="G403" s="46"/>
      <c r="H403" s="50"/>
      <c r="I403" s="51"/>
    </row>
    <row r="404" ht="22.5" customHeight="1">
      <c r="A404" s="42"/>
      <c r="B404" s="47"/>
      <c r="C404" s="46"/>
      <c r="D404" s="47"/>
      <c r="E404" s="46"/>
      <c r="F404" s="47"/>
      <c r="G404" s="46"/>
      <c r="H404" s="48"/>
      <c r="I404" s="49"/>
    </row>
    <row r="405" ht="22.5" customHeight="1">
      <c r="A405" s="42"/>
      <c r="B405" s="47"/>
      <c r="C405" s="46"/>
      <c r="D405" s="47"/>
      <c r="E405" s="46"/>
      <c r="F405" s="47"/>
      <c r="G405" s="46"/>
      <c r="H405" s="50"/>
      <c r="I405" s="51"/>
    </row>
    <row r="406" ht="22.5" customHeight="1">
      <c r="A406" s="42"/>
      <c r="B406" s="47"/>
      <c r="C406" s="46"/>
      <c r="D406" s="47"/>
      <c r="E406" s="46"/>
      <c r="F406" s="47"/>
      <c r="G406" s="46"/>
      <c r="H406" s="48"/>
      <c r="I406" s="49"/>
    </row>
    <row r="407" ht="22.5" customHeight="1">
      <c r="A407" s="42"/>
      <c r="B407" s="47"/>
      <c r="C407" s="46"/>
      <c r="D407" s="47"/>
      <c r="E407" s="46"/>
      <c r="F407" s="47"/>
      <c r="G407" s="46"/>
      <c r="H407" s="50"/>
      <c r="I407" s="51"/>
    </row>
    <row r="408" ht="22.5" customHeight="1">
      <c r="A408" s="42"/>
      <c r="B408" s="47"/>
      <c r="C408" s="46"/>
      <c r="D408" s="47"/>
      <c r="E408" s="46"/>
      <c r="F408" s="47"/>
      <c r="G408" s="46"/>
      <c r="H408" s="48"/>
      <c r="I408" s="49"/>
    </row>
    <row r="409" ht="22.5" customHeight="1">
      <c r="A409" s="42"/>
      <c r="B409" s="47"/>
      <c r="C409" s="46"/>
      <c r="D409" s="47"/>
      <c r="E409" s="46"/>
      <c r="F409" s="47"/>
      <c r="G409" s="46"/>
      <c r="H409" s="50"/>
      <c r="I409" s="51"/>
    </row>
    <row r="410" ht="22.5" customHeight="1">
      <c r="A410" s="42"/>
      <c r="B410" s="47"/>
      <c r="C410" s="46"/>
      <c r="D410" s="47"/>
      <c r="E410" s="46"/>
      <c r="F410" s="47"/>
      <c r="G410" s="46"/>
      <c r="H410" s="48"/>
      <c r="I410" s="49"/>
    </row>
    <row r="411" ht="22.5" customHeight="1">
      <c r="A411" s="42"/>
      <c r="B411" s="47"/>
      <c r="C411" s="46"/>
      <c r="D411" s="47"/>
      <c r="E411" s="46"/>
      <c r="F411" s="47"/>
      <c r="G411" s="46"/>
      <c r="H411" s="50"/>
      <c r="I411" s="51"/>
    </row>
    <row r="412" ht="22.5" customHeight="1">
      <c r="A412" s="42"/>
      <c r="B412" s="47"/>
      <c r="C412" s="46"/>
      <c r="D412" s="47"/>
      <c r="E412" s="46"/>
      <c r="F412" s="47"/>
      <c r="G412" s="46"/>
      <c r="H412" s="48"/>
      <c r="I412" s="49"/>
    </row>
    <row r="413" ht="22.5" customHeight="1">
      <c r="A413" s="42"/>
      <c r="B413" s="47"/>
      <c r="C413" s="46"/>
      <c r="D413" s="47"/>
      <c r="E413" s="46"/>
      <c r="F413" s="47"/>
      <c r="G413" s="46"/>
      <c r="H413" s="50"/>
      <c r="I413" s="51"/>
    </row>
    <row r="414" ht="22.5" customHeight="1">
      <c r="A414" s="42"/>
      <c r="B414" s="47"/>
      <c r="C414" s="46"/>
      <c r="D414" s="47"/>
      <c r="E414" s="46"/>
      <c r="F414" s="47"/>
      <c r="G414" s="46"/>
      <c r="H414" s="48"/>
      <c r="I414" s="49"/>
    </row>
    <row r="415" ht="22.5" customHeight="1">
      <c r="A415" s="42"/>
      <c r="B415" s="47"/>
      <c r="C415" s="46"/>
      <c r="D415" s="47"/>
      <c r="E415" s="46"/>
      <c r="F415" s="47"/>
      <c r="G415" s="46"/>
      <c r="H415" s="50"/>
      <c r="I415" s="51"/>
    </row>
    <row r="416" ht="22.5" customHeight="1">
      <c r="A416" s="42"/>
      <c r="B416" s="47"/>
      <c r="C416" s="46"/>
      <c r="D416" s="47"/>
      <c r="E416" s="46"/>
      <c r="F416" s="47"/>
      <c r="G416" s="46"/>
      <c r="H416" s="48"/>
      <c r="I416" s="49"/>
    </row>
    <row r="417" ht="22.5" customHeight="1">
      <c r="A417" s="42"/>
      <c r="B417" s="47"/>
      <c r="C417" s="46"/>
      <c r="D417" s="47"/>
      <c r="E417" s="46"/>
      <c r="F417" s="47"/>
      <c r="G417" s="46"/>
      <c r="H417" s="50"/>
      <c r="I417" s="51"/>
    </row>
    <row r="418" ht="22.5" customHeight="1">
      <c r="A418" s="42"/>
      <c r="B418" s="47"/>
      <c r="C418" s="46"/>
      <c r="D418" s="47"/>
      <c r="E418" s="46"/>
      <c r="F418" s="47"/>
      <c r="G418" s="46"/>
      <c r="H418" s="48"/>
      <c r="I418" s="49"/>
    </row>
    <row r="419" ht="22.5" customHeight="1">
      <c r="A419" s="42"/>
      <c r="B419" s="47"/>
      <c r="C419" s="46"/>
      <c r="D419" s="47"/>
      <c r="E419" s="46"/>
      <c r="F419" s="47"/>
      <c r="G419" s="46"/>
      <c r="H419" s="50"/>
      <c r="I419" s="51"/>
    </row>
    <row r="420" ht="22.5" customHeight="1">
      <c r="A420" s="42"/>
      <c r="B420" s="47"/>
      <c r="C420" s="46"/>
      <c r="D420" s="47"/>
      <c r="E420" s="46"/>
      <c r="F420" s="47"/>
      <c r="G420" s="46"/>
      <c r="H420" s="48"/>
      <c r="I420" s="49"/>
    </row>
    <row r="421" ht="22.5" customHeight="1">
      <c r="A421" s="42"/>
      <c r="B421" s="47"/>
      <c r="C421" s="46"/>
      <c r="D421" s="47"/>
      <c r="E421" s="46"/>
      <c r="F421" s="47"/>
      <c r="G421" s="46"/>
      <c r="H421" s="50"/>
      <c r="I421" s="51"/>
    </row>
    <row r="422" ht="22.5" customHeight="1">
      <c r="A422" s="42"/>
      <c r="B422" s="47"/>
      <c r="C422" s="46"/>
      <c r="D422" s="47"/>
      <c r="E422" s="46"/>
      <c r="F422" s="47"/>
      <c r="G422" s="46"/>
      <c r="H422" s="48"/>
      <c r="I422" s="49"/>
    </row>
    <row r="423" ht="22.5" customHeight="1">
      <c r="A423" s="42"/>
      <c r="B423" s="47"/>
      <c r="C423" s="46"/>
      <c r="D423" s="47"/>
      <c r="E423" s="46"/>
      <c r="F423" s="47"/>
      <c r="G423" s="46"/>
      <c r="H423" s="50"/>
      <c r="I423" s="51"/>
    </row>
    <row r="424" ht="22.5" customHeight="1">
      <c r="A424" s="42"/>
      <c r="B424" s="47"/>
      <c r="C424" s="46"/>
      <c r="D424" s="47"/>
      <c r="E424" s="46"/>
      <c r="F424" s="47"/>
      <c r="G424" s="46"/>
      <c r="H424" s="48"/>
      <c r="I424" s="49"/>
    </row>
    <row r="425" ht="22.5" customHeight="1">
      <c r="A425" s="42"/>
      <c r="B425" s="47"/>
      <c r="C425" s="46"/>
      <c r="D425" s="47"/>
      <c r="E425" s="46"/>
      <c r="F425" s="47"/>
      <c r="G425" s="46"/>
      <c r="H425" s="50"/>
      <c r="I425" s="51"/>
    </row>
    <row r="426" ht="22.5" customHeight="1">
      <c r="A426" s="42"/>
      <c r="B426" s="47"/>
      <c r="C426" s="46"/>
      <c r="D426" s="47"/>
      <c r="E426" s="46"/>
      <c r="F426" s="47"/>
      <c r="G426" s="46"/>
      <c r="H426" s="48"/>
      <c r="I426" s="49"/>
    </row>
    <row r="427" ht="22.5" customHeight="1">
      <c r="A427" s="42"/>
      <c r="B427" s="47"/>
      <c r="C427" s="46"/>
      <c r="D427" s="47"/>
      <c r="E427" s="46"/>
      <c r="F427" s="47"/>
      <c r="G427" s="46"/>
      <c r="H427" s="50"/>
      <c r="I427" s="51"/>
    </row>
    <row r="428" ht="22.5" customHeight="1">
      <c r="A428" s="42"/>
      <c r="B428" s="47"/>
      <c r="C428" s="46"/>
      <c r="D428" s="47"/>
      <c r="E428" s="46"/>
      <c r="F428" s="47"/>
      <c r="G428" s="46"/>
      <c r="H428" s="48"/>
      <c r="I428" s="49"/>
    </row>
    <row r="429" ht="22.5" customHeight="1">
      <c r="A429" s="42"/>
      <c r="B429" s="47"/>
      <c r="C429" s="46"/>
      <c r="D429" s="47"/>
      <c r="E429" s="46"/>
      <c r="F429" s="47"/>
      <c r="G429" s="46"/>
      <c r="H429" s="50"/>
      <c r="I429" s="51"/>
    </row>
    <row r="430" ht="22.5" customHeight="1">
      <c r="A430" s="42"/>
      <c r="B430" s="47"/>
      <c r="C430" s="46"/>
      <c r="D430" s="47"/>
      <c r="E430" s="46"/>
      <c r="F430" s="47"/>
      <c r="G430" s="46"/>
      <c r="H430" s="48"/>
      <c r="I430" s="49"/>
    </row>
    <row r="431" ht="22.5" customHeight="1">
      <c r="A431" s="42"/>
      <c r="B431" s="47"/>
      <c r="C431" s="46"/>
      <c r="D431" s="47"/>
      <c r="E431" s="46"/>
      <c r="F431" s="47"/>
      <c r="G431" s="46"/>
      <c r="H431" s="50"/>
      <c r="I431" s="51"/>
    </row>
    <row r="432" ht="22.5" customHeight="1">
      <c r="A432" s="42"/>
      <c r="B432" s="47"/>
      <c r="C432" s="46"/>
      <c r="D432" s="47"/>
      <c r="E432" s="46"/>
      <c r="F432" s="47"/>
      <c r="G432" s="46"/>
      <c r="H432" s="48"/>
      <c r="I432" s="49"/>
    </row>
    <row r="433" ht="22.5" customHeight="1">
      <c r="A433" s="42"/>
      <c r="B433" s="47"/>
      <c r="C433" s="46"/>
      <c r="D433" s="47"/>
      <c r="E433" s="46"/>
      <c r="F433" s="47"/>
      <c r="G433" s="46"/>
      <c r="H433" s="50"/>
      <c r="I433" s="51"/>
    </row>
    <row r="434" ht="22.5" customHeight="1">
      <c r="A434" s="42"/>
      <c r="B434" s="47"/>
      <c r="C434" s="46"/>
      <c r="D434" s="47"/>
      <c r="E434" s="46"/>
      <c r="F434" s="47"/>
      <c r="G434" s="46"/>
      <c r="H434" s="48"/>
      <c r="I434" s="49"/>
    </row>
    <row r="435" ht="22.5" customHeight="1">
      <c r="A435" s="42"/>
      <c r="B435" s="47"/>
      <c r="C435" s="46"/>
      <c r="D435" s="47"/>
      <c r="E435" s="46"/>
      <c r="F435" s="47"/>
      <c r="G435" s="46"/>
      <c r="H435" s="50"/>
      <c r="I435" s="51"/>
    </row>
    <row r="436" ht="22.5" customHeight="1">
      <c r="A436" s="42"/>
      <c r="B436" s="47"/>
      <c r="C436" s="46"/>
      <c r="D436" s="47"/>
      <c r="E436" s="46"/>
      <c r="F436" s="47"/>
      <c r="G436" s="46"/>
      <c r="H436" s="48"/>
      <c r="I436" s="49"/>
    </row>
    <row r="437" ht="22.5" customHeight="1">
      <c r="A437" s="42"/>
      <c r="B437" s="47"/>
      <c r="C437" s="46"/>
      <c r="D437" s="47"/>
      <c r="E437" s="46"/>
      <c r="F437" s="47"/>
      <c r="G437" s="46"/>
      <c r="H437" s="50"/>
      <c r="I437" s="51"/>
    </row>
    <row r="438" ht="22.5" customHeight="1">
      <c r="A438" s="42"/>
      <c r="B438" s="47"/>
      <c r="C438" s="46"/>
      <c r="D438" s="47"/>
      <c r="E438" s="46"/>
      <c r="F438" s="47"/>
      <c r="G438" s="46"/>
      <c r="H438" s="48"/>
      <c r="I438" s="49"/>
    </row>
    <row r="439" ht="22.5" customHeight="1">
      <c r="A439" s="42"/>
      <c r="B439" s="47"/>
      <c r="C439" s="46"/>
      <c r="D439" s="47"/>
      <c r="E439" s="46"/>
      <c r="F439" s="47"/>
      <c r="G439" s="46"/>
      <c r="H439" s="50"/>
      <c r="I439" s="51"/>
    </row>
    <row r="440" ht="22.5" customHeight="1">
      <c r="A440" s="42"/>
      <c r="B440" s="47"/>
      <c r="C440" s="46"/>
      <c r="D440" s="47"/>
      <c r="E440" s="46"/>
      <c r="F440" s="47"/>
      <c r="G440" s="46"/>
      <c r="H440" s="48"/>
      <c r="I440" s="49"/>
    </row>
    <row r="441" ht="22.5" customHeight="1">
      <c r="A441" s="42"/>
      <c r="B441" s="47"/>
      <c r="C441" s="46"/>
      <c r="D441" s="47"/>
      <c r="E441" s="46"/>
      <c r="F441" s="47"/>
      <c r="G441" s="46"/>
      <c r="H441" s="50"/>
      <c r="I441" s="51"/>
    </row>
    <row r="442" ht="22.5" customHeight="1">
      <c r="A442" s="42"/>
      <c r="B442" s="47"/>
      <c r="C442" s="46"/>
      <c r="D442" s="47"/>
      <c r="E442" s="46"/>
      <c r="F442" s="47"/>
      <c r="G442" s="46"/>
      <c r="H442" s="48"/>
      <c r="I442" s="49"/>
    </row>
    <row r="443" ht="22.5" customHeight="1">
      <c r="A443" s="42"/>
      <c r="B443" s="47"/>
      <c r="C443" s="46"/>
      <c r="D443" s="47"/>
      <c r="E443" s="46"/>
      <c r="F443" s="47"/>
      <c r="G443" s="46"/>
      <c r="H443" s="50"/>
      <c r="I443" s="51"/>
    </row>
    <row r="444" ht="22.5" customHeight="1">
      <c r="A444" s="42"/>
      <c r="B444" s="47"/>
      <c r="C444" s="46"/>
      <c r="D444" s="47"/>
      <c r="E444" s="46"/>
      <c r="F444" s="47"/>
      <c r="G444" s="46"/>
      <c r="H444" s="48"/>
      <c r="I444" s="49"/>
    </row>
    <row r="445" ht="22.5" customHeight="1">
      <c r="A445" s="42"/>
      <c r="B445" s="47"/>
      <c r="C445" s="46"/>
      <c r="D445" s="47"/>
      <c r="E445" s="46"/>
      <c r="F445" s="47"/>
      <c r="G445" s="46"/>
      <c r="H445" s="50"/>
      <c r="I445" s="51"/>
    </row>
    <row r="446" ht="22.5" customHeight="1">
      <c r="A446" s="42"/>
      <c r="B446" s="47"/>
      <c r="C446" s="46"/>
      <c r="D446" s="47"/>
      <c r="E446" s="46"/>
      <c r="F446" s="47"/>
      <c r="G446" s="46"/>
      <c r="H446" s="48"/>
      <c r="I446" s="49"/>
    </row>
    <row r="447" ht="22.5" customHeight="1">
      <c r="A447" s="42"/>
      <c r="B447" s="47"/>
      <c r="C447" s="46"/>
      <c r="D447" s="47"/>
      <c r="E447" s="46"/>
      <c r="F447" s="47"/>
      <c r="G447" s="46"/>
      <c r="H447" s="50"/>
      <c r="I447" s="51"/>
    </row>
    <row r="448" ht="22.5" customHeight="1">
      <c r="A448" s="42"/>
      <c r="B448" s="47"/>
      <c r="C448" s="46"/>
      <c r="D448" s="47"/>
      <c r="E448" s="46"/>
      <c r="F448" s="47"/>
      <c r="G448" s="46"/>
      <c r="H448" s="48"/>
      <c r="I448" s="49"/>
    </row>
    <row r="449" ht="22.5" customHeight="1">
      <c r="A449" s="42"/>
      <c r="B449" s="47"/>
      <c r="C449" s="46"/>
      <c r="D449" s="47"/>
      <c r="E449" s="46"/>
      <c r="F449" s="47"/>
      <c r="G449" s="46"/>
      <c r="H449" s="50"/>
      <c r="I449" s="51"/>
    </row>
    <row r="450" ht="22.5" customHeight="1">
      <c r="A450" s="42"/>
      <c r="B450" s="47"/>
      <c r="C450" s="46"/>
      <c r="D450" s="47"/>
      <c r="E450" s="46"/>
      <c r="F450" s="47"/>
      <c r="G450" s="46"/>
      <c r="H450" s="48"/>
      <c r="I450" s="49"/>
    </row>
    <row r="451" ht="22.5" customHeight="1">
      <c r="A451" s="42"/>
      <c r="B451" s="47"/>
      <c r="C451" s="46"/>
      <c r="D451" s="47"/>
      <c r="E451" s="46"/>
      <c r="F451" s="47"/>
      <c r="G451" s="46"/>
      <c r="H451" s="50"/>
      <c r="I451" s="51"/>
    </row>
    <row r="452" ht="22.5" customHeight="1">
      <c r="A452" s="42"/>
      <c r="B452" s="47"/>
      <c r="C452" s="46"/>
      <c r="D452" s="47"/>
      <c r="E452" s="46"/>
      <c r="F452" s="47"/>
      <c r="G452" s="46"/>
      <c r="H452" s="48"/>
      <c r="I452" s="49"/>
    </row>
    <row r="453" ht="22.5" customHeight="1">
      <c r="A453" s="42"/>
      <c r="B453" s="47"/>
      <c r="C453" s="46"/>
      <c r="D453" s="47"/>
      <c r="E453" s="46"/>
      <c r="F453" s="47"/>
      <c r="G453" s="46"/>
      <c r="H453" s="50"/>
      <c r="I453" s="51"/>
    </row>
    <row r="454" ht="22.5" customHeight="1">
      <c r="A454" s="42"/>
      <c r="B454" s="47"/>
      <c r="C454" s="46"/>
      <c r="D454" s="47"/>
      <c r="E454" s="46"/>
      <c r="F454" s="47"/>
      <c r="G454" s="46"/>
      <c r="H454" s="48"/>
      <c r="I454" s="49"/>
    </row>
    <row r="455" ht="22.5" customHeight="1">
      <c r="A455" s="42"/>
      <c r="B455" s="47"/>
      <c r="C455" s="46"/>
      <c r="D455" s="47"/>
      <c r="E455" s="46"/>
      <c r="F455" s="47"/>
      <c r="G455" s="46"/>
      <c r="H455" s="50"/>
      <c r="I455" s="51"/>
    </row>
    <row r="456" ht="22.5" customHeight="1">
      <c r="A456" s="42"/>
      <c r="B456" s="47"/>
      <c r="C456" s="46"/>
      <c r="D456" s="47"/>
      <c r="E456" s="46"/>
      <c r="F456" s="47"/>
      <c r="G456" s="46"/>
      <c r="H456" s="48"/>
      <c r="I456" s="49"/>
    </row>
    <row r="457" ht="22.5" customHeight="1">
      <c r="A457" s="42"/>
      <c r="B457" s="47"/>
      <c r="C457" s="46"/>
      <c r="D457" s="47"/>
      <c r="E457" s="46"/>
      <c r="F457" s="47"/>
      <c r="G457" s="46"/>
      <c r="H457" s="50"/>
      <c r="I457" s="51"/>
    </row>
    <row r="458" ht="22.5" customHeight="1">
      <c r="A458" s="42"/>
      <c r="B458" s="47"/>
      <c r="C458" s="46"/>
      <c r="D458" s="47"/>
      <c r="E458" s="46"/>
      <c r="F458" s="47"/>
      <c r="G458" s="46"/>
      <c r="H458" s="48"/>
      <c r="I458" s="49"/>
    </row>
    <row r="459" ht="22.5" customHeight="1">
      <c r="A459" s="42"/>
      <c r="B459" s="47"/>
      <c r="C459" s="46"/>
      <c r="D459" s="47"/>
      <c r="E459" s="46"/>
      <c r="F459" s="47"/>
      <c r="G459" s="46"/>
      <c r="H459" s="50"/>
      <c r="I459" s="51"/>
    </row>
    <row r="460" ht="22.5" customHeight="1">
      <c r="A460" s="42"/>
      <c r="B460" s="47"/>
      <c r="C460" s="46"/>
      <c r="D460" s="47"/>
      <c r="E460" s="46"/>
      <c r="F460" s="47"/>
      <c r="G460" s="46"/>
      <c r="H460" s="48"/>
      <c r="I460" s="49"/>
    </row>
    <row r="461" ht="22.5" customHeight="1">
      <c r="A461" s="42"/>
      <c r="B461" s="47"/>
      <c r="C461" s="46"/>
      <c r="D461" s="47"/>
      <c r="E461" s="46"/>
      <c r="F461" s="47"/>
      <c r="G461" s="46"/>
      <c r="H461" s="50"/>
      <c r="I461" s="51"/>
    </row>
    <row r="462" ht="22.5" customHeight="1">
      <c r="A462" s="42"/>
      <c r="B462" s="47"/>
      <c r="C462" s="46"/>
      <c r="D462" s="47"/>
      <c r="E462" s="46"/>
      <c r="F462" s="47"/>
      <c r="G462" s="46"/>
      <c r="H462" s="48"/>
      <c r="I462" s="49"/>
    </row>
    <row r="463" ht="22.5" customHeight="1">
      <c r="A463" s="42"/>
      <c r="B463" s="47"/>
      <c r="C463" s="46"/>
      <c r="D463" s="47"/>
      <c r="E463" s="46"/>
      <c r="F463" s="47"/>
      <c r="G463" s="46"/>
      <c r="H463" s="50"/>
      <c r="I463" s="51"/>
    </row>
    <row r="464" ht="22.5" customHeight="1">
      <c r="A464" s="42"/>
      <c r="B464" s="47"/>
      <c r="C464" s="46"/>
      <c r="D464" s="47"/>
      <c r="E464" s="46"/>
      <c r="F464" s="47"/>
      <c r="G464" s="46"/>
      <c r="H464" s="48"/>
      <c r="I464" s="49"/>
    </row>
    <row r="465" ht="22.5" customHeight="1">
      <c r="A465" s="42"/>
      <c r="B465" s="47"/>
      <c r="C465" s="46"/>
      <c r="D465" s="47"/>
      <c r="E465" s="46"/>
      <c r="F465" s="47"/>
      <c r="G465" s="46"/>
      <c r="H465" s="50"/>
      <c r="I465" s="51"/>
    </row>
    <row r="466" ht="22.5" customHeight="1">
      <c r="A466" s="42"/>
      <c r="B466" s="47"/>
      <c r="C466" s="46"/>
      <c r="D466" s="47"/>
      <c r="E466" s="46"/>
      <c r="F466" s="47"/>
      <c r="G466" s="46"/>
      <c r="H466" s="48"/>
      <c r="I466" s="49"/>
    </row>
    <row r="467" ht="22.5" customHeight="1">
      <c r="A467" s="42"/>
      <c r="B467" s="47"/>
      <c r="C467" s="46"/>
      <c r="D467" s="47"/>
      <c r="E467" s="46"/>
      <c r="F467" s="47"/>
      <c r="G467" s="46"/>
      <c r="H467" s="50"/>
      <c r="I467" s="51"/>
    </row>
    <row r="468" ht="22.5" customHeight="1">
      <c r="A468" s="42"/>
      <c r="B468" s="47"/>
      <c r="C468" s="46"/>
      <c r="D468" s="47"/>
      <c r="E468" s="46"/>
      <c r="F468" s="47"/>
      <c r="G468" s="46"/>
      <c r="H468" s="48"/>
      <c r="I468" s="49"/>
    </row>
    <row r="469" ht="22.5" customHeight="1">
      <c r="A469" s="42"/>
      <c r="B469" s="47"/>
      <c r="C469" s="46"/>
      <c r="D469" s="47"/>
      <c r="E469" s="46"/>
      <c r="F469" s="47"/>
      <c r="G469" s="46"/>
      <c r="H469" s="50"/>
      <c r="I469" s="51"/>
    </row>
    <row r="470" ht="22.5" customHeight="1">
      <c r="A470" s="42"/>
      <c r="B470" s="47"/>
      <c r="C470" s="46"/>
      <c r="D470" s="47"/>
      <c r="E470" s="46"/>
      <c r="F470" s="47"/>
      <c r="G470" s="46"/>
      <c r="H470" s="48"/>
      <c r="I470" s="49"/>
    </row>
    <row r="471" ht="22.5" customHeight="1">
      <c r="A471" s="42"/>
      <c r="B471" s="47"/>
      <c r="C471" s="46"/>
      <c r="D471" s="47"/>
      <c r="E471" s="46"/>
      <c r="F471" s="47"/>
      <c r="G471" s="46"/>
      <c r="H471" s="50"/>
      <c r="I471" s="51"/>
    </row>
    <row r="472" ht="22.5" customHeight="1">
      <c r="A472" s="42"/>
      <c r="B472" s="47"/>
      <c r="C472" s="46"/>
      <c r="D472" s="47"/>
      <c r="E472" s="46"/>
      <c r="F472" s="47"/>
      <c r="G472" s="46"/>
      <c r="H472" s="48"/>
      <c r="I472" s="49"/>
    </row>
    <row r="473" ht="22.5" customHeight="1">
      <c r="A473" s="42"/>
      <c r="B473" s="47"/>
      <c r="C473" s="46"/>
      <c r="D473" s="47"/>
      <c r="E473" s="46"/>
      <c r="F473" s="47"/>
      <c r="G473" s="46"/>
      <c r="H473" s="50"/>
      <c r="I473" s="51"/>
    </row>
    <row r="474" ht="22.5" customHeight="1">
      <c r="A474" s="42"/>
      <c r="B474" s="47"/>
      <c r="C474" s="46"/>
      <c r="D474" s="47"/>
      <c r="E474" s="46"/>
      <c r="F474" s="47"/>
      <c r="G474" s="46"/>
      <c r="H474" s="48"/>
      <c r="I474" s="49"/>
    </row>
    <row r="475" ht="22.5" customHeight="1">
      <c r="A475" s="42"/>
      <c r="B475" s="47"/>
      <c r="C475" s="46"/>
      <c r="D475" s="47"/>
      <c r="E475" s="46"/>
      <c r="F475" s="47"/>
      <c r="G475" s="46"/>
      <c r="H475" s="50"/>
      <c r="I475" s="51"/>
    </row>
    <row r="476" ht="22.5" customHeight="1">
      <c r="A476" s="42"/>
      <c r="B476" s="47"/>
      <c r="C476" s="46"/>
      <c r="D476" s="47"/>
      <c r="E476" s="46"/>
      <c r="F476" s="47"/>
      <c r="G476" s="46"/>
      <c r="H476" s="48"/>
      <c r="I476" s="49"/>
    </row>
    <row r="477" ht="22.5" customHeight="1">
      <c r="A477" s="42"/>
      <c r="B477" s="47"/>
      <c r="C477" s="46"/>
      <c r="D477" s="47"/>
      <c r="E477" s="46"/>
      <c r="F477" s="47"/>
      <c r="G477" s="46"/>
      <c r="H477" s="50"/>
      <c r="I477" s="51"/>
    </row>
    <row r="478" ht="22.5" customHeight="1">
      <c r="A478" s="42"/>
      <c r="B478" s="47"/>
      <c r="C478" s="46"/>
      <c r="D478" s="47"/>
      <c r="E478" s="46"/>
      <c r="F478" s="47"/>
      <c r="G478" s="46"/>
      <c r="H478" s="48"/>
      <c r="I478" s="49"/>
    </row>
    <row r="479" ht="22.5" customHeight="1">
      <c r="A479" s="42"/>
      <c r="B479" s="47"/>
      <c r="C479" s="46"/>
      <c r="D479" s="47"/>
      <c r="E479" s="46"/>
      <c r="F479" s="47"/>
      <c r="G479" s="46"/>
      <c r="H479" s="50"/>
      <c r="I479" s="51"/>
    </row>
    <row r="480" ht="22.5" customHeight="1">
      <c r="A480" s="42"/>
      <c r="B480" s="47"/>
      <c r="C480" s="46"/>
      <c r="D480" s="47"/>
      <c r="E480" s="46"/>
      <c r="F480" s="47"/>
      <c r="G480" s="46"/>
      <c r="H480" s="48"/>
      <c r="I480" s="49"/>
    </row>
    <row r="481" ht="22.5" customHeight="1">
      <c r="A481" s="42"/>
      <c r="B481" s="47"/>
      <c r="C481" s="46"/>
      <c r="D481" s="47"/>
      <c r="E481" s="46"/>
      <c r="F481" s="47"/>
      <c r="G481" s="46"/>
      <c r="H481" s="50"/>
      <c r="I481" s="51"/>
    </row>
    <row r="482" ht="22.5" customHeight="1">
      <c r="A482" s="42"/>
      <c r="B482" s="47"/>
      <c r="C482" s="46"/>
      <c r="D482" s="47"/>
      <c r="E482" s="46"/>
      <c r="F482" s="47"/>
      <c r="G482" s="46"/>
      <c r="H482" s="48"/>
      <c r="I482" s="49"/>
    </row>
    <row r="483" ht="22.5" customHeight="1">
      <c r="A483" s="42"/>
      <c r="B483" s="47"/>
      <c r="C483" s="46"/>
      <c r="D483" s="47"/>
      <c r="E483" s="46"/>
      <c r="F483" s="47"/>
      <c r="G483" s="46"/>
      <c r="H483" s="50"/>
      <c r="I483" s="51"/>
    </row>
    <row r="484" ht="22.5" customHeight="1">
      <c r="A484" s="42"/>
      <c r="B484" s="47"/>
      <c r="C484" s="46"/>
      <c r="D484" s="47"/>
      <c r="E484" s="46"/>
      <c r="F484" s="47"/>
      <c r="G484" s="46"/>
      <c r="H484" s="48"/>
      <c r="I484" s="49"/>
    </row>
    <row r="485" ht="22.5" customHeight="1">
      <c r="A485" s="42"/>
      <c r="B485" s="47"/>
      <c r="C485" s="46"/>
      <c r="D485" s="47"/>
      <c r="E485" s="46"/>
      <c r="F485" s="47"/>
      <c r="G485" s="46"/>
      <c r="H485" s="50"/>
      <c r="I485" s="51"/>
    </row>
    <row r="486" ht="22.5" customHeight="1">
      <c r="A486" s="42"/>
      <c r="B486" s="47"/>
      <c r="C486" s="46"/>
      <c r="D486" s="47"/>
      <c r="E486" s="46"/>
      <c r="F486" s="47"/>
      <c r="G486" s="46"/>
      <c r="H486" s="48"/>
      <c r="I486" s="49"/>
    </row>
    <row r="487" ht="22.5" customHeight="1">
      <c r="A487" s="42"/>
      <c r="B487" s="47"/>
      <c r="C487" s="46"/>
      <c r="D487" s="47"/>
      <c r="E487" s="46"/>
      <c r="F487" s="47"/>
      <c r="G487" s="46"/>
      <c r="H487" s="50"/>
      <c r="I487" s="51"/>
    </row>
    <row r="488" ht="22.5" customHeight="1">
      <c r="A488" s="42"/>
      <c r="B488" s="47"/>
      <c r="C488" s="46"/>
      <c r="D488" s="47"/>
      <c r="E488" s="46"/>
      <c r="F488" s="47"/>
      <c r="G488" s="46"/>
      <c r="H488" s="48"/>
      <c r="I488" s="49"/>
    </row>
    <row r="489" ht="22.5" customHeight="1">
      <c r="A489" s="42"/>
      <c r="B489" s="47"/>
      <c r="C489" s="46"/>
      <c r="D489" s="47"/>
      <c r="E489" s="46"/>
      <c r="F489" s="47"/>
      <c r="G489" s="46"/>
      <c r="H489" s="50"/>
      <c r="I489" s="51"/>
    </row>
    <row r="490" ht="22.5" customHeight="1">
      <c r="A490" s="42"/>
      <c r="B490" s="47"/>
      <c r="C490" s="46"/>
      <c r="D490" s="47"/>
      <c r="E490" s="46"/>
      <c r="F490" s="47"/>
      <c r="G490" s="46"/>
      <c r="H490" s="48"/>
      <c r="I490" s="49"/>
    </row>
    <row r="491" ht="22.5" customHeight="1">
      <c r="A491" s="42"/>
      <c r="B491" s="47"/>
      <c r="C491" s="46"/>
      <c r="D491" s="47"/>
      <c r="E491" s="46"/>
      <c r="F491" s="47"/>
      <c r="G491" s="46"/>
      <c r="H491" s="50"/>
      <c r="I491" s="51"/>
    </row>
    <row r="492" ht="22.5" customHeight="1">
      <c r="A492" s="42"/>
      <c r="B492" s="47"/>
      <c r="C492" s="46"/>
      <c r="D492" s="47"/>
      <c r="E492" s="46"/>
      <c r="F492" s="47"/>
      <c r="G492" s="46"/>
      <c r="H492" s="48"/>
      <c r="I492" s="49"/>
    </row>
    <row r="493" ht="22.5" customHeight="1">
      <c r="A493" s="42"/>
      <c r="B493" s="47"/>
      <c r="C493" s="46"/>
      <c r="D493" s="47"/>
      <c r="E493" s="46"/>
      <c r="F493" s="47"/>
      <c r="G493" s="46"/>
      <c r="H493" s="50"/>
      <c r="I493" s="51"/>
    </row>
    <row r="494" ht="22.5" customHeight="1">
      <c r="A494" s="42"/>
      <c r="B494" s="47"/>
      <c r="C494" s="46"/>
      <c r="D494" s="47"/>
      <c r="E494" s="46"/>
      <c r="F494" s="47"/>
      <c r="G494" s="46"/>
      <c r="H494" s="48"/>
      <c r="I494" s="49"/>
    </row>
    <row r="495" ht="22.5" customHeight="1">
      <c r="A495" s="42"/>
      <c r="B495" s="47"/>
      <c r="C495" s="46"/>
      <c r="D495" s="47"/>
      <c r="E495" s="46"/>
      <c r="F495" s="47"/>
      <c r="G495" s="46"/>
      <c r="H495" s="50"/>
      <c r="I495" s="51"/>
    </row>
    <row r="496" ht="22.5" customHeight="1">
      <c r="A496" s="42"/>
      <c r="B496" s="47"/>
      <c r="C496" s="46"/>
      <c r="D496" s="47"/>
      <c r="E496" s="46"/>
      <c r="F496" s="47"/>
      <c r="G496" s="46"/>
      <c r="H496" s="48"/>
      <c r="I496" s="49"/>
    </row>
    <row r="497" ht="22.5" customHeight="1">
      <c r="A497" s="42"/>
      <c r="B497" s="47"/>
      <c r="C497" s="46"/>
      <c r="D497" s="47"/>
      <c r="E497" s="46"/>
      <c r="F497" s="47"/>
      <c r="G497" s="46"/>
      <c r="H497" s="50"/>
      <c r="I497" s="51"/>
    </row>
    <row r="498" ht="22.5" customHeight="1">
      <c r="A498" s="42"/>
      <c r="B498" s="47"/>
      <c r="C498" s="46"/>
      <c r="D498" s="47"/>
      <c r="E498" s="46"/>
      <c r="F498" s="47"/>
      <c r="G498" s="46"/>
      <c r="H498" s="48"/>
      <c r="I498" s="49"/>
    </row>
    <row r="499" ht="22.5" customHeight="1">
      <c r="A499" s="42"/>
      <c r="B499" s="47"/>
      <c r="C499" s="46"/>
      <c r="D499" s="47"/>
      <c r="E499" s="46"/>
      <c r="F499" s="47"/>
      <c r="G499" s="46"/>
      <c r="H499" s="50"/>
      <c r="I499" s="51"/>
    </row>
    <row r="500" ht="22.5" customHeight="1">
      <c r="A500" s="42"/>
      <c r="B500" s="47"/>
      <c r="C500" s="46"/>
      <c r="D500" s="47"/>
      <c r="E500" s="46"/>
      <c r="F500" s="47"/>
      <c r="G500" s="46"/>
      <c r="H500" s="48"/>
      <c r="I500" s="49"/>
    </row>
    <row r="501" ht="22.5" customHeight="1">
      <c r="A501" s="42"/>
      <c r="B501" s="47"/>
      <c r="C501" s="46"/>
      <c r="D501" s="47"/>
      <c r="E501" s="46"/>
      <c r="F501" s="47"/>
      <c r="G501" s="46"/>
      <c r="H501" s="50"/>
      <c r="I501" s="51"/>
    </row>
    <row r="502" ht="22.5" customHeight="1">
      <c r="A502" s="42"/>
      <c r="B502" s="47"/>
      <c r="C502" s="46"/>
      <c r="D502" s="47"/>
      <c r="E502" s="46"/>
      <c r="F502" s="47"/>
      <c r="G502" s="46"/>
      <c r="H502" s="48"/>
      <c r="I502" s="49"/>
    </row>
    <row r="503" ht="22.5" customHeight="1">
      <c r="A503" s="42"/>
      <c r="B503" s="47"/>
      <c r="C503" s="46"/>
      <c r="D503" s="47"/>
      <c r="E503" s="46"/>
      <c r="F503" s="47"/>
      <c r="G503" s="46"/>
      <c r="H503" s="50"/>
      <c r="I503" s="51"/>
    </row>
    <row r="504" ht="22.5" customHeight="1">
      <c r="A504" s="42"/>
      <c r="B504" s="47"/>
      <c r="C504" s="46"/>
      <c r="D504" s="47"/>
      <c r="E504" s="46"/>
      <c r="F504" s="47"/>
      <c r="G504" s="46"/>
      <c r="H504" s="48"/>
      <c r="I504" s="49"/>
    </row>
    <row r="505" ht="22.5" customHeight="1">
      <c r="A505" s="42"/>
      <c r="B505" s="47"/>
      <c r="C505" s="46"/>
      <c r="D505" s="47"/>
      <c r="E505" s="46"/>
      <c r="F505" s="47"/>
      <c r="G505" s="46"/>
      <c r="H505" s="50"/>
      <c r="I505" s="51"/>
    </row>
    <row r="506" ht="22.5" customHeight="1">
      <c r="A506" s="42"/>
      <c r="B506" s="47"/>
      <c r="C506" s="46"/>
      <c r="D506" s="47"/>
      <c r="E506" s="46"/>
      <c r="F506" s="47"/>
      <c r="G506" s="46"/>
      <c r="H506" s="48"/>
      <c r="I506" s="49"/>
    </row>
    <row r="507" ht="22.5" customHeight="1">
      <c r="A507" s="42"/>
      <c r="B507" s="47"/>
      <c r="C507" s="46"/>
      <c r="D507" s="47"/>
      <c r="E507" s="46"/>
      <c r="F507" s="47"/>
      <c r="G507" s="46"/>
      <c r="H507" s="50"/>
      <c r="I507" s="51"/>
    </row>
    <row r="508" ht="22.5" customHeight="1">
      <c r="A508" s="42"/>
      <c r="B508" s="47"/>
      <c r="C508" s="46"/>
      <c r="D508" s="47"/>
      <c r="E508" s="46"/>
      <c r="F508" s="47"/>
      <c r="G508" s="46"/>
      <c r="H508" s="48"/>
      <c r="I508" s="49"/>
    </row>
    <row r="509" ht="22.5" customHeight="1">
      <c r="A509" s="42"/>
      <c r="B509" s="47"/>
      <c r="C509" s="46"/>
      <c r="D509" s="47"/>
      <c r="E509" s="46"/>
      <c r="F509" s="47"/>
      <c r="G509" s="46"/>
      <c r="H509" s="50"/>
      <c r="I509" s="51"/>
    </row>
    <row r="510" ht="22.5" customHeight="1">
      <c r="A510" s="42"/>
      <c r="B510" s="47"/>
      <c r="C510" s="46"/>
      <c r="D510" s="47"/>
      <c r="E510" s="46"/>
      <c r="F510" s="47"/>
      <c r="G510" s="46"/>
      <c r="H510" s="48"/>
      <c r="I510" s="49"/>
    </row>
    <row r="511" ht="22.5" customHeight="1">
      <c r="A511" s="42"/>
      <c r="B511" s="47"/>
      <c r="C511" s="46"/>
      <c r="D511" s="47"/>
      <c r="E511" s="46"/>
      <c r="F511" s="47"/>
      <c r="G511" s="46"/>
      <c r="H511" s="50"/>
      <c r="I511" s="51"/>
    </row>
    <row r="512" ht="22.5" customHeight="1">
      <c r="A512" s="42"/>
      <c r="B512" s="47"/>
      <c r="C512" s="46"/>
      <c r="D512" s="47"/>
      <c r="E512" s="46"/>
      <c r="F512" s="47"/>
      <c r="G512" s="46"/>
      <c r="H512" s="48"/>
      <c r="I512" s="49"/>
    </row>
    <row r="513" ht="22.5" customHeight="1">
      <c r="A513" s="42"/>
      <c r="B513" s="47"/>
      <c r="C513" s="46"/>
      <c r="D513" s="47"/>
      <c r="E513" s="46"/>
      <c r="F513" s="47"/>
      <c r="G513" s="46"/>
      <c r="H513" s="50"/>
      <c r="I513" s="51"/>
    </row>
    <row r="514" ht="22.5" customHeight="1">
      <c r="A514" s="42"/>
      <c r="B514" s="47"/>
      <c r="C514" s="46"/>
      <c r="D514" s="47"/>
      <c r="E514" s="46"/>
      <c r="F514" s="47"/>
      <c r="G514" s="46"/>
      <c r="H514" s="48"/>
      <c r="I514" s="49"/>
    </row>
    <row r="515" ht="22.5" customHeight="1">
      <c r="A515" s="42"/>
      <c r="B515" s="47"/>
      <c r="C515" s="46"/>
      <c r="D515" s="47"/>
      <c r="E515" s="46"/>
      <c r="F515" s="47"/>
      <c r="G515" s="46"/>
      <c r="H515" s="50"/>
      <c r="I515" s="51"/>
    </row>
    <row r="516" ht="22.5" customHeight="1">
      <c r="A516" s="42"/>
      <c r="B516" s="47"/>
      <c r="C516" s="46"/>
      <c r="D516" s="47"/>
      <c r="E516" s="46"/>
      <c r="F516" s="47"/>
      <c r="G516" s="46"/>
      <c r="H516" s="48"/>
      <c r="I516" s="49"/>
    </row>
    <row r="517" ht="22.5" customHeight="1">
      <c r="A517" s="42"/>
      <c r="B517" s="47"/>
      <c r="C517" s="46"/>
      <c r="D517" s="47"/>
      <c r="E517" s="46"/>
      <c r="F517" s="47"/>
      <c r="G517" s="46"/>
      <c r="H517" s="50"/>
      <c r="I517" s="51"/>
    </row>
    <row r="518" ht="22.5" customHeight="1">
      <c r="A518" s="42"/>
      <c r="B518" s="47"/>
      <c r="C518" s="46"/>
      <c r="D518" s="47"/>
      <c r="E518" s="46"/>
      <c r="F518" s="47"/>
      <c r="G518" s="46"/>
      <c r="H518" s="48"/>
      <c r="I518" s="49"/>
    </row>
    <row r="519" ht="22.5" customHeight="1">
      <c r="A519" s="42"/>
      <c r="B519" s="47"/>
      <c r="C519" s="46"/>
      <c r="D519" s="47"/>
      <c r="E519" s="46"/>
      <c r="F519" s="47"/>
      <c r="G519" s="46"/>
      <c r="H519" s="50"/>
      <c r="I519" s="51"/>
    </row>
    <row r="520" ht="22.5" customHeight="1">
      <c r="A520" s="42"/>
      <c r="B520" s="47"/>
      <c r="C520" s="46"/>
      <c r="D520" s="47"/>
      <c r="E520" s="46"/>
      <c r="F520" s="47"/>
      <c r="G520" s="46"/>
      <c r="H520" s="48"/>
      <c r="I520" s="49"/>
    </row>
    <row r="521" ht="22.5" customHeight="1">
      <c r="A521" s="42"/>
      <c r="B521" s="47"/>
      <c r="C521" s="46"/>
      <c r="D521" s="47"/>
      <c r="E521" s="46"/>
      <c r="F521" s="47"/>
      <c r="G521" s="46"/>
      <c r="H521" s="50"/>
      <c r="I521" s="51"/>
    </row>
    <row r="522" ht="22.5" customHeight="1">
      <c r="A522" s="42"/>
      <c r="B522" s="47"/>
      <c r="C522" s="46"/>
      <c r="D522" s="47"/>
      <c r="E522" s="46"/>
      <c r="F522" s="47"/>
      <c r="G522" s="46"/>
      <c r="H522" s="48"/>
      <c r="I522" s="49"/>
    </row>
    <row r="523" ht="22.5" customHeight="1">
      <c r="A523" s="42"/>
      <c r="B523" s="47"/>
      <c r="C523" s="46"/>
      <c r="D523" s="47"/>
      <c r="E523" s="46"/>
      <c r="F523" s="47"/>
      <c r="G523" s="46"/>
      <c r="H523" s="50"/>
      <c r="I523" s="51"/>
    </row>
    <row r="524" ht="22.5" customHeight="1">
      <c r="A524" s="42"/>
      <c r="B524" s="47"/>
      <c r="C524" s="46"/>
      <c r="D524" s="47"/>
      <c r="E524" s="46"/>
      <c r="F524" s="47"/>
      <c r="G524" s="46"/>
      <c r="H524" s="48"/>
      <c r="I524" s="49"/>
    </row>
    <row r="525" ht="22.5" customHeight="1">
      <c r="A525" s="42"/>
      <c r="B525" s="47"/>
      <c r="C525" s="46"/>
      <c r="D525" s="47"/>
      <c r="E525" s="46"/>
      <c r="F525" s="47"/>
      <c r="G525" s="46"/>
      <c r="H525" s="50"/>
      <c r="I525" s="51"/>
    </row>
    <row r="526" ht="22.5" customHeight="1">
      <c r="A526" s="42"/>
      <c r="B526" s="47"/>
      <c r="C526" s="46"/>
      <c r="D526" s="47"/>
      <c r="E526" s="46"/>
      <c r="F526" s="47"/>
      <c r="G526" s="46"/>
      <c r="H526" s="48"/>
      <c r="I526" s="49"/>
    </row>
    <row r="527" ht="22.5" customHeight="1">
      <c r="A527" s="42"/>
      <c r="B527" s="47"/>
      <c r="C527" s="46"/>
      <c r="D527" s="47"/>
      <c r="E527" s="46"/>
      <c r="F527" s="47"/>
      <c r="G527" s="46"/>
      <c r="H527" s="50"/>
      <c r="I527" s="51"/>
    </row>
    <row r="528" ht="22.5" customHeight="1">
      <c r="A528" s="42"/>
      <c r="B528" s="47"/>
      <c r="C528" s="46"/>
      <c r="D528" s="47"/>
      <c r="E528" s="46"/>
      <c r="F528" s="47"/>
      <c r="G528" s="46"/>
      <c r="H528" s="48"/>
      <c r="I528" s="49"/>
    </row>
    <row r="529" ht="22.5" customHeight="1">
      <c r="A529" s="42"/>
      <c r="B529" s="47"/>
      <c r="C529" s="46"/>
      <c r="D529" s="47"/>
      <c r="E529" s="46"/>
      <c r="F529" s="47"/>
      <c r="G529" s="46"/>
      <c r="H529" s="50"/>
      <c r="I529" s="51"/>
    </row>
    <row r="530" ht="22.5" customHeight="1">
      <c r="A530" s="42"/>
      <c r="B530" s="47"/>
      <c r="C530" s="46"/>
      <c r="D530" s="47"/>
      <c r="E530" s="46"/>
      <c r="F530" s="47"/>
      <c r="G530" s="46"/>
      <c r="H530" s="48"/>
      <c r="I530" s="49"/>
    </row>
    <row r="531" ht="22.5" customHeight="1">
      <c r="A531" s="42"/>
      <c r="B531" s="47"/>
      <c r="C531" s="46"/>
      <c r="D531" s="47"/>
      <c r="E531" s="46"/>
      <c r="F531" s="47"/>
      <c r="G531" s="46"/>
      <c r="H531" s="50"/>
      <c r="I531" s="51"/>
    </row>
    <row r="532" ht="22.5" customHeight="1">
      <c r="A532" s="42"/>
      <c r="B532" s="47"/>
      <c r="C532" s="46"/>
      <c r="D532" s="47"/>
      <c r="E532" s="46"/>
      <c r="F532" s="47"/>
      <c r="G532" s="46"/>
      <c r="H532" s="48"/>
      <c r="I532" s="49"/>
    </row>
    <row r="533" ht="22.5" customHeight="1">
      <c r="A533" s="42"/>
      <c r="B533" s="47"/>
      <c r="C533" s="46"/>
      <c r="D533" s="47"/>
      <c r="E533" s="46"/>
      <c r="F533" s="47"/>
      <c r="G533" s="46"/>
      <c r="H533" s="50"/>
      <c r="I533" s="51"/>
    </row>
    <row r="534" ht="22.5" customHeight="1">
      <c r="A534" s="42"/>
      <c r="B534" s="47"/>
      <c r="C534" s="46"/>
      <c r="D534" s="47"/>
      <c r="E534" s="46"/>
      <c r="F534" s="47"/>
      <c r="G534" s="46"/>
      <c r="H534" s="48"/>
      <c r="I534" s="49"/>
    </row>
    <row r="535" ht="22.5" customHeight="1">
      <c r="A535" s="42"/>
      <c r="B535" s="47"/>
      <c r="C535" s="46"/>
      <c r="D535" s="47"/>
      <c r="E535" s="46"/>
      <c r="F535" s="47"/>
      <c r="G535" s="46"/>
      <c r="H535" s="50"/>
      <c r="I535" s="51"/>
    </row>
    <row r="536" ht="22.5" customHeight="1">
      <c r="A536" s="42"/>
      <c r="B536" s="47"/>
      <c r="C536" s="46"/>
      <c r="D536" s="47"/>
      <c r="E536" s="46"/>
      <c r="F536" s="47"/>
      <c r="G536" s="46"/>
      <c r="H536" s="48"/>
      <c r="I536" s="49"/>
    </row>
    <row r="537" ht="22.5" customHeight="1">
      <c r="A537" s="42"/>
      <c r="B537" s="47"/>
      <c r="C537" s="46"/>
      <c r="D537" s="47"/>
      <c r="E537" s="46"/>
      <c r="F537" s="47"/>
      <c r="G537" s="46"/>
      <c r="H537" s="50"/>
      <c r="I537" s="51"/>
    </row>
    <row r="538" ht="22.5" customHeight="1">
      <c r="A538" s="42"/>
      <c r="B538" s="47"/>
      <c r="C538" s="46"/>
      <c r="D538" s="47"/>
      <c r="E538" s="46"/>
      <c r="F538" s="47"/>
      <c r="G538" s="46"/>
      <c r="H538" s="48"/>
      <c r="I538" s="49"/>
    </row>
    <row r="539" ht="22.5" customHeight="1">
      <c r="A539" s="42"/>
      <c r="B539" s="47"/>
      <c r="C539" s="46"/>
      <c r="D539" s="47"/>
      <c r="E539" s="46"/>
      <c r="F539" s="47"/>
      <c r="G539" s="46"/>
      <c r="H539" s="50"/>
      <c r="I539" s="51"/>
    </row>
    <row r="540" ht="22.5" customHeight="1">
      <c r="A540" s="42"/>
      <c r="B540" s="47"/>
      <c r="C540" s="46"/>
      <c r="D540" s="47"/>
      <c r="E540" s="46"/>
      <c r="F540" s="47"/>
      <c r="G540" s="46"/>
      <c r="H540" s="48"/>
      <c r="I540" s="49"/>
    </row>
    <row r="541" ht="22.5" customHeight="1">
      <c r="A541" s="42"/>
      <c r="B541" s="47"/>
      <c r="C541" s="46"/>
      <c r="D541" s="47"/>
      <c r="E541" s="46"/>
      <c r="F541" s="47"/>
      <c r="G541" s="46"/>
      <c r="H541" s="50"/>
      <c r="I541" s="51"/>
    </row>
    <row r="542" ht="22.5" customHeight="1">
      <c r="A542" s="42"/>
      <c r="B542" s="47"/>
      <c r="C542" s="46"/>
      <c r="D542" s="47"/>
      <c r="E542" s="46"/>
      <c r="F542" s="47"/>
      <c r="G542" s="46"/>
      <c r="H542" s="48"/>
      <c r="I542" s="49"/>
    </row>
    <row r="543" ht="22.5" customHeight="1">
      <c r="A543" s="42"/>
      <c r="B543" s="47"/>
      <c r="C543" s="46"/>
      <c r="D543" s="47"/>
      <c r="E543" s="46"/>
      <c r="F543" s="47"/>
      <c r="G543" s="46"/>
      <c r="H543" s="50"/>
      <c r="I543" s="51"/>
    </row>
    <row r="544" ht="22.5" customHeight="1">
      <c r="A544" s="42"/>
      <c r="B544" s="47"/>
      <c r="C544" s="46"/>
      <c r="D544" s="47"/>
      <c r="E544" s="46"/>
      <c r="F544" s="47"/>
      <c r="G544" s="46"/>
      <c r="H544" s="48"/>
      <c r="I544" s="49"/>
    </row>
    <row r="545" ht="22.5" customHeight="1">
      <c r="A545" s="42"/>
      <c r="B545" s="47"/>
      <c r="C545" s="46"/>
      <c r="D545" s="47"/>
      <c r="E545" s="46"/>
      <c r="F545" s="47"/>
      <c r="G545" s="46"/>
      <c r="H545" s="50"/>
      <c r="I545" s="51"/>
    </row>
    <row r="546" ht="22.5" customHeight="1">
      <c r="A546" s="42"/>
      <c r="B546" s="47"/>
      <c r="C546" s="46"/>
      <c r="D546" s="47"/>
      <c r="E546" s="46"/>
      <c r="F546" s="47"/>
      <c r="G546" s="46"/>
      <c r="H546" s="48"/>
      <c r="I546" s="49"/>
    </row>
    <row r="547" ht="22.5" customHeight="1">
      <c r="A547" s="42"/>
      <c r="B547" s="47"/>
      <c r="C547" s="46"/>
      <c r="D547" s="47"/>
      <c r="E547" s="46"/>
      <c r="F547" s="47"/>
      <c r="G547" s="46"/>
      <c r="H547" s="50"/>
      <c r="I547" s="51"/>
    </row>
    <row r="548" ht="22.5" customHeight="1">
      <c r="A548" s="42"/>
      <c r="B548" s="47"/>
      <c r="C548" s="46"/>
      <c r="D548" s="47"/>
      <c r="E548" s="46"/>
      <c r="F548" s="47"/>
      <c r="G548" s="46"/>
      <c r="H548" s="48"/>
      <c r="I548" s="49"/>
    </row>
    <row r="549" ht="22.5" customHeight="1">
      <c r="A549" s="42"/>
      <c r="B549" s="47"/>
      <c r="C549" s="46"/>
      <c r="D549" s="47"/>
      <c r="E549" s="46"/>
      <c r="F549" s="47"/>
      <c r="G549" s="46"/>
      <c r="H549" s="50"/>
      <c r="I549" s="51"/>
    </row>
    <row r="550" ht="22.5" customHeight="1">
      <c r="A550" s="42"/>
      <c r="B550" s="47"/>
      <c r="C550" s="46"/>
      <c r="D550" s="47"/>
      <c r="E550" s="46"/>
      <c r="F550" s="47"/>
      <c r="G550" s="46"/>
      <c r="H550" s="48"/>
      <c r="I550" s="49"/>
    </row>
    <row r="551" ht="22.5" customHeight="1">
      <c r="A551" s="42"/>
      <c r="B551" s="47"/>
      <c r="C551" s="46"/>
      <c r="D551" s="47"/>
      <c r="E551" s="46"/>
      <c r="F551" s="47"/>
      <c r="G551" s="46"/>
      <c r="H551" s="50"/>
      <c r="I551" s="51"/>
    </row>
    <row r="552" ht="22.5" customHeight="1">
      <c r="A552" s="42"/>
      <c r="B552" s="47"/>
      <c r="C552" s="46"/>
      <c r="D552" s="47"/>
      <c r="E552" s="46"/>
      <c r="F552" s="47"/>
      <c r="G552" s="46"/>
      <c r="H552" s="48"/>
      <c r="I552" s="49"/>
    </row>
    <row r="553" ht="22.5" customHeight="1">
      <c r="A553" s="42"/>
      <c r="B553" s="47"/>
      <c r="C553" s="46"/>
      <c r="D553" s="47"/>
      <c r="E553" s="46"/>
      <c r="F553" s="47"/>
      <c r="G553" s="46"/>
      <c r="H553" s="50"/>
      <c r="I553" s="51"/>
    </row>
    <row r="554" ht="22.5" customHeight="1">
      <c r="A554" s="42"/>
      <c r="B554" s="47"/>
      <c r="C554" s="46"/>
      <c r="D554" s="47"/>
      <c r="E554" s="46"/>
      <c r="F554" s="47"/>
      <c r="G554" s="46"/>
      <c r="H554" s="48"/>
      <c r="I554" s="49"/>
    </row>
    <row r="555" ht="22.5" customHeight="1">
      <c r="A555" s="42"/>
      <c r="B555" s="47"/>
      <c r="C555" s="46"/>
      <c r="D555" s="47"/>
      <c r="E555" s="46"/>
      <c r="F555" s="47"/>
      <c r="G555" s="46"/>
      <c r="H555" s="50"/>
      <c r="I555" s="51"/>
    </row>
    <row r="556" ht="22.5" customHeight="1">
      <c r="A556" s="42"/>
      <c r="B556" s="47"/>
      <c r="C556" s="46"/>
      <c r="D556" s="47"/>
      <c r="E556" s="46"/>
      <c r="F556" s="47"/>
      <c r="G556" s="46"/>
      <c r="H556" s="48"/>
      <c r="I556" s="49"/>
    </row>
    <row r="557" ht="22.5" customHeight="1">
      <c r="A557" s="42"/>
      <c r="B557" s="47"/>
      <c r="C557" s="46"/>
      <c r="D557" s="47"/>
      <c r="E557" s="46"/>
      <c r="F557" s="47"/>
      <c r="G557" s="46"/>
      <c r="H557" s="50"/>
      <c r="I557" s="51"/>
    </row>
    <row r="558" ht="22.5" customHeight="1">
      <c r="A558" s="42"/>
      <c r="B558" s="47"/>
      <c r="C558" s="46"/>
      <c r="D558" s="47"/>
      <c r="E558" s="46"/>
      <c r="F558" s="47"/>
      <c r="G558" s="46"/>
      <c r="H558" s="48"/>
      <c r="I558" s="49"/>
    </row>
    <row r="559" ht="22.5" customHeight="1">
      <c r="A559" s="42"/>
      <c r="B559" s="47"/>
      <c r="C559" s="46"/>
      <c r="D559" s="47"/>
      <c r="E559" s="46"/>
      <c r="F559" s="47"/>
      <c r="G559" s="46"/>
      <c r="H559" s="50"/>
      <c r="I559" s="51"/>
    </row>
    <row r="560" ht="22.5" customHeight="1">
      <c r="A560" s="42"/>
      <c r="B560" s="47"/>
      <c r="C560" s="46"/>
      <c r="D560" s="47"/>
      <c r="E560" s="46"/>
      <c r="F560" s="47"/>
      <c r="G560" s="46"/>
      <c r="H560" s="48"/>
      <c r="I560" s="49"/>
    </row>
    <row r="561" ht="22.5" customHeight="1">
      <c r="A561" s="42"/>
      <c r="B561" s="47"/>
      <c r="C561" s="46"/>
      <c r="D561" s="47"/>
      <c r="E561" s="46"/>
      <c r="F561" s="47"/>
      <c r="G561" s="46"/>
      <c r="H561" s="50"/>
      <c r="I561" s="51"/>
    </row>
    <row r="562" ht="22.5" customHeight="1">
      <c r="A562" s="42"/>
      <c r="B562" s="47"/>
      <c r="C562" s="46"/>
      <c r="D562" s="47"/>
      <c r="E562" s="46"/>
      <c r="F562" s="47"/>
      <c r="G562" s="46"/>
      <c r="H562" s="48"/>
      <c r="I562" s="49"/>
    </row>
    <row r="563" ht="22.5" customHeight="1">
      <c r="A563" s="42"/>
      <c r="B563" s="47"/>
      <c r="C563" s="46"/>
      <c r="D563" s="47"/>
      <c r="E563" s="46"/>
      <c r="F563" s="47"/>
      <c r="G563" s="46"/>
      <c r="H563" s="50"/>
      <c r="I563" s="51"/>
    </row>
    <row r="564" ht="22.5" customHeight="1">
      <c r="A564" s="42"/>
      <c r="B564" s="47"/>
      <c r="C564" s="46"/>
      <c r="D564" s="47"/>
      <c r="E564" s="46"/>
      <c r="F564" s="47"/>
      <c r="G564" s="46"/>
      <c r="H564" s="48"/>
      <c r="I564" s="49"/>
    </row>
    <row r="565" ht="22.5" customHeight="1">
      <c r="A565" s="42"/>
      <c r="B565" s="47"/>
      <c r="C565" s="46"/>
      <c r="D565" s="47"/>
      <c r="E565" s="46"/>
      <c r="F565" s="47"/>
      <c r="G565" s="46"/>
      <c r="H565" s="50"/>
      <c r="I565" s="51"/>
    </row>
    <row r="566" ht="22.5" customHeight="1">
      <c r="A566" s="42"/>
      <c r="B566" s="47"/>
      <c r="C566" s="46"/>
      <c r="D566" s="47"/>
      <c r="E566" s="46"/>
      <c r="F566" s="47"/>
      <c r="G566" s="46"/>
      <c r="H566" s="48"/>
      <c r="I566" s="49"/>
    </row>
    <row r="567" ht="22.5" customHeight="1">
      <c r="A567" s="42"/>
      <c r="B567" s="47"/>
      <c r="C567" s="46"/>
      <c r="D567" s="47"/>
      <c r="E567" s="46"/>
      <c r="F567" s="47"/>
      <c r="G567" s="46"/>
      <c r="H567" s="50"/>
      <c r="I567" s="51"/>
    </row>
    <row r="568" ht="22.5" customHeight="1">
      <c r="A568" s="42"/>
      <c r="B568" s="47"/>
      <c r="C568" s="46"/>
      <c r="D568" s="47"/>
      <c r="E568" s="46"/>
      <c r="F568" s="47"/>
      <c r="G568" s="46"/>
      <c r="H568" s="48"/>
      <c r="I568" s="49"/>
    </row>
    <row r="569" ht="22.5" customHeight="1">
      <c r="A569" s="42"/>
      <c r="B569" s="47"/>
      <c r="C569" s="46"/>
      <c r="D569" s="47"/>
      <c r="E569" s="46"/>
      <c r="F569" s="47"/>
      <c r="G569" s="46"/>
      <c r="H569" s="50"/>
      <c r="I569" s="51"/>
    </row>
    <row r="570" ht="22.5" customHeight="1">
      <c r="A570" s="42"/>
      <c r="B570" s="47"/>
      <c r="C570" s="46"/>
      <c r="D570" s="47"/>
      <c r="E570" s="46"/>
      <c r="F570" s="47"/>
      <c r="G570" s="46"/>
      <c r="H570" s="48"/>
      <c r="I570" s="49"/>
    </row>
    <row r="571" ht="22.5" customHeight="1">
      <c r="A571" s="42"/>
      <c r="B571" s="47"/>
      <c r="C571" s="46"/>
      <c r="D571" s="47"/>
      <c r="E571" s="46"/>
      <c r="F571" s="47"/>
      <c r="G571" s="46"/>
      <c r="H571" s="50"/>
      <c r="I571" s="51"/>
    </row>
    <row r="572" ht="22.5" customHeight="1">
      <c r="A572" s="42"/>
      <c r="B572" s="47"/>
      <c r="C572" s="46"/>
      <c r="D572" s="47"/>
      <c r="E572" s="46"/>
      <c r="F572" s="47"/>
      <c r="G572" s="46"/>
      <c r="H572" s="48"/>
      <c r="I572" s="49"/>
    </row>
    <row r="573" ht="22.5" customHeight="1">
      <c r="A573" s="42"/>
      <c r="B573" s="47"/>
      <c r="C573" s="46"/>
      <c r="D573" s="47"/>
      <c r="E573" s="46"/>
      <c r="F573" s="47"/>
      <c r="G573" s="46"/>
      <c r="H573" s="50"/>
      <c r="I573" s="51"/>
    </row>
    <row r="574" ht="22.5" customHeight="1">
      <c r="A574" s="42"/>
      <c r="B574" s="47"/>
      <c r="C574" s="46"/>
      <c r="D574" s="47"/>
      <c r="E574" s="46"/>
      <c r="F574" s="47"/>
      <c r="G574" s="46"/>
      <c r="H574" s="48"/>
      <c r="I574" s="49"/>
    </row>
    <row r="575" ht="22.5" customHeight="1">
      <c r="A575" s="42"/>
      <c r="B575" s="47"/>
      <c r="C575" s="46"/>
      <c r="D575" s="47"/>
      <c r="E575" s="46"/>
      <c r="F575" s="47"/>
      <c r="G575" s="46"/>
      <c r="H575" s="50"/>
      <c r="I575" s="51"/>
    </row>
    <row r="576" ht="22.5" customHeight="1">
      <c r="A576" s="42"/>
      <c r="B576" s="47"/>
      <c r="C576" s="46"/>
      <c r="D576" s="47"/>
      <c r="E576" s="46"/>
      <c r="F576" s="47"/>
      <c r="G576" s="46"/>
      <c r="H576" s="48"/>
      <c r="I576" s="49"/>
    </row>
    <row r="577" ht="22.5" customHeight="1">
      <c r="A577" s="42"/>
      <c r="B577" s="47"/>
      <c r="C577" s="46"/>
      <c r="D577" s="47"/>
      <c r="E577" s="46"/>
      <c r="F577" s="47"/>
      <c r="G577" s="46"/>
      <c r="H577" s="50"/>
      <c r="I577" s="51"/>
    </row>
    <row r="578" ht="22.5" customHeight="1">
      <c r="A578" s="42"/>
      <c r="B578" s="47"/>
      <c r="C578" s="46"/>
      <c r="D578" s="47"/>
      <c r="E578" s="46"/>
      <c r="F578" s="47"/>
      <c r="G578" s="46"/>
      <c r="H578" s="48"/>
      <c r="I578" s="49"/>
    </row>
    <row r="579" ht="22.5" customHeight="1">
      <c r="A579" s="42"/>
      <c r="B579" s="47"/>
      <c r="C579" s="46"/>
      <c r="D579" s="47"/>
      <c r="E579" s="46"/>
      <c r="F579" s="47"/>
      <c r="G579" s="46"/>
      <c r="H579" s="50"/>
      <c r="I579" s="51"/>
    </row>
    <row r="580" ht="22.5" customHeight="1">
      <c r="A580" s="42"/>
      <c r="B580" s="47"/>
      <c r="C580" s="46"/>
      <c r="D580" s="47"/>
      <c r="E580" s="46"/>
      <c r="F580" s="47"/>
      <c r="G580" s="46"/>
      <c r="H580" s="48"/>
      <c r="I580" s="49"/>
    </row>
    <row r="581" ht="22.5" customHeight="1">
      <c r="A581" s="42"/>
      <c r="B581" s="47"/>
      <c r="C581" s="46"/>
      <c r="D581" s="47"/>
      <c r="E581" s="46"/>
      <c r="F581" s="47"/>
      <c r="G581" s="46"/>
      <c r="H581" s="50"/>
      <c r="I581" s="51"/>
    </row>
    <row r="582" ht="22.5" customHeight="1">
      <c r="A582" s="42"/>
      <c r="B582" s="47"/>
      <c r="C582" s="46"/>
      <c r="D582" s="47"/>
      <c r="E582" s="46"/>
      <c r="F582" s="47"/>
      <c r="G582" s="46"/>
      <c r="H582" s="48"/>
      <c r="I582" s="49"/>
    </row>
    <row r="583" ht="22.5" customHeight="1">
      <c r="A583" s="42"/>
      <c r="B583" s="47"/>
      <c r="C583" s="46"/>
      <c r="D583" s="47"/>
      <c r="E583" s="46"/>
      <c r="F583" s="47"/>
      <c r="G583" s="46"/>
      <c r="H583" s="50"/>
      <c r="I583" s="51"/>
    </row>
    <row r="584" ht="22.5" customHeight="1">
      <c r="A584" s="42"/>
      <c r="B584" s="47"/>
      <c r="C584" s="46"/>
      <c r="D584" s="47"/>
      <c r="E584" s="46"/>
      <c r="F584" s="47"/>
      <c r="G584" s="46"/>
      <c r="H584" s="48"/>
      <c r="I584" s="49"/>
    </row>
    <row r="585" ht="22.5" customHeight="1">
      <c r="A585" s="42"/>
      <c r="B585" s="47"/>
      <c r="C585" s="46"/>
      <c r="D585" s="47"/>
      <c r="E585" s="46"/>
      <c r="F585" s="47"/>
      <c r="G585" s="46"/>
      <c r="H585" s="50"/>
      <c r="I585" s="51"/>
    </row>
    <row r="586" ht="22.5" customHeight="1">
      <c r="A586" s="42"/>
      <c r="B586" s="47"/>
      <c r="C586" s="46"/>
      <c r="D586" s="47"/>
      <c r="E586" s="46"/>
      <c r="F586" s="47"/>
      <c r="G586" s="46"/>
      <c r="H586" s="48"/>
      <c r="I586" s="49"/>
    </row>
    <row r="587" ht="22.5" customHeight="1">
      <c r="A587" s="42"/>
      <c r="B587" s="47"/>
      <c r="C587" s="46"/>
      <c r="D587" s="47"/>
      <c r="E587" s="46"/>
      <c r="F587" s="47"/>
      <c r="G587" s="46"/>
      <c r="H587" s="50"/>
      <c r="I587" s="51"/>
    </row>
    <row r="588" ht="22.5" customHeight="1">
      <c r="A588" s="42"/>
      <c r="B588" s="47"/>
      <c r="C588" s="46"/>
      <c r="D588" s="47"/>
      <c r="E588" s="46"/>
      <c r="F588" s="47"/>
      <c r="G588" s="46"/>
      <c r="H588" s="48"/>
      <c r="I588" s="49"/>
    </row>
    <row r="589" ht="22.5" customHeight="1">
      <c r="A589" s="42"/>
      <c r="B589" s="47"/>
      <c r="C589" s="46"/>
      <c r="D589" s="47"/>
      <c r="E589" s="46"/>
      <c r="F589" s="47"/>
      <c r="G589" s="46"/>
      <c r="H589" s="50"/>
      <c r="I589" s="51"/>
    </row>
    <row r="590" ht="22.5" customHeight="1">
      <c r="A590" s="42"/>
      <c r="B590" s="47"/>
      <c r="C590" s="46"/>
      <c r="D590" s="47"/>
      <c r="E590" s="46"/>
      <c r="F590" s="47"/>
      <c r="G590" s="46"/>
      <c r="H590" s="48"/>
      <c r="I590" s="49"/>
    </row>
    <row r="591" ht="22.5" customHeight="1">
      <c r="A591" s="42"/>
      <c r="B591" s="47"/>
      <c r="C591" s="46"/>
      <c r="D591" s="47"/>
      <c r="E591" s="46"/>
      <c r="F591" s="47"/>
      <c r="G591" s="46"/>
      <c r="H591" s="50"/>
      <c r="I591" s="51"/>
    </row>
    <row r="592" ht="22.5" customHeight="1">
      <c r="A592" s="42"/>
      <c r="B592" s="47"/>
      <c r="C592" s="46"/>
      <c r="D592" s="47"/>
      <c r="E592" s="46"/>
      <c r="F592" s="47"/>
      <c r="G592" s="46"/>
      <c r="H592" s="48"/>
      <c r="I592" s="49"/>
    </row>
    <row r="593" ht="22.5" customHeight="1">
      <c r="A593" s="42"/>
      <c r="B593" s="47"/>
      <c r="C593" s="46"/>
      <c r="D593" s="47"/>
      <c r="E593" s="46"/>
      <c r="F593" s="47"/>
      <c r="G593" s="46"/>
      <c r="H593" s="50"/>
      <c r="I593" s="51"/>
    </row>
    <row r="594" ht="22.5" customHeight="1">
      <c r="A594" s="42"/>
      <c r="B594" s="47"/>
      <c r="C594" s="46"/>
      <c r="D594" s="47"/>
      <c r="E594" s="46"/>
      <c r="F594" s="47"/>
      <c r="G594" s="46"/>
      <c r="H594" s="48"/>
      <c r="I594" s="49"/>
    </row>
    <row r="595" ht="22.5" customHeight="1">
      <c r="A595" s="42"/>
      <c r="B595" s="47"/>
      <c r="C595" s="46"/>
      <c r="D595" s="47"/>
      <c r="E595" s="46"/>
      <c r="F595" s="47"/>
      <c r="G595" s="46"/>
      <c r="H595" s="50"/>
      <c r="I595" s="51"/>
    </row>
    <row r="596" ht="22.5" customHeight="1">
      <c r="A596" s="42"/>
      <c r="B596" s="47"/>
      <c r="C596" s="46"/>
      <c r="D596" s="47"/>
      <c r="E596" s="46"/>
      <c r="F596" s="47"/>
      <c r="G596" s="46"/>
      <c r="H596" s="48"/>
      <c r="I596" s="49"/>
    </row>
    <row r="597" ht="22.5" customHeight="1">
      <c r="A597" s="42"/>
      <c r="B597" s="47"/>
      <c r="C597" s="46"/>
      <c r="D597" s="47"/>
      <c r="E597" s="46"/>
      <c r="F597" s="47"/>
      <c r="G597" s="46"/>
      <c r="H597" s="50"/>
      <c r="I597" s="51"/>
    </row>
    <row r="598" ht="22.5" customHeight="1">
      <c r="A598" s="42"/>
      <c r="B598" s="47"/>
      <c r="C598" s="46"/>
      <c r="D598" s="47"/>
      <c r="E598" s="46"/>
      <c r="F598" s="47"/>
      <c r="G598" s="46"/>
      <c r="H598" s="48"/>
      <c r="I598" s="49"/>
    </row>
    <row r="599" ht="22.5" customHeight="1">
      <c r="A599" s="42"/>
      <c r="B599" s="47"/>
      <c r="C599" s="46"/>
      <c r="D599" s="47"/>
      <c r="E599" s="46"/>
      <c r="F599" s="47"/>
      <c r="G599" s="46"/>
      <c r="H599" s="50"/>
      <c r="I599" s="51"/>
    </row>
    <row r="600" ht="22.5" customHeight="1">
      <c r="A600" s="42"/>
      <c r="B600" s="47"/>
      <c r="C600" s="46"/>
      <c r="D600" s="47"/>
      <c r="E600" s="46"/>
      <c r="F600" s="47"/>
      <c r="G600" s="46"/>
      <c r="H600" s="48"/>
      <c r="I600" s="49"/>
    </row>
    <row r="601" ht="22.5" customHeight="1">
      <c r="A601" s="42"/>
      <c r="B601" s="47"/>
      <c r="C601" s="46"/>
      <c r="D601" s="47"/>
      <c r="E601" s="46"/>
      <c r="F601" s="47"/>
      <c r="G601" s="46"/>
      <c r="H601" s="50"/>
      <c r="I601" s="51"/>
    </row>
    <row r="602" ht="22.5" customHeight="1">
      <c r="A602" s="42"/>
      <c r="B602" s="47"/>
      <c r="C602" s="46"/>
      <c r="D602" s="47"/>
      <c r="E602" s="46"/>
      <c r="F602" s="47"/>
      <c r="G602" s="46"/>
      <c r="H602" s="48"/>
      <c r="I602" s="49"/>
    </row>
    <row r="603" ht="22.5" customHeight="1">
      <c r="A603" s="42"/>
      <c r="B603" s="47"/>
      <c r="C603" s="46"/>
      <c r="D603" s="47"/>
      <c r="E603" s="46"/>
      <c r="F603" s="47"/>
      <c r="G603" s="46"/>
      <c r="H603" s="50"/>
      <c r="I603" s="51"/>
    </row>
    <row r="604" ht="22.5" customHeight="1">
      <c r="A604" s="42"/>
      <c r="B604" s="47"/>
      <c r="C604" s="46"/>
      <c r="D604" s="47"/>
      <c r="E604" s="46"/>
      <c r="F604" s="47"/>
      <c r="G604" s="46"/>
      <c r="H604" s="48"/>
      <c r="I604" s="49"/>
    </row>
    <row r="605" ht="22.5" customHeight="1">
      <c r="A605" s="42"/>
      <c r="B605" s="47"/>
      <c r="C605" s="46"/>
      <c r="D605" s="47"/>
      <c r="E605" s="46"/>
      <c r="F605" s="47"/>
      <c r="G605" s="46"/>
      <c r="H605" s="50"/>
      <c r="I605" s="51"/>
    </row>
    <row r="606" ht="22.5" customHeight="1">
      <c r="A606" s="42"/>
      <c r="B606" s="47"/>
      <c r="C606" s="46"/>
      <c r="D606" s="47"/>
      <c r="E606" s="46"/>
      <c r="F606" s="47"/>
      <c r="G606" s="46"/>
      <c r="H606" s="48"/>
      <c r="I606" s="49"/>
    </row>
    <row r="607" ht="22.5" customHeight="1">
      <c r="A607" s="42"/>
      <c r="B607" s="47"/>
      <c r="C607" s="46"/>
      <c r="D607" s="47"/>
      <c r="E607" s="46"/>
      <c r="F607" s="47"/>
      <c r="G607" s="46"/>
      <c r="H607" s="50"/>
      <c r="I607" s="51"/>
    </row>
    <row r="608" ht="22.5" customHeight="1">
      <c r="A608" s="42"/>
      <c r="B608" s="47"/>
      <c r="C608" s="46"/>
      <c r="D608" s="47"/>
      <c r="E608" s="46"/>
      <c r="F608" s="47"/>
      <c r="G608" s="46"/>
      <c r="H608" s="48"/>
      <c r="I608" s="49"/>
    </row>
    <row r="609" ht="22.5" customHeight="1">
      <c r="A609" s="42"/>
      <c r="B609" s="47"/>
      <c r="C609" s="46"/>
      <c r="D609" s="47"/>
      <c r="E609" s="46"/>
      <c r="F609" s="47"/>
      <c r="G609" s="46"/>
      <c r="H609" s="50"/>
      <c r="I609" s="51"/>
    </row>
    <row r="610" ht="22.5" customHeight="1">
      <c r="A610" s="42"/>
      <c r="B610" s="47"/>
      <c r="C610" s="46"/>
      <c r="D610" s="47"/>
      <c r="E610" s="46"/>
      <c r="F610" s="47"/>
      <c r="G610" s="46"/>
      <c r="H610" s="48"/>
      <c r="I610" s="49"/>
    </row>
    <row r="611" ht="22.5" customHeight="1">
      <c r="A611" s="42"/>
      <c r="B611" s="47"/>
      <c r="C611" s="46"/>
      <c r="D611" s="47"/>
      <c r="E611" s="46"/>
      <c r="F611" s="47"/>
      <c r="G611" s="46"/>
      <c r="H611" s="50"/>
      <c r="I611" s="51"/>
    </row>
    <row r="612" ht="22.5" customHeight="1">
      <c r="A612" s="42"/>
      <c r="B612" s="47"/>
      <c r="C612" s="46"/>
      <c r="D612" s="47"/>
      <c r="E612" s="46"/>
      <c r="F612" s="47"/>
      <c r="G612" s="46"/>
      <c r="H612" s="48"/>
      <c r="I612" s="49"/>
    </row>
    <row r="613" ht="22.5" customHeight="1">
      <c r="A613" s="42"/>
      <c r="B613" s="47"/>
      <c r="C613" s="46"/>
      <c r="D613" s="47"/>
      <c r="E613" s="46"/>
      <c r="F613" s="47"/>
      <c r="G613" s="46"/>
      <c r="H613" s="50"/>
      <c r="I613" s="51"/>
    </row>
    <row r="614" ht="22.5" customHeight="1">
      <c r="A614" s="42"/>
      <c r="B614" s="47"/>
      <c r="C614" s="46"/>
      <c r="D614" s="47"/>
      <c r="E614" s="46"/>
      <c r="F614" s="47"/>
      <c r="G614" s="46"/>
      <c r="H614" s="48"/>
      <c r="I614" s="49"/>
    </row>
    <row r="615" ht="22.5" customHeight="1">
      <c r="A615" s="42"/>
      <c r="B615" s="47"/>
      <c r="C615" s="46"/>
      <c r="D615" s="47"/>
      <c r="E615" s="46"/>
      <c r="F615" s="47"/>
      <c r="G615" s="46"/>
      <c r="H615" s="50"/>
      <c r="I615" s="51"/>
    </row>
    <row r="616" ht="22.5" customHeight="1">
      <c r="A616" s="42"/>
      <c r="B616" s="47"/>
      <c r="C616" s="46"/>
      <c r="D616" s="47"/>
      <c r="E616" s="46"/>
      <c r="F616" s="47"/>
      <c r="G616" s="46"/>
      <c r="H616" s="48"/>
      <c r="I616" s="49"/>
    </row>
    <row r="617" ht="22.5" customHeight="1">
      <c r="A617" s="42"/>
      <c r="B617" s="47"/>
      <c r="C617" s="46"/>
      <c r="D617" s="47"/>
      <c r="E617" s="46"/>
      <c r="F617" s="47"/>
      <c r="G617" s="46"/>
      <c r="H617" s="50"/>
      <c r="I617" s="51"/>
    </row>
    <row r="618" ht="22.5" customHeight="1">
      <c r="A618" s="42"/>
      <c r="B618" s="47"/>
      <c r="C618" s="46"/>
      <c r="D618" s="47"/>
      <c r="E618" s="46"/>
      <c r="F618" s="47"/>
      <c r="G618" s="46"/>
      <c r="H618" s="48"/>
      <c r="I618" s="49"/>
    </row>
    <row r="619" ht="22.5" customHeight="1">
      <c r="A619" s="42"/>
      <c r="B619" s="47"/>
      <c r="C619" s="46"/>
      <c r="D619" s="47"/>
      <c r="E619" s="46"/>
      <c r="F619" s="47"/>
      <c r="G619" s="46"/>
      <c r="H619" s="50"/>
      <c r="I619" s="51"/>
    </row>
    <row r="620" ht="22.5" customHeight="1">
      <c r="A620" s="42"/>
      <c r="B620" s="47"/>
      <c r="C620" s="46"/>
      <c r="D620" s="47"/>
      <c r="E620" s="46"/>
      <c r="F620" s="47"/>
      <c r="G620" s="46"/>
      <c r="H620" s="48"/>
      <c r="I620" s="49"/>
    </row>
    <row r="621" ht="22.5" customHeight="1">
      <c r="A621" s="42"/>
      <c r="B621" s="47"/>
      <c r="C621" s="46"/>
      <c r="D621" s="47"/>
      <c r="E621" s="46"/>
      <c r="F621" s="47"/>
      <c r="G621" s="46"/>
      <c r="H621" s="50"/>
      <c r="I621" s="51"/>
    </row>
    <row r="622" ht="22.5" customHeight="1">
      <c r="A622" s="42"/>
      <c r="B622" s="47"/>
      <c r="C622" s="46"/>
      <c r="D622" s="47"/>
      <c r="E622" s="46"/>
      <c r="F622" s="47"/>
      <c r="G622" s="46"/>
      <c r="H622" s="48"/>
      <c r="I622" s="49"/>
    </row>
    <row r="623" ht="22.5" customHeight="1">
      <c r="A623" s="42"/>
      <c r="B623" s="47"/>
      <c r="C623" s="46"/>
      <c r="D623" s="47"/>
      <c r="E623" s="46"/>
      <c r="F623" s="47"/>
      <c r="G623" s="46"/>
      <c r="H623" s="50"/>
      <c r="I623" s="51"/>
    </row>
    <row r="624" ht="22.5" customHeight="1">
      <c r="A624" s="42"/>
      <c r="B624" s="47"/>
      <c r="C624" s="46"/>
      <c r="D624" s="47"/>
      <c r="E624" s="46"/>
      <c r="F624" s="47"/>
      <c r="G624" s="46"/>
      <c r="H624" s="48"/>
      <c r="I624" s="49"/>
    </row>
    <row r="625" ht="22.5" customHeight="1">
      <c r="A625" s="42"/>
      <c r="B625" s="47"/>
      <c r="C625" s="46"/>
      <c r="D625" s="47"/>
      <c r="E625" s="46"/>
      <c r="F625" s="47"/>
      <c r="G625" s="46"/>
      <c r="H625" s="50"/>
      <c r="I625" s="51"/>
    </row>
    <row r="626" ht="22.5" customHeight="1">
      <c r="A626" s="42"/>
      <c r="B626" s="47"/>
      <c r="C626" s="46"/>
      <c r="D626" s="47"/>
      <c r="E626" s="46"/>
      <c r="F626" s="47"/>
      <c r="G626" s="46"/>
      <c r="H626" s="48"/>
      <c r="I626" s="49"/>
    </row>
    <row r="627" ht="22.5" customHeight="1">
      <c r="A627" s="42"/>
      <c r="B627" s="47"/>
      <c r="C627" s="46"/>
      <c r="D627" s="47"/>
      <c r="E627" s="46"/>
      <c r="F627" s="47"/>
      <c r="G627" s="46"/>
      <c r="H627" s="50"/>
      <c r="I627" s="51"/>
    </row>
    <row r="628" ht="22.5" customHeight="1">
      <c r="A628" s="42"/>
      <c r="B628" s="47"/>
      <c r="C628" s="46"/>
      <c r="D628" s="47"/>
      <c r="E628" s="46"/>
      <c r="F628" s="47"/>
      <c r="G628" s="46"/>
      <c r="H628" s="48"/>
      <c r="I628" s="49"/>
    </row>
    <row r="629" ht="22.5" customHeight="1">
      <c r="A629" s="42"/>
      <c r="B629" s="47"/>
      <c r="C629" s="46"/>
      <c r="D629" s="47"/>
      <c r="E629" s="46"/>
      <c r="F629" s="47"/>
      <c r="G629" s="46"/>
      <c r="H629" s="50"/>
      <c r="I629" s="51"/>
    </row>
    <row r="630" ht="22.5" customHeight="1">
      <c r="A630" s="42"/>
      <c r="B630" s="47"/>
      <c r="C630" s="46"/>
      <c r="D630" s="47"/>
      <c r="E630" s="46"/>
      <c r="F630" s="47"/>
      <c r="G630" s="46"/>
      <c r="H630" s="48"/>
      <c r="I630" s="49"/>
    </row>
    <row r="631" ht="22.5" customHeight="1">
      <c r="A631" s="42"/>
      <c r="B631" s="47"/>
      <c r="C631" s="46"/>
      <c r="D631" s="47"/>
      <c r="E631" s="46"/>
      <c r="F631" s="47"/>
      <c r="G631" s="46"/>
      <c r="H631" s="50"/>
      <c r="I631" s="51"/>
    </row>
    <row r="632" ht="22.5" customHeight="1">
      <c r="A632" s="42"/>
      <c r="B632" s="47"/>
      <c r="C632" s="46"/>
      <c r="D632" s="47"/>
      <c r="E632" s="46"/>
      <c r="F632" s="47"/>
      <c r="G632" s="46"/>
      <c r="H632" s="48"/>
      <c r="I632" s="49"/>
    </row>
    <row r="633" ht="22.5" customHeight="1">
      <c r="A633" s="42"/>
      <c r="B633" s="47"/>
      <c r="C633" s="46"/>
      <c r="D633" s="47"/>
      <c r="E633" s="46"/>
      <c r="F633" s="47"/>
      <c r="G633" s="46"/>
      <c r="H633" s="50"/>
      <c r="I633" s="51"/>
    </row>
    <row r="634" ht="22.5" customHeight="1">
      <c r="A634" s="42"/>
      <c r="B634" s="47"/>
      <c r="C634" s="46"/>
      <c r="D634" s="47"/>
      <c r="E634" s="46"/>
      <c r="F634" s="47"/>
      <c r="G634" s="46"/>
      <c r="H634" s="48"/>
      <c r="I634" s="49"/>
    </row>
    <row r="635" ht="22.5" customHeight="1">
      <c r="A635" s="42"/>
      <c r="B635" s="47"/>
      <c r="C635" s="46"/>
      <c r="D635" s="47"/>
      <c r="E635" s="46"/>
      <c r="F635" s="47"/>
      <c r="G635" s="46"/>
      <c r="H635" s="50"/>
      <c r="I635" s="51"/>
    </row>
    <row r="636" ht="22.5" customHeight="1">
      <c r="A636" s="42"/>
      <c r="B636" s="47"/>
      <c r="C636" s="46"/>
      <c r="D636" s="47"/>
      <c r="E636" s="46"/>
      <c r="F636" s="47"/>
      <c r="G636" s="46"/>
      <c r="H636" s="48"/>
      <c r="I636" s="49"/>
    </row>
    <row r="637" ht="22.5" customHeight="1">
      <c r="A637" s="42"/>
      <c r="B637" s="47"/>
      <c r="C637" s="46"/>
      <c r="D637" s="47"/>
      <c r="E637" s="46"/>
      <c r="F637" s="47"/>
      <c r="G637" s="46"/>
      <c r="H637" s="50"/>
      <c r="I637" s="51"/>
    </row>
    <row r="638" ht="22.5" customHeight="1">
      <c r="A638" s="42"/>
      <c r="B638" s="47"/>
      <c r="C638" s="46"/>
      <c r="D638" s="47"/>
      <c r="E638" s="46"/>
      <c r="F638" s="47"/>
      <c r="G638" s="46"/>
      <c r="H638" s="48"/>
      <c r="I638" s="49"/>
    </row>
    <row r="639" ht="22.5" customHeight="1">
      <c r="A639" s="42"/>
      <c r="B639" s="47"/>
      <c r="C639" s="46"/>
      <c r="D639" s="47"/>
      <c r="E639" s="46"/>
      <c r="F639" s="47"/>
      <c r="G639" s="46"/>
      <c r="H639" s="50"/>
      <c r="I639" s="51"/>
    </row>
    <row r="640" ht="22.5" customHeight="1">
      <c r="A640" s="42"/>
      <c r="B640" s="47"/>
      <c r="C640" s="46"/>
      <c r="D640" s="47"/>
      <c r="E640" s="46"/>
      <c r="F640" s="47"/>
      <c r="G640" s="46"/>
      <c r="H640" s="48"/>
      <c r="I640" s="49"/>
    </row>
    <row r="641" ht="22.5" customHeight="1">
      <c r="A641" s="42"/>
      <c r="B641" s="47"/>
      <c r="C641" s="46"/>
      <c r="D641" s="47"/>
      <c r="E641" s="46"/>
      <c r="F641" s="47"/>
      <c r="G641" s="46"/>
      <c r="H641" s="50"/>
      <c r="I641" s="51"/>
    </row>
    <row r="642" ht="22.5" customHeight="1">
      <c r="A642" s="42"/>
      <c r="B642" s="47"/>
      <c r="C642" s="46"/>
      <c r="D642" s="47"/>
      <c r="E642" s="46"/>
      <c r="F642" s="47"/>
      <c r="G642" s="46"/>
      <c r="H642" s="48"/>
      <c r="I642" s="49"/>
    </row>
    <row r="643" ht="22.5" customHeight="1">
      <c r="A643" s="42"/>
      <c r="B643" s="47"/>
      <c r="C643" s="46"/>
      <c r="D643" s="47"/>
      <c r="E643" s="46"/>
      <c r="F643" s="47"/>
      <c r="G643" s="46"/>
      <c r="H643" s="50"/>
      <c r="I643" s="51"/>
    </row>
    <row r="644" ht="22.5" customHeight="1">
      <c r="A644" s="42"/>
      <c r="B644" s="47"/>
      <c r="C644" s="46"/>
      <c r="D644" s="47"/>
      <c r="E644" s="46"/>
      <c r="F644" s="47"/>
      <c r="G644" s="46"/>
      <c r="H644" s="48"/>
      <c r="I644" s="49"/>
    </row>
    <row r="645" ht="22.5" customHeight="1">
      <c r="A645" s="42"/>
      <c r="B645" s="47"/>
      <c r="C645" s="46"/>
      <c r="D645" s="47"/>
      <c r="E645" s="46"/>
      <c r="F645" s="47"/>
      <c r="G645" s="46"/>
      <c r="H645" s="50"/>
      <c r="I645" s="51"/>
    </row>
    <row r="646" ht="22.5" customHeight="1">
      <c r="A646" s="42"/>
      <c r="B646" s="47"/>
      <c r="C646" s="46"/>
      <c r="D646" s="47"/>
      <c r="E646" s="46"/>
      <c r="F646" s="47"/>
      <c r="G646" s="46"/>
      <c r="H646" s="48"/>
      <c r="I646" s="49"/>
    </row>
    <row r="647" ht="22.5" customHeight="1">
      <c r="A647" s="42"/>
      <c r="B647" s="47"/>
      <c r="C647" s="46"/>
      <c r="D647" s="47"/>
      <c r="E647" s="46"/>
      <c r="F647" s="47"/>
      <c r="G647" s="46"/>
      <c r="H647" s="50"/>
      <c r="I647" s="51"/>
    </row>
    <row r="648" ht="22.5" customHeight="1">
      <c r="A648" s="42"/>
      <c r="B648" s="47"/>
      <c r="C648" s="46"/>
      <c r="D648" s="47"/>
      <c r="E648" s="46"/>
      <c r="F648" s="47"/>
      <c r="G648" s="46"/>
      <c r="H648" s="48"/>
      <c r="I648" s="49"/>
    </row>
    <row r="649" ht="22.5" customHeight="1">
      <c r="A649" s="42"/>
      <c r="B649" s="47"/>
      <c r="C649" s="46"/>
      <c r="D649" s="47"/>
      <c r="E649" s="46"/>
      <c r="F649" s="47"/>
      <c r="G649" s="46"/>
      <c r="H649" s="50"/>
      <c r="I649" s="51"/>
    </row>
    <row r="650" ht="22.5" customHeight="1">
      <c r="A650" s="42"/>
      <c r="B650" s="47"/>
      <c r="C650" s="46"/>
      <c r="D650" s="47"/>
      <c r="E650" s="46"/>
      <c r="F650" s="47"/>
      <c r="G650" s="46"/>
      <c r="H650" s="48"/>
      <c r="I650" s="49"/>
    </row>
    <row r="651" ht="22.5" customHeight="1">
      <c r="A651" s="42"/>
      <c r="B651" s="47"/>
      <c r="C651" s="46"/>
      <c r="D651" s="47"/>
      <c r="E651" s="46"/>
      <c r="F651" s="47"/>
      <c r="G651" s="46"/>
      <c r="H651" s="50"/>
      <c r="I651" s="51"/>
    </row>
    <row r="652" ht="22.5" customHeight="1">
      <c r="A652" s="42"/>
      <c r="B652" s="47"/>
      <c r="C652" s="46"/>
      <c r="D652" s="47"/>
      <c r="E652" s="46"/>
      <c r="F652" s="47"/>
      <c r="G652" s="46"/>
      <c r="H652" s="48"/>
      <c r="I652" s="49"/>
    </row>
    <row r="653" ht="22.5" customHeight="1">
      <c r="A653" s="42"/>
      <c r="B653" s="47"/>
      <c r="C653" s="46"/>
      <c r="D653" s="47"/>
      <c r="E653" s="46"/>
      <c r="F653" s="47"/>
      <c r="G653" s="46"/>
      <c r="H653" s="50"/>
      <c r="I653" s="51"/>
    </row>
    <row r="654" ht="22.5" customHeight="1">
      <c r="A654" s="42"/>
      <c r="B654" s="47"/>
      <c r="C654" s="46"/>
      <c r="D654" s="47"/>
      <c r="E654" s="46"/>
      <c r="F654" s="47"/>
      <c r="G654" s="46"/>
      <c r="H654" s="48"/>
      <c r="I654" s="49"/>
    </row>
    <row r="655" ht="22.5" customHeight="1">
      <c r="A655" s="42"/>
      <c r="B655" s="47"/>
      <c r="C655" s="46"/>
      <c r="D655" s="47"/>
      <c r="E655" s="46"/>
      <c r="F655" s="47"/>
      <c r="G655" s="46"/>
      <c r="H655" s="50"/>
      <c r="I655" s="51"/>
    </row>
    <row r="656" ht="22.5" customHeight="1">
      <c r="A656" s="42"/>
      <c r="B656" s="47"/>
      <c r="C656" s="46"/>
      <c r="D656" s="47"/>
      <c r="E656" s="46"/>
      <c r="F656" s="47"/>
      <c r="G656" s="46"/>
      <c r="H656" s="48"/>
      <c r="I656" s="49"/>
    </row>
    <row r="657" ht="22.5" customHeight="1">
      <c r="A657" s="42"/>
      <c r="B657" s="47"/>
      <c r="C657" s="46"/>
      <c r="D657" s="47"/>
      <c r="E657" s="46"/>
      <c r="F657" s="47"/>
      <c r="G657" s="46"/>
      <c r="H657" s="50"/>
      <c r="I657" s="51"/>
    </row>
    <row r="658" ht="22.5" customHeight="1">
      <c r="A658" s="42"/>
      <c r="B658" s="47"/>
      <c r="C658" s="46"/>
      <c r="D658" s="47"/>
      <c r="E658" s="46"/>
      <c r="F658" s="47"/>
      <c r="G658" s="46"/>
      <c r="H658" s="48"/>
      <c r="I658" s="49"/>
    </row>
    <row r="659" ht="22.5" customHeight="1">
      <c r="A659" s="42"/>
      <c r="B659" s="47"/>
      <c r="C659" s="46"/>
      <c r="D659" s="47"/>
      <c r="E659" s="46"/>
      <c r="F659" s="47"/>
      <c r="G659" s="46"/>
      <c r="H659" s="50"/>
      <c r="I659" s="51"/>
    </row>
    <row r="660" ht="22.5" customHeight="1">
      <c r="A660" s="42"/>
      <c r="B660" s="47"/>
      <c r="C660" s="46"/>
      <c r="D660" s="47"/>
      <c r="E660" s="46"/>
      <c r="F660" s="47"/>
      <c r="G660" s="46"/>
      <c r="H660" s="48"/>
      <c r="I660" s="49"/>
    </row>
    <row r="661" ht="22.5" customHeight="1">
      <c r="A661" s="42"/>
      <c r="B661" s="47"/>
      <c r="C661" s="46"/>
      <c r="D661" s="47"/>
      <c r="E661" s="46"/>
      <c r="F661" s="47"/>
      <c r="G661" s="46"/>
      <c r="H661" s="50"/>
      <c r="I661" s="51"/>
    </row>
    <row r="662" ht="22.5" customHeight="1">
      <c r="A662" s="42"/>
      <c r="B662" s="47"/>
      <c r="C662" s="46"/>
      <c r="D662" s="47"/>
      <c r="E662" s="46"/>
      <c r="F662" s="47"/>
      <c r="G662" s="46"/>
      <c r="H662" s="48"/>
      <c r="I662" s="49"/>
    </row>
    <row r="663" ht="22.5" customHeight="1">
      <c r="A663" s="42"/>
      <c r="B663" s="47"/>
      <c r="C663" s="46"/>
      <c r="D663" s="47"/>
      <c r="E663" s="46"/>
      <c r="F663" s="47"/>
      <c r="G663" s="46"/>
      <c r="H663" s="50"/>
      <c r="I663" s="51"/>
    </row>
    <row r="664" ht="22.5" customHeight="1">
      <c r="A664" s="42"/>
      <c r="B664" s="47"/>
      <c r="C664" s="46"/>
      <c r="D664" s="47"/>
      <c r="E664" s="46"/>
      <c r="F664" s="47"/>
      <c r="G664" s="46"/>
      <c r="H664" s="48"/>
      <c r="I664" s="49"/>
    </row>
    <row r="665" ht="22.5" customHeight="1">
      <c r="A665" s="42"/>
      <c r="B665" s="47"/>
      <c r="C665" s="46"/>
      <c r="D665" s="47"/>
      <c r="E665" s="46"/>
      <c r="F665" s="47"/>
      <c r="G665" s="46"/>
      <c r="H665" s="50"/>
      <c r="I665" s="51"/>
    </row>
    <row r="666" ht="22.5" customHeight="1">
      <c r="A666" s="42"/>
      <c r="B666" s="47"/>
      <c r="C666" s="46"/>
      <c r="D666" s="47"/>
      <c r="E666" s="46"/>
      <c r="F666" s="47"/>
      <c r="G666" s="46"/>
      <c r="H666" s="48"/>
      <c r="I666" s="49"/>
    </row>
    <row r="667" ht="22.5" customHeight="1">
      <c r="A667" s="42"/>
      <c r="B667" s="47"/>
      <c r="C667" s="46"/>
      <c r="D667" s="47"/>
      <c r="E667" s="46"/>
      <c r="F667" s="47"/>
      <c r="G667" s="46"/>
      <c r="H667" s="50"/>
      <c r="I667" s="51"/>
    </row>
    <row r="668" ht="22.5" customHeight="1">
      <c r="A668" s="42"/>
      <c r="B668" s="47"/>
      <c r="C668" s="46"/>
      <c r="D668" s="47"/>
      <c r="E668" s="46"/>
      <c r="F668" s="47"/>
      <c r="G668" s="46"/>
      <c r="H668" s="48"/>
      <c r="I668" s="49"/>
    </row>
    <row r="669" ht="22.5" customHeight="1">
      <c r="A669" s="42"/>
      <c r="B669" s="47"/>
      <c r="C669" s="46"/>
      <c r="D669" s="47"/>
      <c r="E669" s="46"/>
      <c r="F669" s="47"/>
      <c r="G669" s="46"/>
      <c r="H669" s="50"/>
      <c r="I669" s="51"/>
    </row>
    <row r="670" ht="22.5" customHeight="1">
      <c r="A670" s="42"/>
      <c r="B670" s="47"/>
      <c r="C670" s="46"/>
      <c r="D670" s="47"/>
      <c r="E670" s="46"/>
      <c r="F670" s="47"/>
      <c r="G670" s="46"/>
      <c r="H670" s="48"/>
      <c r="I670" s="49"/>
    </row>
    <row r="671" ht="22.5" customHeight="1">
      <c r="A671" s="42"/>
      <c r="B671" s="47"/>
      <c r="C671" s="46"/>
      <c r="D671" s="47"/>
      <c r="E671" s="46"/>
      <c r="F671" s="47"/>
      <c r="G671" s="46"/>
      <c r="H671" s="50"/>
      <c r="I671" s="51"/>
    </row>
    <row r="672" ht="22.5" customHeight="1">
      <c r="A672" s="42"/>
      <c r="B672" s="47"/>
      <c r="C672" s="46"/>
      <c r="D672" s="47"/>
      <c r="E672" s="46"/>
      <c r="F672" s="47"/>
      <c r="G672" s="46"/>
      <c r="H672" s="48"/>
      <c r="I672" s="49"/>
    </row>
    <row r="673" ht="22.5" customHeight="1">
      <c r="A673" s="42"/>
      <c r="B673" s="47"/>
      <c r="C673" s="46"/>
      <c r="D673" s="47"/>
      <c r="E673" s="46"/>
      <c r="F673" s="47"/>
      <c r="G673" s="46"/>
      <c r="H673" s="50"/>
      <c r="I673" s="51"/>
    </row>
    <row r="674" ht="22.5" customHeight="1">
      <c r="A674" s="42"/>
      <c r="B674" s="47"/>
      <c r="C674" s="46"/>
      <c r="D674" s="47"/>
      <c r="E674" s="46"/>
      <c r="F674" s="47"/>
      <c r="G674" s="46"/>
      <c r="H674" s="48"/>
      <c r="I674" s="49"/>
    </row>
    <row r="675" ht="22.5" customHeight="1">
      <c r="A675" s="42"/>
      <c r="B675" s="47"/>
      <c r="C675" s="46"/>
      <c r="D675" s="47"/>
      <c r="E675" s="46"/>
      <c r="F675" s="47"/>
      <c r="G675" s="46"/>
      <c r="H675" s="50"/>
      <c r="I675" s="51"/>
    </row>
    <row r="676" ht="22.5" customHeight="1">
      <c r="A676" s="42"/>
      <c r="B676" s="47"/>
      <c r="C676" s="46"/>
      <c r="D676" s="47"/>
      <c r="E676" s="46"/>
      <c r="F676" s="47"/>
      <c r="G676" s="46"/>
      <c r="H676" s="48"/>
      <c r="I676" s="49"/>
    </row>
    <row r="677" ht="22.5" customHeight="1">
      <c r="A677" s="42"/>
      <c r="B677" s="47"/>
      <c r="C677" s="46"/>
      <c r="D677" s="47"/>
      <c r="E677" s="46"/>
      <c r="F677" s="47"/>
      <c r="G677" s="46"/>
      <c r="H677" s="50"/>
      <c r="I677" s="51"/>
    </row>
    <row r="678" ht="22.5" customHeight="1">
      <c r="A678" s="42"/>
      <c r="B678" s="47"/>
      <c r="C678" s="46"/>
      <c r="D678" s="47"/>
      <c r="E678" s="46"/>
      <c r="F678" s="47"/>
      <c r="G678" s="46"/>
      <c r="H678" s="48"/>
      <c r="I678" s="49"/>
    </row>
    <row r="679" ht="22.5" customHeight="1">
      <c r="A679" s="42"/>
      <c r="B679" s="47"/>
      <c r="C679" s="46"/>
      <c r="D679" s="47"/>
      <c r="E679" s="46"/>
      <c r="F679" s="47"/>
      <c r="G679" s="46"/>
      <c r="H679" s="50"/>
      <c r="I679" s="51"/>
    </row>
    <row r="680" ht="22.5" customHeight="1">
      <c r="A680" s="42"/>
      <c r="B680" s="47"/>
      <c r="C680" s="46"/>
      <c r="D680" s="47"/>
      <c r="E680" s="46"/>
      <c r="F680" s="47"/>
      <c r="G680" s="46"/>
      <c r="H680" s="48"/>
      <c r="I680" s="49"/>
    </row>
    <row r="681" ht="22.5" customHeight="1">
      <c r="A681" s="42"/>
      <c r="B681" s="47"/>
      <c r="C681" s="46"/>
      <c r="D681" s="47"/>
      <c r="E681" s="46"/>
      <c r="F681" s="47"/>
      <c r="G681" s="46"/>
      <c r="H681" s="50"/>
      <c r="I681" s="51"/>
    </row>
    <row r="682" ht="22.5" customHeight="1">
      <c r="A682" s="42"/>
      <c r="B682" s="47"/>
      <c r="C682" s="46"/>
      <c r="D682" s="47"/>
      <c r="E682" s="46"/>
      <c r="F682" s="47"/>
      <c r="G682" s="46"/>
      <c r="H682" s="48"/>
      <c r="I682" s="49"/>
    </row>
    <row r="683" ht="22.5" customHeight="1">
      <c r="A683" s="42"/>
      <c r="B683" s="47"/>
      <c r="C683" s="46"/>
      <c r="D683" s="47"/>
      <c r="E683" s="46"/>
      <c r="F683" s="47"/>
      <c r="G683" s="46"/>
      <c r="H683" s="50"/>
      <c r="I683" s="51"/>
    </row>
    <row r="684" ht="22.5" customHeight="1">
      <c r="A684" s="42"/>
      <c r="B684" s="47"/>
      <c r="C684" s="46"/>
      <c r="D684" s="47"/>
      <c r="E684" s="46"/>
      <c r="F684" s="47"/>
      <c r="G684" s="46"/>
      <c r="H684" s="48"/>
      <c r="I684" s="49"/>
    </row>
    <row r="685" ht="22.5" customHeight="1">
      <c r="A685" s="42"/>
      <c r="B685" s="47"/>
      <c r="C685" s="46"/>
      <c r="D685" s="47"/>
      <c r="E685" s="46"/>
      <c r="F685" s="47"/>
      <c r="G685" s="46"/>
      <c r="H685" s="50"/>
      <c r="I685" s="51"/>
    </row>
    <row r="686" ht="22.5" customHeight="1">
      <c r="A686" s="42"/>
      <c r="B686" s="47"/>
      <c r="C686" s="46"/>
      <c r="D686" s="47"/>
      <c r="E686" s="46"/>
      <c r="F686" s="47"/>
      <c r="G686" s="46"/>
      <c r="H686" s="48"/>
      <c r="I686" s="49"/>
    </row>
    <row r="687" ht="22.5" customHeight="1">
      <c r="A687" s="42"/>
      <c r="B687" s="47"/>
      <c r="C687" s="46"/>
      <c r="D687" s="47"/>
      <c r="E687" s="46"/>
      <c r="F687" s="47"/>
      <c r="G687" s="46"/>
      <c r="H687" s="50"/>
      <c r="I687" s="51"/>
    </row>
    <row r="688" ht="22.5" customHeight="1">
      <c r="A688" s="42"/>
      <c r="B688" s="47"/>
      <c r="C688" s="46"/>
      <c r="D688" s="47"/>
      <c r="E688" s="46"/>
      <c r="F688" s="47"/>
      <c r="G688" s="46"/>
      <c r="H688" s="48"/>
      <c r="I688" s="49"/>
    </row>
    <row r="689" ht="22.5" customHeight="1">
      <c r="A689" s="42"/>
      <c r="B689" s="47"/>
      <c r="C689" s="46"/>
      <c r="D689" s="47"/>
      <c r="E689" s="46"/>
      <c r="F689" s="47"/>
      <c r="G689" s="46"/>
      <c r="H689" s="50"/>
      <c r="I689" s="51"/>
    </row>
    <row r="690" ht="22.5" customHeight="1">
      <c r="A690" s="42"/>
      <c r="B690" s="47"/>
      <c r="C690" s="46"/>
      <c r="D690" s="47"/>
      <c r="E690" s="46"/>
      <c r="F690" s="47"/>
      <c r="G690" s="46"/>
      <c r="H690" s="48"/>
      <c r="I690" s="49"/>
    </row>
    <row r="691" ht="22.5" customHeight="1">
      <c r="A691" s="42"/>
      <c r="B691" s="47"/>
      <c r="C691" s="46"/>
      <c r="D691" s="47"/>
      <c r="E691" s="46"/>
      <c r="F691" s="47"/>
      <c r="G691" s="46"/>
      <c r="H691" s="50"/>
      <c r="I691" s="51"/>
    </row>
    <row r="692" ht="22.5" customHeight="1">
      <c r="A692" s="42"/>
      <c r="B692" s="47"/>
      <c r="C692" s="46"/>
      <c r="D692" s="47"/>
      <c r="E692" s="46"/>
      <c r="F692" s="47"/>
      <c r="G692" s="46"/>
      <c r="H692" s="48"/>
      <c r="I692" s="49"/>
    </row>
    <row r="693" ht="22.5" customHeight="1">
      <c r="A693" s="42"/>
      <c r="B693" s="47"/>
      <c r="C693" s="46"/>
      <c r="D693" s="47"/>
      <c r="E693" s="46"/>
      <c r="F693" s="47"/>
      <c r="G693" s="46"/>
      <c r="H693" s="50"/>
      <c r="I693" s="51"/>
    </row>
    <row r="694" ht="22.5" customHeight="1">
      <c r="A694" s="42"/>
      <c r="B694" s="47"/>
      <c r="C694" s="46"/>
      <c r="D694" s="47"/>
      <c r="E694" s="46"/>
      <c r="F694" s="47"/>
      <c r="G694" s="46"/>
      <c r="H694" s="48"/>
      <c r="I694" s="49"/>
    </row>
    <row r="695" ht="22.5" customHeight="1">
      <c r="A695" s="42"/>
      <c r="B695" s="47"/>
      <c r="C695" s="46"/>
      <c r="D695" s="47"/>
      <c r="E695" s="46"/>
      <c r="F695" s="47"/>
      <c r="G695" s="46"/>
      <c r="H695" s="50"/>
      <c r="I695" s="51"/>
    </row>
    <row r="696" ht="22.5" customHeight="1">
      <c r="A696" s="42"/>
      <c r="B696" s="47"/>
      <c r="C696" s="46"/>
      <c r="D696" s="47"/>
      <c r="E696" s="46"/>
      <c r="F696" s="47"/>
      <c r="G696" s="46"/>
      <c r="H696" s="48"/>
      <c r="I696" s="49"/>
    </row>
    <row r="697" ht="22.5" customHeight="1">
      <c r="A697" s="42"/>
      <c r="B697" s="47"/>
      <c r="C697" s="46"/>
      <c r="D697" s="47"/>
      <c r="E697" s="46"/>
      <c r="F697" s="47"/>
      <c r="G697" s="46"/>
      <c r="H697" s="50"/>
      <c r="I697" s="51"/>
    </row>
    <row r="698" ht="22.5" customHeight="1">
      <c r="A698" s="42"/>
      <c r="B698" s="47"/>
      <c r="C698" s="46"/>
      <c r="D698" s="47"/>
      <c r="E698" s="46"/>
      <c r="F698" s="47"/>
      <c r="G698" s="46"/>
      <c r="H698" s="48"/>
      <c r="I698" s="49"/>
    </row>
    <row r="699" ht="22.5" customHeight="1">
      <c r="A699" s="42"/>
      <c r="B699" s="47"/>
      <c r="C699" s="46"/>
      <c r="D699" s="47"/>
      <c r="E699" s="46"/>
      <c r="F699" s="47"/>
      <c r="G699" s="46"/>
      <c r="H699" s="50"/>
      <c r="I699" s="51"/>
    </row>
    <row r="700" ht="22.5" customHeight="1">
      <c r="A700" s="42"/>
      <c r="B700" s="47"/>
      <c r="C700" s="46"/>
      <c r="D700" s="47"/>
      <c r="E700" s="46"/>
      <c r="F700" s="47"/>
      <c r="G700" s="46"/>
      <c r="H700" s="48"/>
      <c r="I700" s="49"/>
    </row>
    <row r="701" ht="22.5" customHeight="1">
      <c r="A701" s="42"/>
      <c r="B701" s="47"/>
      <c r="C701" s="46"/>
      <c r="D701" s="47"/>
      <c r="E701" s="46"/>
      <c r="F701" s="47"/>
      <c r="G701" s="46"/>
      <c r="H701" s="50"/>
      <c r="I701" s="51"/>
    </row>
    <row r="702" ht="22.5" customHeight="1">
      <c r="A702" s="42"/>
      <c r="B702" s="47"/>
      <c r="C702" s="46"/>
      <c r="D702" s="47"/>
      <c r="E702" s="46"/>
      <c r="F702" s="47"/>
      <c r="G702" s="46"/>
      <c r="H702" s="48"/>
      <c r="I702" s="49"/>
    </row>
    <row r="703" ht="22.5" customHeight="1">
      <c r="A703" s="42"/>
      <c r="B703" s="47"/>
      <c r="C703" s="46"/>
      <c r="D703" s="47"/>
      <c r="E703" s="46"/>
      <c r="F703" s="47"/>
      <c r="G703" s="46"/>
      <c r="H703" s="50"/>
      <c r="I703" s="51"/>
    </row>
    <row r="704" ht="22.5" customHeight="1">
      <c r="A704" s="42"/>
      <c r="B704" s="47"/>
      <c r="C704" s="46"/>
      <c r="D704" s="47"/>
      <c r="E704" s="46"/>
      <c r="F704" s="47"/>
      <c r="G704" s="46"/>
      <c r="H704" s="48"/>
      <c r="I704" s="49"/>
    </row>
    <row r="705" ht="22.5" customHeight="1">
      <c r="A705" s="42"/>
      <c r="B705" s="47"/>
      <c r="C705" s="46"/>
      <c r="D705" s="47"/>
      <c r="E705" s="46"/>
      <c r="F705" s="47"/>
      <c r="G705" s="46"/>
      <c r="H705" s="50"/>
      <c r="I705" s="51"/>
    </row>
    <row r="706" ht="22.5" customHeight="1">
      <c r="A706" s="42"/>
      <c r="B706" s="47"/>
      <c r="C706" s="46"/>
      <c r="D706" s="47"/>
      <c r="E706" s="46"/>
      <c r="F706" s="47"/>
      <c r="G706" s="46"/>
      <c r="H706" s="48"/>
      <c r="I706" s="49"/>
    </row>
    <row r="707" ht="22.5" customHeight="1">
      <c r="A707" s="42"/>
      <c r="B707" s="47"/>
      <c r="C707" s="46"/>
      <c r="D707" s="47"/>
      <c r="E707" s="46"/>
      <c r="F707" s="47"/>
      <c r="G707" s="46"/>
      <c r="H707" s="50"/>
      <c r="I707" s="51"/>
    </row>
    <row r="708" ht="22.5" customHeight="1">
      <c r="A708" s="42"/>
      <c r="B708" s="47"/>
      <c r="C708" s="46"/>
      <c r="D708" s="47"/>
      <c r="E708" s="46"/>
      <c r="F708" s="47"/>
      <c r="G708" s="46"/>
      <c r="H708" s="48"/>
      <c r="I708" s="49"/>
    </row>
    <row r="709" ht="22.5" customHeight="1">
      <c r="A709" s="42"/>
      <c r="B709" s="47"/>
      <c r="C709" s="46"/>
      <c r="D709" s="47"/>
      <c r="E709" s="46"/>
      <c r="F709" s="47"/>
      <c r="G709" s="46"/>
      <c r="H709" s="50"/>
      <c r="I709" s="51"/>
    </row>
    <row r="710" ht="22.5" customHeight="1">
      <c r="A710" s="42"/>
      <c r="B710" s="47"/>
      <c r="C710" s="46"/>
      <c r="D710" s="47"/>
      <c r="E710" s="46"/>
      <c r="F710" s="47"/>
      <c r="G710" s="46"/>
      <c r="H710" s="48"/>
      <c r="I710" s="49"/>
    </row>
    <row r="711" ht="22.5" customHeight="1">
      <c r="A711" s="42"/>
      <c r="B711" s="47"/>
      <c r="C711" s="46"/>
      <c r="D711" s="47"/>
      <c r="E711" s="46"/>
      <c r="F711" s="47"/>
      <c r="G711" s="46"/>
      <c r="H711" s="50"/>
      <c r="I711" s="51"/>
    </row>
    <row r="712" ht="22.5" customHeight="1">
      <c r="A712" s="42"/>
      <c r="B712" s="47"/>
      <c r="C712" s="46"/>
      <c r="D712" s="47"/>
      <c r="E712" s="46"/>
      <c r="F712" s="47"/>
      <c r="G712" s="46"/>
      <c r="H712" s="48"/>
      <c r="I712" s="49"/>
    </row>
    <row r="713" ht="22.5" customHeight="1">
      <c r="A713" s="42"/>
      <c r="B713" s="47"/>
      <c r="C713" s="46"/>
      <c r="D713" s="47"/>
      <c r="E713" s="46"/>
      <c r="F713" s="47"/>
      <c r="G713" s="46"/>
      <c r="H713" s="50"/>
      <c r="I713" s="51"/>
    </row>
    <row r="714" ht="22.5" customHeight="1">
      <c r="A714" s="42"/>
      <c r="B714" s="47"/>
      <c r="C714" s="46"/>
      <c r="D714" s="47"/>
      <c r="E714" s="46"/>
      <c r="F714" s="47"/>
      <c r="G714" s="46"/>
      <c r="H714" s="48"/>
      <c r="I714" s="49"/>
    </row>
    <row r="715" ht="22.5" customHeight="1">
      <c r="A715" s="42"/>
      <c r="B715" s="47"/>
      <c r="C715" s="46"/>
      <c r="D715" s="47"/>
      <c r="E715" s="46"/>
      <c r="F715" s="47"/>
      <c r="G715" s="46"/>
      <c r="H715" s="50"/>
      <c r="I715" s="51"/>
    </row>
    <row r="716" ht="22.5" customHeight="1">
      <c r="A716" s="42"/>
      <c r="B716" s="47"/>
      <c r="C716" s="46"/>
      <c r="D716" s="47"/>
      <c r="E716" s="46"/>
      <c r="F716" s="47"/>
      <c r="G716" s="46"/>
      <c r="H716" s="48"/>
      <c r="I716" s="49"/>
    </row>
    <row r="717" ht="22.5" customHeight="1">
      <c r="A717" s="42"/>
      <c r="B717" s="47"/>
      <c r="C717" s="46"/>
      <c r="D717" s="47"/>
      <c r="E717" s="46"/>
      <c r="F717" s="47"/>
      <c r="G717" s="46"/>
      <c r="H717" s="50"/>
      <c r="I717" s="51"/>
    </row>
    <row r="718" ht="22.5" customHeight="1">
      <c r="A718" s="42"/>
      <c r="B718" s="47"/>
      <c r="C718" s="46"/>
      <c r="D718" s="47"/>
      <c r="E718" s="46"/>
      <c r="F718" s="47"/>
      <c r="G718" s="46"/>
      <c r="H718" s="48"/>
      <c r="I718" s="49"/>
    </row>
    <row r="719" ht="22.5" customHeight="1">
      <c r="A719" s="42"/>
      <c r="B719" s="47"/>
      <c r="C719" s="46"/>
      <c r="D719" s="47"/>
      <c r="E719" s="46"/>
      <c r="F719" s="47"/>
      <c r="G719" s="46"/>
      <c r="H719" s="50"/>
      <c r="I719" s="51"/>
    </row>
    <row r="720" ht="22.5" customHeight="1">
      <c r="A720" s="42"/>
      <c r="B720" s="47"/>
      <c r="C720" s="46"/>
      <c r="D720" s="47"/>
      <c r="E720" s="46"/>
      <c r="F720" s="47"/>
      <c r="G720" s="46"/>
      <c r="H720" s="48"/>
      <c r="I720" s="49"/>
    </row>
    <row r="721" ht="22.5" customHeight="1">
      <c r="A721" s="42"/>
      <c r="B721" s="47"/>
      <c r="C721" s="46"/>
      <c r="D721" s="47"/>
      <c r="E721" s="46"/>
      <c r="F721" s="47"/>
      <c r="G721" s="46"/>
      <c r="H721" s="50"/>
      <c r="I721" s="51"/>
    </row>
    <row r="722" ht="22.5" customHeight="1">
      <c r="A722" s="42"/>
      <c r="B722" s="47"/>
      <c r="C722" s="46"/>
      <c r="D722" s="47"/>
      <c r="E722" s="46"/>
      <c r="F722" s="47"/>
      <c r="G722" s="46"/>
      <c r="H722" s="48"/>
      <c r="I722" s="49"/>
    </row>
    <row r="723" ht="22.5" customHeight="1">
      <c r="A723" s="42"/>
      <c r="B723" s="47"/>
      <c r="C723" s="46"/>
      <c r="D723" s="47"/>
      <c r="E723" s="46"/>
      <c r="F723" s="47"/>
      <c r="G723" s="46"/>
      <c r="H723" s="50"/>
      <c r="I723" s="51"/>
    </row>
    <row r="724" ht="22.5" customHeight="1">
      <c r="A724" s="42"/>
      <c r="B724" s="47"/>
      <c r="C724" s="46"/>
      <c r="D724" s="47"/>
      <c r="E724" s="46"/>
      <c r="F724" s="47"/>
      <c r="G724" s="46"/>
      <c r="H724" s="48"/>
      <c r="I724" s="49"/>
    </row>
    <row r="725" ht="22.5" customHeight="1">
      <c r="A725" s="42"/>
      <c r="B725" s="47"/>
      <c r="C725" s="46"/>
      <c r="D725" s="47"/>
      <c r="E725" s="46"/>
      <c r="F725" s="47"/>
      <c r="G725" s="46"/>
      <c r="H725" s="50"/>
      <c r="I725" s="51"/>
    </row>
    <row r="726" ht="22.5" customHeight="1">
      <c r="A726" s="42"/>
      <c r="B726" s="47"/>
      <c r="C726" s="46"/>
      <c r="D726" s="47"/>
      <c r="E726" s="46"/>
      <c r="F726" s="47"/>
      <c r="G726" s="46"/>
      <c r="H726" s="48"/>
      <c r="I726" s="49"/>
    </row>
    <row r="727" ht="22.5" customHeight="1">
      <c r="A727" s="42"/>
      <c r="B727" s="47"/>
      <c r="C727" s="46"/>
      <c r="D727" s="47"/>
      <c r="E727" s="46"/>
      <c r="F727" s="47"/>
      <c r="G727" s="46"/>
      <c r="H727" s="50"/>
      <c r="I727" s="51"/>
    </row>
    <row r="728" ht="22.5" customHeight="1">
      <c r="A728" s="42"/>
      <c r="B728" s="47"/>
      <c r="C728" s="46"/>
      <c r="D728" s="47"/>
      <c r="E728" s="46"/>
      <c r="F728" s="47"/>
      <c r="G728" s="46"/>
      <c r="H728" s="48"/>
      <c r="I728" s="49"/>
    </row>
    <row r="729" ht="22.5" customHeight="1">
      <c r="A729" s="42"/>
      <c r="B729" s="47"/>
      <c r="C729" s="46"/>
      <c r="D729" s="47"/>
      <c r="E729" s="46"/>
      <c r="F729" s="47"/>
      <c r="G729" s="46"/>
      <c r="H729" s="50"/>
      <c r="I729" s="51"/>
    </row>
    <row r="730" ht="22.5" customHeight="1">
      <c r="A730" s="42"/>
      <c r="B730" s="47"/>
      <c r="C730" s="46"/>
      <c r="D730" s="47"/>
      <c r="E730" s="46"/>
      <c r="F730" s="47"/>
      <c r="G730" s="46"/>
      <c r="H730" s="48"/>
      <c r="I730" s="49"/>
    </row>
    <row r="731" ht="22.5" customHeight="1">
      <c r="A731" s="42"/>
      <c r="B731" s="47"/>
      <c r="C731" s="46"/>
      <c r="D731" s="47"/>
      <c r="E731" s="46"/>
      <c r="F731" s="47"/>
      <c r="G731" s="46"/>
      <c r="H731" s="50"/>
      <c r="I731" s="51"/>
    </row>
    <row r="732" ht="22.5" customHeight="1">
      <c r="A732" s="42"/>
      <c r="B732" s="47"/>
      <c r="C732" s="46"/>
      <c r="D732" s="47"/>
      <c r="E732" s="46"/>
      <c r="F732" s="47"/>
      <c r="G732" s="46"/>
      <c r="H732" s="48"/>
      <c r="I732" s="49"/>
    </row>
    <row r="733" ht="22.5" customHeight="1">
      <c r="A733" s="42"/>
      <c r="B733" s="47"/>
      <c r="C733" s="46"/>
      <c r="D733" s="47"/>
      <c r="E733" s="46"/>
      <c r="F733" s="47"/>
      <c r="G733" s="46"/>
      <c r="H733" s="50"/>
      <c r="I733" s="51"/>
    </row>
    <row r="734" ht="22.5" customHeight="1">
      <c r="A734" s="42"/>
      <c r="B734" s="47"/>
      <c r="C734" s="46"/>
      <c r="D734" s="47"/>
      <c r="E734" s="46"/>
      <c r="F734" s="47"/>
      <c r="G734" s="46"/>
      <c r="H734" s="48"/>
      <c r="I734" s="49"/>
    </row>
    <row r="735" ht="22.5" customHeight="1">
      <c r="A735" s="42"/>
      <c r="B735" s="47"/>
      <c r="C735" s="46"/>
      <c r="D735" s="47"/>
      <c r="E735" s="46"/>
      <c r="F735" s="47"/>
      <c r="G735" s="46"/>
      <c r="H735" s="50"/>
      <c r="I735" s="51"/>
    </row>
    <row r="736" ht="22.5" customHeight="1">
      <c r="A736" s="42"/>
      <c r="B736" s="47"/>
      <c r="C736" s="46"/>
      <c r="D736" s="47"/>
      <c r="E736" s="46"/>
      <c r="F736" s="47"/>
      <c r="G736" s="46"/>
      <c r="H736" s="48"/>
      <c r="I736" s="49"/>
    </row>
    <row r="737" ht="22.5" customHeight="1">
      <c r="A737" s="42"/>
      <c r="B737" s="47"/>
      <c r="C737" s="46"/>
      <c r="D737" s="47"/>
      <c r="E737" s="46"/>
      <c r="F737" s="47"/>
      <c r="G737" s="46"/>
      <c r="H737" s="50"/>
      <c r="I737" s="51"/>
    </row>
    <row r="738" ht="22.5" customHeight="1">
      <c r="A738" s="42"/>
      <c r="B738" s="47"/>
      <c r="C738" s="46"/>
      <c r="D738" s="47"/>
      <c r="E738" s="46"/>
      <c r="F738" s="47"/>
      <c r="G738" s="46"/>
      <c r="H738" s="48"/>
      <c r="I738" s="49"/>
    </row>
    <row r="739" ht="22.5" customHeight="1">
      <c r="A739" s="42"/>
      <c r="B739" s="47"/>
      <c r="C739" s="46"/>
      <c r="D739" s="47"/>
      <c r="E739" s="46"/>
      <c r="F739" s="47"/>
      <c r="G739" s="46"/>
      <c r="H739" s="50"/>
      <c r="I739" s="51"/>
    </row>
    <row r="740" ht="22.5" customHeight="1">
      <c r="A740" s="42"/>
      <c r="B740" s="47"/>
      <c r="C740" s="46"/>
      <c r="D740" s="47"/>
      <c r="E740" s="46"/>
      <c r="F740" s="47"/>
      <c r="G740" s="46"/>
      <c r="H740" s="48"/>
      <c r="I740" s="49"/>
    </row>
    <row r="741" ht="22.5" customHeight="1">
      <c r="A741" s="42"/>
      <c r="B741" s="47"/>
      <c r="C741" s="46"/>
      <c r="D741" s="47"/>
      <c r="E741" s="46"/>
      <c r="F741" s="47"/>
      <c r="G741" s="46"/>
      <c r="H741" s="50"/>
      <c r="I741" s="51"/>
    </row>
    <row r="742" ht="22.5" customHeight="1">
      <c r="A742" s="42"/>
      <c r="B742" s="47"/>
      <c r="C742" s="46"/>
      <c r="D742" s="47"/>
      <c r="E742" s="46"/>
      <c r="F742" s="47"/>
      <c r="G742" s="46"/>
      <c r="H742" s="48"/>
      <c r="I742" s="49"/>
    </row>
    <row r="743" ht="22.5" customHeight="1">
      <c r="A743" s="42"/>
      <c r="B743" s="47"/>
      <c r="C743" s="46"/>
      <c r="D743" s="47"/>
      <c r="E743" s="46"/>
      <c r="F743" s="47"/>
      <c r="G743" s="46"/>
      <c r="H743" s="50"/>
      <c r="I743" s="51"/>
    </row>
    <row r="744" ht="22.5" customHeight="1">
      <c r="A744" s="42"/>
      <c r="B744" s="47"/>
      <c r="C744" s="46"/>
      <c r="D744" s="47"/>
      <c r="E744" s="46"/>
      <c r="F744" s="47"/>
      <c r="G744" s="46"/>
      <c r="H744" s="48"/>
      <c r="I744" s="49"/>
    </row>
    <row r="745" ht="22.5" customHeight="1">
      <c r="A745" s="42"/>
      <c r="B745" s="47"/>
      <c r="C745" s="46"/>
      <c r="D745" s="47"/>
      <c r="E745" s="46"/>
      <c r="F745" s="47"/>
      <c r="G745" s="46"/>
      <c r="H745" s="50"/>
      <c r="I745" s="51"/>
    </row>
    <row r="746" ht="22.5" customHeight="1">
      <c r="A746" s="42"/>
      <c r="B746" s="47"/>
      <c r="C746" s="46"/>
      <c r="D746" s="47"/>
      <c r="E746" s="46"/>
      <c r="F746" s="47"/>
      <c r="G746" s="46"/>
      <c r="H746" s="48"/>
      <c r="I746" s="49"/>
    </row>
    <row r="747" ht="22.5" customHeight="1">
      <c r="A747" s="42"/>
      <c r="B747" s="47"/>
      <c r="C747" s="46"/>
      <c r="D747" s="47"/>
      <c r="E747" s="46"/>
      <c r="F747" s="47"/>
      <c r="G747" s="46"/>
      <c r="H747" s="50"/>
      <c r="I747" s="51"/>
    </row>
    <row r="748" ht="22.5" customHeight="1">
      <c r="A748" s="42"/>
      <c r="B748" s="47"/>
      <c r="C748" s="46"/>
      <c r="D748" s="47"/>
      <c r="E748" s="46"/>
      <c r="F748" s="47"/>
      <c r="G748" s="46"/>
      <c r="H748" s="48"/>
      <c r="I748" s="49"/>
    </row>
    <row r="749" ht="22.5" customHeight="1">
      <c r="A749" s="42"/>
      <c r="B749" s="47"/>
      <c r="C749" s="46"/>
      <c r="D749" s="47"/>
      <c r="E749" s="46"/>
      <c r="F749" s="47"/>
      <c r="G749" s="46"/>
      <c r="H749" s="50"/>
      <c r="I749" s="51"/>
    </row>
    <row r="750" ht="22.5" customHeight="1">
      <c r="A750" s="42"/>
      <c r="B750" s="47"/>
      <c r="C750" s="46"/>
      <c r="D750" s="47"/>
      <c r="E750" s="46"/>
      <c r="F750" s="47"/>
      <c r="G750" s="46"/>
      <c r="H750" s="48"/>
      <c r="I750" s="49"/>
    </row>
    <row r="751" ht="22.5" customHeight="1">
      <c r="A751" s="42"/>
      <c r="B751" s="47"/>
      <c r="C751" s="46"/>
      <c r="D751" s="47"/>
      <c r="E751" s="46"/>
      <c r="F751" s="47"/>
      <c r="G751" s="46"/>
      <c r="H751" s="50"/>
      <c r="I751" s="51"/>
    </row>
    <row r="752" ht="22.5" customHeight="1">
      <c r="A752" s="42"/>
      <c r="B752" s="47"/>
      <c r="C752" s="46"/>
      <c r="D752" s="47"/>
      <c r="E752" s="46"/>
      <c r="F752" s="47"/>
      <c r="G752" s="46"/>
      <c r="H752" s="48"/>
      <c r="I752" s="49"/>
    </row>
    <row r="753" ht="22.5" customHeight="1">
      <c r="A753" s="42"/>
      <c r="B753" s="47"/>
      <c r="C753" s="46"/>
      <c r="D753" s="47"/>
      <c r="E753" s="46"/>
      <c r="F753" s="47"/>
      <c r="G753" s="46"/>
      <c r="H753" s="50"/>
      <c r="I753" s="51"/>
    </row>
    <row r="754" ht="22.5" customHeight="1">
      <c r="A754" s="42"/>
      <c r="B754" s="47"/>
      <c r="C754" s="46"/>
      <c r="D754" s="47"/>
      <c r="E754" s="46"/>
      <c r="F754" s="47"/>
      <c r="G754" s="46"/>
      <c r="H754" s="48"/>
      <c r="I754" s="49"/>
    </row>
    <row r="755" ht="22.5" customHeight="1">
      <c r="A755" s="42"/>
      <c r="B755" s="47"/>
      <c r="C755" s="46"/>
      <c r="D755" s="47"/>
      <c r="E755" s="46"/>
      <c r="F755" s="47"/>
      <c r="G755" s="46"/>
      <c r="H755" s="50"/>
      <c r="I755" s="51"/>
    </row>
    <row r="756" ht="22.5" customHeight="1">
      <c r="A756" s="42"/>
      <c r="B756" s="47"/>
      <c r="C756" s="46"/>
      <c r="D756" s="47"/>
      <c r="E756" s="46"/>
      <c r="F756" s="47"/>
      <c r="G756" s="46"/>
      <c r="H756" s="48"/>
      <c r="I756" s="49"/>
    </row>
    <row r="757" ht="22.5" customHeight="1">
      <c r="A757" s="42"/>
      <c r="B757" s="47"/>
      <c r="C757" s="46"/>
      <c r="D757" s="47"/>
      <c r="E757" s="46"/>
      <c r="F757" s="47"/>
      <c r="G757" s="46"/>
      <c r="H757" s="50"/>
      <c r="I757" s="51"/>
    </row>
    <row r="758" ht="22.5" customHeight="1">
      <c r="A758" s="42"/>
      <c r="B758" s="47"/>
      <c r="C758" s="46"/>
      <c r="D758" s="47"/>
      <c r="E758" s="46"/>
      <c r="F758" s="47"/>
      <c r="G758" s="46"/>
      <c r="H758" s="48"/>
      <c r="I758" s="49"/>
    </row>
    <row r="759" ht="22.5" customHeight="1">
      <c r="A759" s="42"/>
      <c r="B759" s="47"/>
      <c r="C759" s="46"/>
      <c r="D759" s="47"/>
      <c r="E759" s="46"/>
      <c r="F759" s="47"/>
      <c r="G759" s="46"/>
      <c r="H759" s="50"/>
      <c r="I759" s="51"/>
    </row>
    <row r="760" ht="22.5" customHeight="1">
      <c r="A760" s="42"/>
      <c r="B760" s="47"/>
      <c r="C760" s="46"/>
      <c r="D760" s="47"/>
      <c r="E760" s="46"/>
      <c r="F760" s="47"/>
      <c r="G760" s="46"/>
      <c r="H760" s="48"/>
      <c r="I760" s="49"/>
    </row>
    <row r="761" ht="22.5" customHeight="1">
      <c r="A761" s="42"/>
      <c r="B761" s="47"/>
      <c r="C761" s="46"/>
      <c r="D761" s="47"/>
      <c r="E761" s="46"/>
      <c r="F761" s="47"/>
      <c r="G761" s="46"/>
      <c r="H761" s="50"/>
      <c r="I761" s="51"/>
    </row>
    <row r="762" ht="22.5" customHeight="1">
      <c r="A762" s="42"/>
      <c r="B762" s="47"/>
      <c r="C762" s="46"/>
      <c r="D762" s="47"/>
      <c r="E762" s="46"/>
      <c r="F762" s="47"/>
      <c r="G762" s="46"/>
      <c r="H762" s="48"/>
      <c r="I762" s="49"/>
    </row>
    <row r="763" ht="22.5" customHeight="1">
      <c r="A763" s="42"/>
      <c r="B763" s="47"/>
      <c r="C763" s="46"/>
      <c r="D763" s="47"/>
      <c r="E763" s="46"/>
      <c r="F763" s="47"/>
      <c r="G763" s="46"/>
      <c r="H763" s="50"/>
      <c r="I763" s="51"/>
    </row>
    <row r="764" ht="22.5" customHeight="1">
      <c r="A764" s="42"/>
      <c r="B764" s="47"/>
      <c r="C764" s="46"/>
      <c r="D764" s="47"/>
      <c r="E764" s="46"/>
      <c r="F764" s="47"/>
      <c r="G764" s="46"/>
      <c r="H764" s="48"/>
      <c r="I764" s="49"/>
    </row>
    <row r="765" ht="22.5" customHeight="1">
      <c r="A765" s="42"/>
      <c r="B765" s="47"/>
      <c r="C765" s="46"/>
      <c r="D765" s="47"/>
      <c r="E765" s="46"/>
      <c r="F765" s="47"/>
      <c r="G765" s="46"/>
      <c r="H765" s="50"/>
      <c r="I765" s="51"/>
    </row>
    <row r="766" ht="22.5" customHeight="1">
      <c r="A766" s="42"/>
      <c r="B766" s="47"/>
      <c r="C766" s="46"/>
      <c r="D766" s="47"/>
      <c r="E766" s="46"/>
      <c r="F766" s="47"/>
      <c r="G766" s="46"/>
      <c r="H766" s="48"/>
      <c r="I766" s="49"/>
    </row>
    <row r="767" ht="22.5" customHeight="1">
      <c r="A767" s="42"/>
      <c r="B767" s="47"/>
      <c r="C767" s="46"/>
      <c r="D767" s="47"/>
      <c r="E767" s="46"/>
      <c r="F767" s="47"/>
      <c r="G767" s="46"/>
      <c r="H767" s="50"/>
      <c r="I767" s="51"/>
    </row>
    <row r="768" ht="22.5" customHeight="1">
      <c r="A768" s="42"/>
      <c r="B768" s="47"/>
      <c r="C768" s="46"/>
      <c r="D768" s="47"/>
      <c r="E768" s="46"/>
      <c r="F768" s="47"/>
      <c r="G768" s="46"/>
      <c r="H768" s="48"/>
      <c r="I768" s="49"/>
    </row>
    <row r="769" ht="22.5" customHeight="1">
      <c r="A769" s="42"/>
      <c r="B769" s="47"/>
      <c r="C769" s="46"/>
      <c r="D769" s="47"/>
      <c r="E769" s="46"/>
      <c r="F769" s="47"/>
      <c r="G769" s="46"/>
      <c r="H769" s="50"/>
      <c r="I769" s="51"/>
    </row>
    <row r="770" ht="22.5" customHeight="1">
      <c r="A770" s="42"/>
      <c r="B770" s="47"/>
      <c r="C770" s="46"/>
      <c r="D770" s="47"/>
      <c r="E770" s="46"/>
      <c r="F770" s="47"/>
      <c r="G770" s="46"/>
      <c r="H770" s="48"/>
      <c r="I770" s="49"/>
    </row>
    <row r="771" ht="22.5" customHeight="1">
      <c r="A771" s="42"/>
      <c r="B771" s="47"/>
      <c r="C771" s="46"/>
      <c r="D771" s="47"/>
      <c r="E771" s="46"/>
      <c r="F771" s="47"/>
      <c r="G771" s="46"/>
      <c r="H771" s="50"/>
      <c r="I771" s="51"/>
    </row>
    <row r="772" ht="22.5" customHeight="1">
      <c r="A772" s="42"/>
      <c r="B772" s="47"/>
      <c r="C772" s="46"/>
      <c r="D772" s="47"/>
      <c r="E772" s="46"/>
      <c r="F772" s="47"/>
      <c r="G772" s="46"/>
      <c r="H772" s="48"/>
      <c r="I772" s="49"/>
    </row>
    <row r="773" ht="22.5" customHeight="1">
      <c r="A773" s="42"/>
      <c r="B773" s="47"/>
      <c r="C773" s="46"/>
      <c r="D773" s="47"/>
      <c r="E773" s="46"/>
      <c r="F773" s="47"/>
      <c r="G773" s="46"/>
      <c r="H773" s="50"/>
      <c r="I773" s="51"/>
    </row>
    <row r="774" ht="22.5" customHeight="1">
      <c r="A774" s="42"/>
      <c r="B774" s="47"/>
      <c r="C774" s="46"/>
      <c r="D774" s="47"/>
      <c r="E774" s="46"/>
      <c r="F774" s="47"/>
      <c r="G774" s="46"/>
      <c r="H774" s="48"/>
      <c r="I774" s="49"/>
    </row>
    <row r="775" ht="22.5" customHeight="1">
      <c r="A775" s="42"/>
      <c r="B775" s="47"/>
      <c r="C775" s="46"/>
      <c r="D775" s="47"/>
      <c r="E775" s="46"/>
      <c r="F775" s="47"/>
      <c r="G775" s="46"/>
      <c r="H775" s="50"/>
      <c r="I775" s="51"/>
    </row>
    <row r="776" ht="22.5" customHeight="1">
      <c r="A776" s="42"/>
      <c r="B776" s="47"/>
      <c r="C776" s="46"/>
      <c r="D776" s="47"/>
      <c r="E776" s="46"/>
      <c r="F776" s="47"/>
      <c r="G776" s="46"/>
      <c r="H776" s="48"/>
      <c r="I776" s="49"/>
    </row>
    <row r="777" ht="22.5" customHeight="1">
      <c r="A777" s="42"/>
      <c r="B777" s="47"/>
      <c r="C777" s="46"/>
      <c r="D777" s="47"/>
      <c r="E777" s="46"/>
      <c r="F777" s="47"/>
      <c r="G777" s="46"/>
      <c r="H777" s="50"/>
      <c r="I777" s="51"/>
    </row>
    <row r="778" ht="22.5" customHeight="1">
      <c r="A778" s="42"/>
      <c r="B778" s="47"/>
      <c r="C778" s="46"/>
      <c r="D778" s="47"/>
      <c r="E778" s="46"/>
      <c r="F778" s="47"/>
      <c r="G778" s="46"/>
      <c r="H778" s="48"/>
      <c r="I778" s="49"/>
    </row>
    <row r="779" ht="22.5" customHeight="1">
      <c r="A779" s="42"/>
      <c r="B779" s="47"/>
      <c r="C779" s="46"/>
      <c r="D779" s="47"/>
      <c r="E779" s="46"/>
      <c r="F779" s="47"/>
      <c r="G779" s="46"/>
      <c r="H779" s="50"/>
      <c r="I779" s="51"/>
    </row>
    <row r="780" ht="22.5" customHeight="1">
      <c r="A780" s="42"/>
      <c r="B780" s="47"/>
      <c r="C780" s="46"/>
      <c r="D780" s="47"/>
      <c r="E780" s="46"/>
      <c r="F780" s="47"/>
      <c r="G780" s="46"/>
      <c r="H780" s="48"/>
      <c r="I780" s="49"/>
    </row>
    <row r="781" ht="22.5" customHeight="1">
      <c r="A781" s="42"/>
      <c r="B781" s="47"/>
      <c r="C781" s="46"/>
      <c r="D781" s="47"/>
      <c r="E781" s="46"/>
      <c r="F781" s="47"/>
      <c r="G781" s="46"/>
      <c r="H781" s="50"/>
      <c r="I781" s="51"/>
    </row>
    <row r="782" ht="22.5" customHeight="1">
      <c r="A782" s="42"/>
      <c r="B782" s="47"/>
      <c r="C782" s="46"/>
      <c r="D782" s="47"/>
      <c r="E782" s="46"/>
      <c r="F782" s="47"/>
      <c r="G782" s="46"/>
      <c r="H782" s="48"/>
      <c r="I782" s="49"/>
    </row>
    <row r="783" ht="22.5" customHeight="1">
      <c r="A783" s="42"/>
      <c r="B783" s="47"/>
      <c r="C783" s="46"/>
      <c r="D783" s="47"/>
      <c r="E783" s="46"/>
      <c r="F783" s="47"/>
      <c r="G783" s="46"/>
      <c r="H783" s="50"/>
      <c r="I783" s="51"/>
    </row>
    <row r="784" ht="22.5" customHeight="1">
      <c r="A784" s="42"/>
      <c r="B784" s="47"/>
      <c r="C784" s="46"/>
      <c r="D784" s="47"/>
      <c r="E784" s="46"/>
      <c r="F784" s="47"/>
      <c r="G784" s="46"/>
      <c r="H784" s="48"/>
      <c r="I784" s="49"/>
    </row>
    <row r="785" ht="22.5" customHeight="1">
      <c r="A785" s="42"/>
      <c r="B785" s="47"/>
      <c r="C785" s="46"/>
      <c r="D785" s="47"/>
      <c r="E785" s="46"/>
      <c r="F785" s="47"/>
      <c r="G785" s="46"/>
      <c r="H785" s="50"/>
      <c r="I785" s="51"/>
    </row>
    <row r="786" ht="22.5" customHeight="1">
      <c r="A786" s="42"/>
      <c r="B786" s="47"/>
      <c r="C786" s="46"/>
      <c r="D786" s="47"/>
      <c r="E786" s="46"/>
      <c r="F786" s="47"/>
      <c r="G786" s="46"/>
      <c r="H786" s="48"/>
      <c r="I786" s="49"/>
    </row>
    <row r="787" ht="22.5" customHeight="1">
      <c r="A787" s="42"/>
      <c r="B787" s="47"/>
      <c r="C787" s="46"/>
      <c r="D787" s="47"/>
      <c r="E787" s="46"/>
      <c r="F787" s="47"/>
      <c r="G787" s="46"/>
      <c r="H787" s="50"/>
      <c r="I787" s="51"/>
    </row>
    <row r="788" ht="22.5" customHeight="1">
      <c r="A788" s="42"/>
      <c r="B788" s="47"/>
      <c r="C788" s="46"/>
      <c r="D788" s="47"/>
      <c r="E788" s="46"/>
      <c r="F788" s="47"/>
      <c r="G788" s="46"/>
      <c r="H788" s="48"/>
      <c r="I788" s="49"/>
    </row>
    <row r="789" ht="22.5" customHeight="1">
      <c r="A789" s="42"/>
      <c r="B789" s="47"/>
      <c r="C789" s="46"/>
      <c r="D789" s="47"/>
      <c r="E789" s="46"/>
      <c r="F789" s="47"/>
      <c r="G789" s="46"/>
      <c r="H789" s="50"/>
      <c r="I789" s="51"/>
    </row>
    <row r="790" ht="22.5" customHeight="1">
      <c r="A790" s="42"/>
      <c r="B790" s="47"/>
      <c r="C790" s="46"/>
      <c r="D790" s="47"/>
      <c r="E790" s="46"/>
      <c r="F790" s="47"/>
      <c r="G790" s="46"/>
      <c r="H790" s="48"/>
      <c r="I790" s="49"/>
    </row>
    <row r="791" ht="22.5" customHeight="1">
      <c r="A791" s="42"/>
      <c r="B791" s="47"/>
      <c r="C791" s="46"/>
      <c r="D791" s="47"/>
      <c r="E791" s="46"/>
      <c r="F791" s="47"/>
      <c r="G791" s="46"/>
      <c r="H791" s="50"/>
      <c r="I791" s="51"/>
    </row>
    <row r="792" ht="22.5" customHeight="1">
      <c r="A792" s="42"/>
      <c r="B792" s="47"/>
      <c r="C792" s="46"/>
      <c r="D792" s="47"/>
      <c r="E792" s="46"/>
      <c r="F792" s="47"/>
      <c r="G792" s="46"/>
      <c r="H792" s="48"/>
      <c r="I792" s="49"/>
    </row>
    <row r="793" ht="22.5" customHeight="1">
      <c r="A793" s="42"/>
      <c r="B793" s="47"/>
      <c r="C793" s="46"/>
      <c r="D793" s="47"/>
      <c r="E793" s="46"/>
      <c r="F793" s="47"/>
      <c r="G793" s="46"/>
      <c r="H793" s="50"/>
      <c r="I793" s="51"/>
    </row>
    <row r="794" ht="22.5" customHeight="1">
      <c r="A794" s="42"/>
      <c r="B794" s="47"/>
      <c r="C794" s="46"/>
      <c r="D794" s="47"/>
      <c r="E794" s="46"/>
      <c r="F794" s="47"/>
      <c r="G794" s="46"/>
      <c r="H794" s="48"/>
      <c r="I794" s="49"/>
    </row>
    <row r="795" ht="22.5" customHeight="1">
      <c r="A795" s="42"/>
      <c r="B795" s="47"/>
      <c r="C795" s="46"/>
      <c r="D795" s="47"/>
      <c r="E795" s="46"/>
      <c r="F795" s="47"/>
      <c r="G795" s="46"/>
      <c r="H795" s="50"/>
      <c r="I795" s="51"/>
    </row>
    <row r="796" ht="22.5" customHeight="1">
      <c r="A796" s="42"/>
      <c r="B796" s="47"/>
      <c r="C796" s="46"/>
      <c r="D796" s="47"/>
      <c r="E796" s="46"/>
      <c r="F796" s="47"/>
      <c r="G796" s="46"/>
      <c r="H796" s="48"/>
      <c r="I796" s="49"/>
    </row>
    <row r="797" ht="22.5" customHeight="1">
      <c r="A797" s="42"/>
      <c r="B797" s="47"/>
      <c r="C797" s="46"/>
      <c r="D797" s="47"/>
      <c r="E797" s="46"/>
      <c r="F797" s="47"/>
      <c r="G797" s="46"/>
      <c r="H797" s="50"/>
      <c r="I797" s="51"/>
    </row>
    <row r="798" ht="22.5" customHeight="1">
      <c r="A798" s="42"/>
      <c r="B798" s="47"/>
      <c r="C798" s="46"/>
      <c r="D798" s="47"/>
      <c r="E798" s="46"/>
      <c r="F798" s="47"/>
      <c r="G798" s="46"/>
      <c r="H798" s="48"/>
      <c r="I798" s="49"/>
    </row>
    <row r="799" ht="22.5" customHeight="1">
      <c r="A799" s="42"/>
      <c r="B799" s="47"/>
      <c r="C799" s="46"/>
      <c r="D799" s="47"/>
      <c r="E799" s="46"/>
      <c r="F799" s="47"/>
      <c r="G799" s="46"/>
      <c r="H799" s="50"/>
      <c r="I799" s="51"/>
    </row>
    <row r="800" ht="22.5" customHeight="1">
      <c r="A800" s="42"/>
      <c r="B800" s="47"/>
      <c r="C800" s="46"/>
      <c r="D800" s="47"/>
      <c r="E800" s="46"/>
      <c r="F800" s="47"/>
      <c r="G800" s="46"/>
      <c r="H800" s="48"/>
      <c r="I800" s="49"/>
    </row>
    <row r="801" ht="22.5" customHeight="1">
      <c r="A801" s="42"/>
      <c r="B801" s="47"/>
      <c r="C801" s="46"/>
      <c r="D801" s="47"/>
      <c r="E801" s="46"/>
      <c r="F801" s="47"/>
      <c r="G801" s="46"/>
      <c r="H801" s="50"/>
      <c r="I801" s="51"/>
    </row>
    <row r="802" ht="22.5" customHeight="1">
      <c r="A802" s="42"/>
      <c r="B802" s="47"/>
      <c r="C802" s="46"/>
      <c r="D802" s="47"/>
      <c r="E802" s="46"/>
      <c r="F802" s="47"/>
      <c r="G802" s="46"/>
      <c r="H802" s="48"/>
      <c r="I802" s="49"/>
    </row>
    <row r="803" ht="22.5" customHeight="1">
      <c r="A803" s="42"/>
      <c r="B803" s="47"/>
      <c r="C803" s="46"/>
      <c r="D803" s="47"/>
      <c r="E803" s="46"/>
      <c r="F803" s="47"/>
      <c r="G803" s="46"/>
      <c r="H803" s="50"/>
      <c r="I803" s="51"/>
    </row>
    <row r="804" ht="22.5" customHeight="1">
      <c r="A804" s="42"/>
      <c r="B804" s="47"/>
      <c r="C804" s="46"/>
      <c r="D804" s="47"/>
      <c r="E804" s="46"/>
      <c r="F804" s="47"/>
      <c r="G804" s="46"/>
      <c r="H804" s="48"/>
      <c r="I804" s="49"/>
    </row>
    <row r="805" ht="22.5" customHeight="1">
      <c r="A805" s="42"/>
      <c r="B805" s="47"/>
      <c r="C805" s="46"/>
      <c r="D805" s="47"/>
      <c r="E805" s="46"/>
      <c r="F805" s="47"/>
      <c r="G805" s="46"/>
      <c r="H805" s="50"/>
      <c r="I805" s="51"/>
    </row>
    <row r="806" ht="22.5" customHeight="1">
      <c r="A806" s="42"/>
      <c r="B806" s="47"/>
      <c r="C806" s="46"/>
      <c r="D806" s="47"/>
      <c r="E806" s="46"/>
      <c r="F806" s="47"/>
      <c r="G806" s="46"/>
      <c r="H806" s="48"/>
      <c r="I806" s="49"/>
    </row>
    <row r="807" ht="22.5" customHeight="1">
      <c r="A807" s="42"/>
      <c r="B807" s="47"/>
      <c r="C807" s="46"/>
      <c r="D807" s="47"/>
      <c r="E807" s="46"/>
      <c r="F807" s="47"/>
      <c r="G807" s="46"/>
      <c r="H807" s="50"/>
      <c r="I807" s="51"/>
    </row>
    <row r="808" ht="22.5" customHeight="1">
      <c r="A808" s="42"/>
      <c r="B808" s="47"/>
      <c r="C808" s="46"/>
      <c r="D808" s="47"/>
      <c r="E808" s="46"/>
      <c r="F808" s="47"/>
      <c r="G808" s="46"/>
      <c r="H808" s="48"/>
      <c r="I808" s="49"/>
    </row>
    <row r="809" ht="22.5" customHeight="1">
      <c r="A809" s="42"/>
      <c r="B809" s="47"/>
      <c r="C809" s="46"/>
      <c r="D809" s="47"/>
      <c r="E809" s="46"/>
      <c r="F809" s="47"/>
      <c r="G809" s="46"/>
      <c r="H809" s="50"/>
      <c r="I809" s="51"/>
    </row>
    <row r="810" ht="22.5" customHeight="1">
      <c r="A810" s="42"/>
      <c r="B810" s="47"/>
      <c r="C810" s="46"/>
      <c r="D810" s="47"/>
      <c r="E810" s="46"/>
      <c r="F810" s="47"/>
      <c r="G810" s="46"/>
      <c r="H810" s="48"/>
      <c r="I810" s="49"/>
    </row>
    <row r="811" ht="22.5" customHeight="1">
      <c r="A811" s="42"/>
      <c r="B811" s="47"/>
      <c r="C811" s="46"/>
      <c r="D811" s="47"/>
      <c r="E811" s="46"/>
      <c r="F811" s="47"/>
      <c r="G811" s="46"/>
      <c r="H811" s="50"/>
      <c r="I811" s="51"/>
    </row>
    <row r="812" ht="22.5" customHeight="1">
      <c r="A812" s="42"/>
      <c r="B812" s="47"/>
      <c r="C812" s="46"/>
      <c r="D812" s="47"/>
      <c r="E812" s="46"/>
      <c r="F812" s="47"/>
      <c r="G812" s="46"/>
      <c r="H812" s="48"/>
      <c r="I812" s="49"/>
    </row>
    <row r="813" ht="22.5" customHeight="1">
      <c r="A813" s="42"/>
      <c r="B813" s="47"/>
      <c r="C813" s="46"/>
      <c r="D813" s="47"/>
      <c r="E813" s="46"/>
      <c r="F813" s="47"/>
      <c r="G813" s="46"/>
      <c r="H813" s="50"/>
      <c r="I813" s="51"/>
    </row>
    <row r="814" ht="22.5" customHeight="1">
      <c r="A814" s="42"/>
      <c r="B814" s="47"/>
      <c r="C814" s="46"/>
      <c r="D814" s="47"/>
      <c r="E814" s="46"/>
      <c r="F814" s="47"/>
      <c r="G814" s="46"/>
      <c r="H814" s="48"/>
      <c r="I814" s="49"/>
    </row>
    <row r="815" ht="22.5" customHeight="1">
      <c r="A815" s="42"/>
      <c r="B815" s="47"/>
      <c r="C815" s="46"/>
      <c r="D815" s="47"/>
      <c r="E815" s="46"/>
      <c r="F815" s="47"/>
      <c r="G815" s="46"/>
      <c r="H815" s="50"/>
      <c r="I815" s="51"/>
    </row>
    <row r="816" ht="22.5" customHeight="1">
      <c r="A816" s="42"/>
      <c r="B816" s="47"/>
      <c r="C816" s="46"/>
      <c r="D816" s="47"/>
      <c r="E816" s="46"/>
      <c r="F816" s="47"/>
      <c r="G816" s="46"/>
      <c r="H816" s="48"/>
      <c r="I816" s="49"/>
    </row>
    <row r="817" ht="22.5" customHeight="1">
      <c r="A817" s="42"/>
      <c r="B817" s="47"/>
      <c r="C817" s="46"/>
      <c r="D817" s="47"/>
      <c r="E817" s="46"/>
      <c r="F817" s="47"/>
      <c r="G817" s="46"/>
      <c r="H817" s="50"/>
      <c r="I817" s="51"/>
    </row>
    <row r="818" ht="22.5" customHeight="1">
      <c r="A818" s="42"/>
      <c r="B818" s="47"/>
      <c r="C818" s="46"/>
      <c r="D818" s="47"/>
      <c r="E818" s="46"/>
      <c r="F818" s="47"/>
      <c r="G818" s="46"/>
      <c r="H818" s="48"/>
      <c r="I818" s="49"/>
    </row>
    <row r="819" ht="22.5" customHeight="1">
      <c r="A819" s="42"/>
      <c r="B819" s="47"/>
      <c r="C819" s="46"/>
      <c r="D819" s="47"/>
      <c r="E819" s="46"/>
      <c r="F819" s="47"/>
      <c r="G819" s="46"/>
      <c r="H819" s="50"/>
      <c r="I819" s="51"/>
    </row>
    <row r="820" ht="22.5" customHeight="1">
      <c r="A820" s="42"/>
      <c r="B820" s="47"/>
      <c r="C820" s="46"/>
      <c r="D820" s="47"/>
      <c r="E820" s="46"/>
      <c r="F820" s="47"/>
      <c r="G820" s="46"/>
      <c r="H820" s="48"/>
      <c r="I820" s="49"/>
    </row>
    <row r="821" ht="22.5" customHeight="1">
      <c r="A821" s="42"/>
      <c r="B821" s="47"/>
      <c r="C821" s="46"/>
      <c r="D821" s="47"/>
      <c r="E821" s="46"/>
      <c r="F821" s="47"/>
      <c r="G821" s="46"/>
      <c r="H821" s="50"/>
      <c r="I821" s="51"/>
    </row>
    <row r="822" ht="22.5" customHeight="1">
      <c r="A822" s="42"/>
      <c r="B822" s="47"/>
      <c r="C822" s="46"/>
      <c r="D822" s="47"/>
      <c r="E822" s="46"/>
      <c r="F822" s="47"/>
      <c r="G822" s="46"/>
      <c r="H822" s="48"/>
      <c r="I822" s="49"/>
    </row>
    <row r="823" ht="22.5" customHeight="1">
      <c r="A823" s="42"/>
      <c r="B823" s="47"/>
      <c r="C823" s="46"/>
      <c r="D823" s="47"/>
      <c r="E823" s="46"/>
      <c r="F823" s="47"/>
      <c r="G823" s="46"/>
      <c r="H823" s="50"/>
      <c r="I823" s="51"/>
    </row>
    <row r="824" ht="22.5" customHeight="1">
      <c r="A824" s="42"/>
      <c r="B824" s="47"/>
      <c r="C824" s="46"/>
      <c r="D824" s="47"/>
      <c r="E824" s="46"/>
      <c r="F824" s="47"/>
      <c r="G824" s="46"/>
      <c r="H824" s="48"/>
      <c r="I824" s="49"/>
    </row>
    <row r="825" ht="22.5" customHeight="1">
      <c r="A825" s="42"/>
      <c r="B825" s="47"/>
      <c r="C825" s="46"/>
      <c r="D825" s="47"/>
      <c r="E825" s="46"/>
      <c r="F825" s="47"/>
      <c r="G825" s="46"/>
      <c r="H825" s="50"/>
      <c r="I825" s="51"/>
    </row>
    <row r="826" ht="22.5" customHeight="1">
      <c r="A826" s="42"/>
      <c r="B826" s="47"/>
      <c r="C826" s="46"/>
      <c r="D826" s="47"/>
      <c r="E826" s="46"/>
      <c r="F826" s="47"/>
      <c r="G826" s="46"/>
      <c r="H826" s="48"/>
      <c r="I826" s="49"/>
    </row>
    <row r="827" ht="22.5" customHeight="1">
      <c r="A827" s="42"/>
      <c r="B827" s="47"/>
      <c r="C827" s="46"/>
      <c r="D827" s="47"/>
      <c r="E827" s="46"/>
      <c r="F827" s="47"/>
      <c r="G827" s="46"/>
      <c r="H827" s="50"/>
      <c r="I827" s="51"/>
    </row>
    <row r="828" ht="22.5" customHeight="1">
      <c r="A828" s="42"/>
      <c r="B828" s="47"/>
      <c r="C828" s="46"/>
      <c r="D828" s="47"/>
      <c r="E828" s="46"/>
      <c r="F828" s="47"/>
      <c r="G828" s="46"/>
      <c r="H828" s="48"/>
      <c r="I828" s="49"/>
    </row>
    <row r="829" ht="22.5" customHeight="1">
      <c r="A829" s="42"/>
      <c r="B829" s="47"/>
      <c r="C829" s="46"/>
      <c r="D829" s="47"/>
      <c r="E829" s="46"/>
      <c r="F829" s="47"/>
      <c r="G829" s="46"/>
      <c r="H829" s="50"/>
      <c r="I829" s="51"/>
    </row>
    <row r="830" ht="22.5" customHeight="1">
      <c r="A830" s="42"/>
      <c r="B830" s="47"/>
      <c r="C830" s="46"/>
      <c r="D830" s="47"/>
      <c r="E830" s="46"/>
      <c r="F830" s="47"/>
      <c r="G830" s="46"/>
      <c r="H830" s="48"/>
      <c r="I830" s="49"/>
    </row>
    <row r="831" ht="22.5" customHeight="1">
      <c r="A831" s="42"/>
      <c r="B831" s="47"/>
      <c r="C831" s="46"/>
      <c r="D831" s="47"/>
      <c r="E831" s="46"/>
      <c r="F831" s="47"/>
      <c r="G831" s="46"/>
      <c r="H831" s="50"/>
      <c r="I831" s="51"/>
    </row>
    <row r="832" ht="22.5" customHeight="1">
      <c r="A832" s="42"/>
      <c r="B832" s="47"/>
      <c r="C832" s="46"/>
      <c r="D832" s="47"/>
      <c r="E832" s="46"/>
      <c r="F832" s="47"/>
      <c r="G832" s="46"/>
      <c r="H832" s="48"/>
      <c r="I832" s="49"/>
    </row>
    <row r="833" ht="22.5" customHeight="1">
      <c r="A833" s="42"/>
      <c r="B833" s="47"/>
      <c r="C833" s="46"/>
      <c r="D833" s="47"/>
      <c r="E833" s="46"/>
      <c r="F833" s="47"/>
      <c r="G833" s="46"/>
      <c r="H833" s="50"/>
      <c r="I833" s="51"/>
    </row>
    <row r="834" ht="22.5" customHeight="1">
      <c r="A834" s="42"/>
      <c r="B834" s="47"/>
      <c r="C834" s="46"/>
      <c r="D834" s="47"/>
      <c r="E834" s="46"/>
      <c r="F834" s="47"/>
      <c r="G834" s="46"/>
      <c r="H834" s="48"/>
      <c r="I834" s="49"/>
    </row>
    <row r="835" ht="22.5" customHeight="1">
      <c r="A835" s="42"/>
      <c r="B835" s="47"/>
      <c r="C835" s="46"/>
      <c r="D835" s="47"/>
      <c r="E835" s="46"/>
      <c r="F835" s="47"/>
      <c r="G835" s="46"/>
      <c r="H835" s="50"/>
      <c r="I835" s="51"/>
    </row>
    <row r="836" ht="22.5" customHeight="1">
      <c r="A836" s="42"/>
      <c r="B836" s="47"/>
      <c r="C836" s="46"/>
      <c r="D836" s="47"/>
      <c r="E836" s="46"/>
      <c r="F836" s="47"/>
      <c r="G836" s="46"/>
      <c r="H836" s="48"/>
      <c r="I836" s="49"/>
    </row>
    <row r="837" ht="22.5" customHeight="1">
      <c r="A837" s="42"/>
      <c r="B837" s="47"/>
      <c r="C837" s="46"/>
      <c r="D837" s="47"/>
      <c r="E837" s="46"/>
      <c r="F837" s="47"/>
      <c r="G837" s="46"/>
      <c r="H837" s="50"/>
      <c r="I837" s="51"/>
    </row>
    <row r="838" ht="22.5" customHeight="1">
      <c r="A838" s="42"/>
      <c r="B838" s="47"/>
      <c r="C838" s="46"/>
      <c r="D838" s="47"/>
      <c r="E838" s="46"/>
      <c r="F838" s="47"/>
      <c r="G838" s="46"/>
      <c r="H838" s="48"/>
      <c r="I838" s="49"/>
    </row>
    <row r="839" ht="22.5" customHeight="1">
      <c r="A839" s="42"/>
      <c r="B839" s="47"/>
      <c r="C839" s="46"/>
      <c r="D839" s="47"/>
      <c r="E839" s="46"/>
      <c r="F839" s="47"/>
      <c r="G839" s="46"/>
      <c r="H839" s="50"/>
      <c r="I839" s="51"/>
    </row>
    <row r="840" ht="22.5" customHeight="1">
      <c r="A840" s="42"/>
      <c r="B840" s="47"/>
      <c r="C840" s="46"/>
      <c r="D840" s="47"/>
      <c r="E840" s="46"/>
      <c r="F840" s="47"/>
      <c r="G840" s="46"/>
      <c r="H840" s="48"/>
      <c r="I840" s="49"/>
    </row>
    <row r="841" ht="22.5" customHeight="1">
      <c r="A841" s="42"/>
      <c r="B841" s="47"/>
      <c r="C841" s="46"/>
      <c r="D841" s="47"/>
      <c r="E841" s="46"/>
      <c r="F841" s="47"/>
      <c r="G841" s="46"/>
      <c r="H841" s="50"/>
      <c r="I841" s="51"/>
    </row>
    <row r="842" ht="22.5" customHeight="1">
      <c r="A842" s="42"/>
      <c r="B842" s="47"/>
      <c r="C842" s="46"/>
      <c r="D842" s="47"/>
      <c r="E842" s="46"/>
      <c r="F842" s="47"/>
      <c r="G842" s="46"/>
      <c r="H842" s="48"/>
      <c r="I842" s="49"/>
    </row>
    <row r="843" ht="22.5" customHeight="1">
      <c r="A843" s="42"/>
      <c r="B843" s="47"/>
      <c r="C843" s="46"/>
      <c r="D843" s="47"/>
      <c r="E843" s="46"/>
      <c r="F843" s="47"/>
      <c r="G843" s="46"/>
      <c r="H843" s="50"/>
      <c r="I843" s="51"/>
    </row>
    <row r="844" ht="22.5" customHeight="1">
      <c r="A844" s="42"/>
      <c r="B844" s="47"/>
      <c r="C844" s="46"/>
      <c r="D844" s="47"/>
      <c r="E844" s="46"/>
      <c r="F844" s="47"/>
      <c r="G844" s="46"/>
      <c r="H844" s="48"/>
      <c r="I844" s="49"/>
    </row>
    <row r="845" ht="22.5" customHeight="1">
      <c r="A845" s="42"/>
      <c r="B845" s="47"/>
      <c r="C845" s="46"/>
      <c r="D845" s="47"/>
      <c r="E845" s="46"/>
      <c r="F845" s="47"/>
      <c r="G845" s="46"/>
      <c r="H845" s="50"/>
      <c r="I845" s="51"/>
    </row>
    <row r="846" ht="22.5" customHeight="1">
      <c r="A846" s="42"/>
      <c r="B846" s="47"/>
      <c r="C846" s="46"/>
      <c r="D846" s="47"/>
      <c r="E846" s="46"/>
      <c r="F846" s="47"/>
      <c r="G846" s="46"/>
      <c r="H846" s="48"/>
      <c r="I846" s="49"/>
    </row>
    <row r="847" ht="22.5" customHeight="1">
      <c r="A847" s="42"/>
      <c r="B847" s="47"/>
      <c r="C847" s="46"/>
      <c r="D847" s="47"/>
      <c r="E847" s="46"/>
      <c r="F847" s="47"/>
      <c r="G847" s="46"/>
      <c r="H847" s="50"/>
      <c r="I847" s="51"/>
    </row>
    <row r="848" ht="22.5" customHeight="1">
      <c r="A848" s="42"/>
      <c r="B848" s="47"/>
      <c r="C848" s="46"/>
      <c r="D848" s="47"/>
      <c r="E848" s="46"/>
      <c r="F848" s="47"/>
      <c r="G848" s="46"/>
      <c r="H848" s="48"/>
      <c r="I848" s="49"/>
    </row>
    <row r="849" ht="22.5" customHeight="1">
      <c r="A849" s="42"/>
      <c r="B849" s="47"/>
      <c r="C849" s="46"/>
      <c r="D849" s="47"/>
      <c r="E849" s="46"/>
      <c r="F849" s="47"/>
      <c r="G849" s="46"/>
      <c r="H849" s="50"/>
      <c r="I849" s="51"/>
    </row>
    <row r="850" ht="22.5" customHeight="1">
      <c r="A850" s="42"/>
      <c r="B850" s="47"/>
      <c r="C850" s="46"/>
      <c r="D850" s="47"/>
      <c r="E850" s="46"/>
      <c r="F850" s="47"/>
      <c r="G850" s="46"/>
      <c r="H850" s="48"/>
      <c r="I850" s="49"/>
    </row>
    <row r="851" ht="22.5" customHeight="1">
      <c r="A851" s="42"/>
      <c r="B851" s="47"/>
      <c r="C851" s="46"/>
      <c r="D851" s="47"/>
      <c r="E851" s="46"/>
      <c r="F851" s="47"/>
      <c r="G851" s="46"/>
      <c r="H851" s="50"/>
      <c r="I851" s="51"/>
    </row>
    <row r="852" ht="22.5" customHeight="1">
      <c r="A852" s="42"/>
      <c r="B852" s="47"/>
      <c r="C852" s="46"/>
      <c r="D852" s="47"/>
      <c r="E852" s="46"/>
      <c r="F852" s="47"/>
      <c r="G852" s="46"/>
      <c r="H852" s="48"/>
      <c r="I852" s="49"/>
    </row>
    <row r="853" ht="22.5" customHeight="1">
      <c r="A853" s="42"/>
      <c r="B853" s="47"/>
      <c r="C853" s="46"/>
      <c r="D853" s="47"/>
      <c r="E853" s="46"/>
      <c r="F853" s="47"/>
      <c r="G853" s="46"/>
      <c r="H853" s="50"/>
      <c r="I853" s="51"/>
    </row>
    <row r="854" ht="22.5" customHeight="1">
      <c r="A854" s="42"/>
      <c r="B854" s="47"/>
      <c r="C854" s="46"/>
      <c r="D854" s="47"/>
      <c r="E854" s="46"/>
      <c r="F854" s="47"/>
      <c r="G854" s="46"/>
      <c r="H854" s="48"/>
      <c r="I854" s="49"/>
    </row>
    <row r="855" ht="22.5" customHeight="1">
      <c r="A855" s="42"/>
      <c r="B855" s="47"/>
      <c r="C855" s="46"/>
      <c r="D855" s="47"/>
      <c r="E855" s="46"/>
      <c r="F855" s="47"/>
      <c r="G855" s="46"/>
      <c r="H855" s="50"/>
      <c r="I855" s="51"/>
    </row>
    <row r="856" ht="22.5" customHeight="1">
      <c r="A856" s="42"/>
      <c r="B856" s="47"/>
      <c r="C856" s="46"/>
      <c r="D856" s="47"/>
      <c r="E856" s="46"/>
      <c r="F856" s="47"/>
      <c r="G856" s="46"/>
      <c r="H856" s="48"/>
      <c r="I856" s="49"/>
    </row>
    <row r="857" ht="22.5" customHeight="1">
      <c r="A857" s="42"/>
      <c r="B857" s="47"/>
      <c r="C857" s="46"/>
      <c r="D857" s="47"/>
      <c r="E857" s="46"/>
      <c r="F857" s="47"/>
      <c r="G857" s="46"/>
      <c r="H857" s="50"/>
      <c r="I857" s="51"/>
    </row>
    <row r="858" ht="22.5" customHeight="1">
      <c r="A858" s="42"/>
      <c r="B858" s="47"/>
      <c r="C858" s="46"/>
      <c r="D858" s="47"/>
      <c r="E858" s="46"/>
      <c r="F858" s="47"/>
      <c r="G858" s="46"/>
      <c r="H858" s="48"/>
      <c r="I858" s="49"/>
    </row>
    <row r="859" ht="22.5" customHeight="1">
      <c r="A859" s="42"/>
      <c r="B859" s="47"/>
      <c r="C859" s="46"/>
      <c r="D859" s="47"/>
      <c r="E859" s="46"/>
      <c r="F859" s="47"/>
      <c r="G859" s="46"/>
      <c r="H859" s="50"/>
      <c r="I859" s="51"/>
    </row>
    <row r="860" ht="22.5" customHeight="1">
      <c r="A860" s="42"/>
      <c r="B860" s="47"/>
      <c r="C860" s="46"/>
      <c r="D860" s="47"/>
      <c r="E860" s="46"/>
      <c r="F860" s="47"/>
      <c r="G860" s="46"/>
      <c r="H860" s="48"/>
      <c r="I860" s="49"/>
    </row>
    <row r="861" ht="22.5" customHeight="1">
      <c r="A861" s="42"/>
      <c r="B861" s="47"/>
      <c r="C861" s="46"/>
      <c r="D861" s="47"/>
      <c r="E861" s="46"/>
      <c r="F861" s="47"/>
      <c r="G861" s="46"/>
      <c r="H861" s="50"/>
      <c r="I861" s="51"/>
    </row>
    <row r="862" ht="22.5" customHeight="1">
      <c r="A862" s="42"/>
      <c r="B862" s="47"/>
      <c r="C862" s="46"/>
      <c r="D862" s="47"/>
      <c r="E862" s="46"/>
      <c r="F862" s="47"/>
      <c r="G862" s="46"/>
      <c r="H862" s="48"/>
      <c r="I862" s="49"/>
    </row>
    <row r="863" ht="22.5" customHeight="1">
      <c r="A863" s="42"/>
      <c r="B863" s="47"/>
      <c r="C863" s="46"/>
      <c r="D863" s="47"/>
      <c r="E863" s="46"/>
      <c r="F863" s="47"/>
      <c r="G863" s="46"/>
      <c r="H863" s="50"/>
      <c r="I863" s="51"/>
    </row>
    <row r="864" ht="22.5" customHeight="1">
      <c r="A864" s="42"/>
      <c r="B864" s="47"/>
      <c r="C864" s="46"/>
      <c r="D864" s="47"/>
      <c r="E864" s="46"/>
      <c r="F864" s="47"/>
      <c r="G864" s="46"/>
      <c r="H864" s="48"/>
      <c r="I864" s="49"/>
    </row>
    <row r="865" ht="22.5" customHeight="1">
      <c r="A865" s="42"/>
      <c r="B865" s="47"/>
      <c r="C865" s="46"/>
      <c r="D865" s="47"/>
      <c r="E865" s="46"/>
      <c r="F865" s="47"/>
      <c r="G865" s="46"/>
      <c r="H865" s="50"/>
      <c r="I865" s="51"/>
    </row>
    <row r="866" ht="22.5" customHeight="1">
      <c r="A866" s="42"/>
      <c r="B866" s="47"/>
      <c r="C866" s="46"/>
      <c r="D866" s="47"/>
      <c r="E866" s="46"/>
      <c r="F866" s="47"/>
      <c r="G866" s="46"/>
      <c r="H866" s="48"/>
      <c r="I866" s="49"/>
    </row>
    <row r="867" ht="22.5" customHeight="1">
      <c r="A867" s="42"/>
      <c r="B867" s="47"/>
      <c r="C867" s="46"/>
      <c r="D867" s="47"/>
      <c r="E867" s="46"/>
      <c r="F867" s="47"/>
      <c r="G867" s="46"/>
      <c r="H867" s="50"/>
      <c r="I867" s="51"/>
    </row>
    <row r="868" ht="22.5" customHeight="1">
      <c r="A868" s="42"/>
      <c r="B868" s="47"/>
      <c r="C868" s="46"/>
      <c r="D868" s="47"/>
      <c r="E868" s="46"/>
      <c r="F868" s="47"/>
      <c r="G868" s="46"/>
      <c r="H868" s="48"/>
      <c r="I868" s="49"/>
    </row>
    <row r="869" ht="22.5" customHeight="1">
      <c r="A869" s="42"/>
      <c r="B869" s="47"/>
      <c r="C869" s="46"/>
      <c r="D869" s="47"/>
      <c r="E869" s="46"/>
      <c r="F869" s="47"/>
      <c r="G869" s="46"/>
      <c r="H869" s="50"/>
      <c r="I869" s="51"/>
    </row>
    <row r="870" ht="22.5" customHeight="1">
      <c r="A870" s="42"/>
      <c r="B870" s="47"/>
      <c r="C870" s="46"/>
      <c r="D870" s="47"/>
      <c r="E870" s="46"/>
      <c r="F870" s="47"/>
      <c r="G870" s="46"/>
      <c r="H870" s="48"/>
      <c r="I870" s="49"/>
    </row>
    <row r="871" ht="22.5" customHeight="1">
      <c r="A871" s="42"/>
      <c r="B871" s="47"/>
      <c r="C871" s="46"/>
      <c r="D871" s="47"/>
      <c r="E871" s="46"/>
      <c r="F871" s="47"/>
      <c r="G871" s="46"/>
      <c r="H871" s="50"/>
      <c r="I871" s="51"/>
    </row>
    <row r="872" ht="22.5" customHeight="1">
      <c r="A872" s="42"/>
      <c r="B872" s="47"/>
      <c r="C872" s="46"/>
      <c r="D872" s="47"/>
      <c r="E872" s="46"/>
      <c r="F872" s="47"/>
      <c r="G872" s="46"/>
      <c r="H872" s="48"/>
      <c r="I872" s="49"/>
    </row>
    <row r="873" ht="22.5" customHeight="1">
      <c r="A873" s="42"/>
      <c r="B873" s="47"/>
      <c r="C873" s="46"/>
      <c r="D873" s="47"/>
      <c r="E873" s="46"/>
      <c r="F873" s="47"/>
      <c r="G873" s="46"/>
      <c r="H873" s="50"/>
      <c r="I873" s="51"/>
    </row>
    <row r="874" ht="22.5" customHeight="1">
      <c r="A874" s="42"/>
      <c r="B874" s="47"/>
      <c r="C874" s="46"/>
      <c r="D874" s="47"/>
      <c r="E874" s="46"/>
      <c r="F874" s="47"/>
      <c r="G874" s="46"/>
      <c r="H874" s="48"/>
      <c r="I874" s="49"/>
    </row>
    <row r="875" ht="22.5" customHeight="1">
      <c r="A875" s="42"/>
      <c r="B875" s="47"/>
      <c r="C875" s="46"/>
      <c r="D875" s="47"/>
      <c r="E875" s="46"/>
      <c r="F875" s="47"/>
      <c r="G875" s="46"/>
      <c r="H875" s="50"/>
      <c r="I875" s="51"/>
    </row>
    <row r="876" ht="22.5" customHeight="1">
      <c r="A876" s="42"/>
      <c r="B876" s="47"/>
      <c r="C876" s="46"/>
      <c r="D876" s="47"/>
      <c r="E876" s="46"/>
      <c r="F876" s="47"/>
      <c r="G876" s="46"/>
      <c r="H876" s="48"/>
      <c r="I876" s="49"/>
    </row>
    <row r="877" ht="22.5" customHeight="1">
      <c r="A877" s="42"/>
      <c r="B877" s="47"/>
      <c r="C877" s="46"/>
      <c r="D877" s="47"/>
      <c r="E877" s="46"/>
      <c r="F877" s="47"/>
      <c r="G877" s="46"/>
      <c r="H877" s="50"/>
      <c r="I877" s="51"/>
    </row>
    <row r="878" ht="22.5" customHeight="1">
      <c r="A878" s="42"/>
      <c r="B878" s="47"/>
      <c r="C878" s="46"/>
      <c r="D878" s="47"/>
      <c r="E878" s="46"/>
      <c r="F878" s="47"/>
      <c r="G878" s="46"/>
      <c r="H878" s="48"/>
      <c r="I878" s="49"/>
    </row>
    <row r="879" ht="22.5" customHeight="1">
      <c r="A879" s="42"/>
      <c r="B879" s="47"/>
      <c r="C879" s="46"/>
      <c r="D879" s="47"/>
      <c r="E879" s="46"/>
      <c r="F879" s="47"/>
      <c r="G879" s="46"/>
      <c r="H879" s="50"/>
      <c r="I879" s="51"/>
    </row>
    <row r="880" ht="22.5" customHeight="1">
      <c r="A880" s="42"/>
      <c r="B880" s="47"/>
      <c r="C880" s="46"/>
      <c r="D880" s="47"/>
      <c r="E880" s="46"/>
      <c r="F880" s="47"/>
      <c r="G880" s="46"/>
      <c r="H880" s="48"/>
      <c r="I880" s="49"/>
    </row>
    <row r="881" ht="22.5" customHeight="1">
      <c r="A881" s="42"/>
      <c r="B881" s="47"/>
      <c r="C881" s="46"/>
      <c r="D881" s="47"/>
      <c r="E881" s="46"/>
      <c r="F881" s="47"/>
      <c r="G881" s="46"/>
      <c r="H881" s="50"/>
      <c r="I881" s="51"/>
    </row>
    <row r="882" ht="22.5" customHeight="1">
      <c r="A882" s="42"/>
      <c r="B882" s="47"/>
      <c r="C882" s="46"/>
      <c r="D882" s="47"/>
      <c r="E882" s="46"/>
      <c r="F882" s="47"/>
      <c r="G882" s="46"/>
      <c r="H882" s="48"/>
      <c r="I882" s="49"/>
    </row>
    <row r="883" ht="22.5" customHeight="1">
      <c r="A883" s="42"/>
      <c r="B883" s="47"/>
      <c r="C883" s="46"/>
      <c r="D883" s="47"/>
      <c r="E883" s="46"/>
      <c r="F883" s="47"/>
      <c r="G883" s="46"/>
      <c r="H883" s="50"/>
      <c r="I883" s="51"/>
    </row>
    <row r="884" ht="22.5" customHeight="1">
      <c r="A884" s="42"/>
      <c r="B884" s="47"/>
      <c r="C884" s="46"/>
      <c r="D884" s="47"/>
      <c r="E884" s="46"/>
      <c r="F884" s="47"/>
      <c r="G884" s="46"/>
      <c r="H884" s="48"/>
      <c r="I884" s="49"/>
    </row>
    <row r="885" ht="22.5" customHeight="1">
      <c r="A885" s="42"/>
      <c r="B885" s="47"/>
      <c r="C885" s="46"/>
      <c r="D885" s="47"/>
      <c r="E885" s="46"/>
      <c r="F885" s="47"/>
      <c r="G885" s="46"/>
      <c r="H885" s="50"/>
      <c r="I885" s="51"/>
    </row>
    <row r="886" ht="22.5" customHeight="1">
      <c r="A886" s="42"/>
      <c r="B886" s="47"/>
      <c r="C886" s="46"/>
      <c r="D886" s="47"/>
      <c r="E886" s="46"/>
      <c r="F886" s="47"/>
      <c r="G886" s="46"/>
      <c r="H886" s="48"/>
      <c r="I886" s="49"/>
    </row>
    <row r="887" ht="22.5" customHeight="1">
      <c r="A887" s="42"/>
      <c r="B887" s="47"/>
      <c r="C887" s="46"/>
      <c r="D887" s="47"/>
      <c r="E887" s="46"/>
      <c r="F887" s="47"/>
      <c r="G887" s="46"/>
      <c r="H887" s="50"/>
      <c r="I887" s="51"/>
    </row>
    <row r="888" ht="22.5" customHeight="1">
      <c r="A888" s="42"/>
      <c r="B888" s="47"/>
      <c r="C888" s="46"/>
      <c r="D888" s="47"/>
      <c r="E888" s="46"/>
      <c r="F888" s="47"/>
      <c r="G888" s="46"/>
      <c r="H888" s="48"/>
      <c r="I888" s="49"/>
    </row>
    <row r="889" ht="22.5" customHeight="1">
      <c r="A889" s="42"/>
      <c r="B889" s="47"/>
      <c r="C889" s="46"/>
      <c r="D889" s="47"/>
      <c r="E889" s="46"/>
      <c r="F889" s="47"/>
      <c r="G889" s="46"/>
      <c r="H889" s="50"/>
      <c r="I889" s="51"/>
    </row>
    <row r="890" ht="22.5" customHeight="1">
      <c r="A890" s="42"/>
      <c r="B890" s="47"/>
      <c r="C890" s="46"/>
      <c r="D890" s="47"/>
      <c r="E890" s="46"/>
      <c r="F890" s="47"/>
      <c r="G890" s="46"/>
      <c r="H890" s="48"/>
      <c r="I890" s="49"/>
    </row>
    <row r="891" ht="22.5" customHeight="1">
      <c r="A891" s="42"/>
      <c r="B891" s="47"/>
      <c r="C891" s="46"/>
      <c r="D891" s="47"/>
      <c r="E891" s="46"/>
      <c r="F891" s="47"/>
      <c r="G891" s="46"/>
      <c r="H891" s="50"/>
      <c r="I891" s="51"/>
    </row>
    <row r="892" ht="22.5" customHeight="1">
      <c r="A892" s="42"/>
      <c r="B892" s="47"/>
      <c r="C892" s="46"/>
      <c r="D892" s="47"/>
      <c r="E892" s="46"/>
      <c r="F892" s="47"/>
      <c r="G892" s="46"/>
      <c r="H892" s="48"/>
      <c r="I892" s="49"/>
    </row>
    <row r="893" ht="22.5" customHeight="1">
      <c r="A893" s="42"/>
      <c r="B893" s="47"/>
      <c r="C893" s="46"/>
      <c r="D893" s="47"/>
      <c r="E893" s="46"/>
      <c r="F893" s="47"/>
      <c r="G893" s="46"/>
      <c r="H893" s="50"/>
      <c r="I893" s="51"/>
    </row>
    <row r="894" ht="22.5" customHeight="1">
      <c r="A894" s="42"/>
      <c r="B894" s="47"/>
      <c r="C894" s="46"/>
      <c r="D894" s="47"/>
      <c r="E894" s="46"/>
      <c r="F894" s="47"/>
      <c r="G894" s="46"/>
      <c r="H894" s="48"/>
      <c r="I894" s="49"/>
    </row>
    <row r="895" ht="22.5" customHeight="1">
      <c r="A895" s="42"/>
      <c r="B895" s="47"/>
      <c r="C895" s="46"/>
      <c r="D895" s="47"/>
      <c r="E895" s="46"/>
      <c r="F895" s="47"/>
      <c r="G895" s="46"/>
      <c r="H895" s="50"/>
      <c r="I895" s="51"/>
    </row>
    <row r="896" ht="22.5" customHeight="1">
      <c r="A896" s="42"/>
      <c r="B896" s="47"/>
      <c r="C896" s="46"/>
      <c r="D896" s="47"/>
      <c r="E896" s="46"/>
      <c r="F896" s="47"/>
      <c r="G896" s="46"/>
      <c r="H896" s="48"/>
      <c r="I896" s="49"/>
    </row>
    <row r="897" ht="22.5" customHeight="1">
      <c r="A897" s="42"/>
      <c r="B897" s="47"/>
      <c r="C897" s="46"/>
      <c r="D897" s="47"/>
      <c r="E897" s="46"/>
      <c r="F897" s="47"/>
      <c r="G897" s="46"/>
      <c r="H897" s="50"/>
      <c r="I897" s="51"/>
    </row>
    <row r="898" ht="22.5" customHeight="1">
      <c r="A898" s="42"/>
      <c r="B898" s="47"/>
      <c r="C898" s="46"/>
      <c r="D898" s="47"/>
      <c r="E898" s="46"/>
      <c r="F898" s="47"/>
      <c r="G898" s="46"/>
      <c r="H898" s="48"/>
      <c r="I898" s="49"/>
    </row>
    <row r="899" ht="22.5" customHeight="1">
      <c r="A899" s="42"/>
      <c r="B899" s="47"/>
      <c r="C899" s="46"/>
      <c r="D899" s="47"/>
      <c r="E899" s="46"/>
      <c r="F899" s="47"/>
      <c r="G899" s="46"/>
      <c r="H899" s="50"/>
      <c r="I899" s="51"/>
    </row>
    <row r="900" ht="22.5" customHeight="1">
      <c r="A900" s="42"/>
      <c r="B900" s="47"/>
      <c r="C900" s="46"/>
      <c r="D900" s="47"/>
      <c r="E900" s="46"/>
      <c r="F900" s="47"/>
      <c r="G900" s="46"/>
      <c r="H900" s="48"/>
      <c r="I900" s="49"/>
    </row>
    <row r="901" ht="22.5" customHeight="1">
      <c r="A901" s="42"/>
      <c r="B901" s="47"/>
      <c r="C901" s="46"/>
      <c r="D901" s="47"/>
      <c r="E901" s="46"/>
      <c r="F901" s="47"/>
      <c r="G901" s="46"/>
      <c r="H901" s="50"/>
      <c r="I901" s="51"/>
    </row>
    <row r="902" ht="22.5" customHeight="1">
      <c r="A902" s="42"/>
      <c r="B902" s="47"/>
      <c r="C902" s="46"/>
      <c r="D902" s="47"/>
      <c r="E902" s="46"/>
      <c r="F902" s="47"/>
      <c r="G902" s="46"/>
      <c r="H902" s="48"/>
      <c r="I902" s="49"/>
    </row>
    <row r="903" ht="22.5" customHeight="1">
      <c r="A903" s="42"/>
      <c r="B903" s="47"/>
      <c r="C903" s="46"/>
      <c r="D903" s="47"/>
      <c r="E903" s="46"/>
      <c r="F903" s="47"/>
      <c r="G903" s="46"/>
      <c r="H903" s="50"/>
      <c r="I903" s="51"/>
    </row>
    <row r="904" ht="22.5" customHeight="1">
      <c r="A904" s="42"/>
      <c r="B904" s="47"/>
      <c r="C904" s="46"/>
      <c r="D904" s="47"/>
      <c r="E904" s="46"/>
      <c r="F904" s="47"/>
      <c r="G904" s="46"/>
      <c r="H904" s="48"/>
      <c r="I904" s="49"/>
    </row>
    <row r="905" ht="22.5" customHeight="1">
      <c r="A905" s="42"/>
      <c r="B905" s="47"/>
      <c r="C905" s="46"/>
      <c r="D905" s="47"/>
      <c r="E905" s="46"/>
      <c r="F905" s="47"/>
      <c r="G905" s="46"/>
      <c r="H905" s="50"/>
      <c r="I905" s="51"/>
    </row>
    <row r="906" ht="22.5" customHeight="1">
      <c r="A906" s="42"/>
      <c r="B906" s="47"/>
      <c r="C906" s="46"/>
      <c r="D906" s="47"/>
      <c r="E906" s="46"/>
      <c r="F906" s="47"/>
      <c r="G906" s="46"/>
      <c r="H906" s="48"/>
      <c r="I906" s="49"/>
    </row>
    <row r="907" ht="22.5" customHeight="1">
      <c r="A907" s="42"/>
      <c r="B907" s="47"/>
      <c r="C907" s="46"/>
      <c r="D907" s="47"/>
      <c r="E907" s="46"/>
      <c r="F907" s="47"/>
      <c r="G907" s="46"/>
      <c r="H907" s="50"/>
      <c r="I907" s="51"/>
    </row>
    <row r="908" ht="22.5" customHeight="1">
      <c r="A908" s="42"/>
      <c r="B908" s="47"/>
      <c r="C908" s="46"/>
      <c r="D908" s="47"/>
      <c r="E908" s="46"/>
      <c r="F908" s="47"/>
      <c r="G908" s="46"/>
      <c r="H908" s="48"/>
      <c r="I908" s="49"/>
    </row>
    <row r="909" ht="22.5" customHeight="1">
      <c r="A909" s="42"/>
      <c r="B909" s="47"/>
      <c r="C909" s="46"/>
      <c r="D909" s="47"/>
      <c r="E909" s="46"/>
      <c r="F909" s="47"/>
      <c r="G909" s="46"/>
      <c r="H909" s="50"/>
      <c r="I909" s="51"/>
    </row>
    <row r="910" ht="22.5" customHeight="1">
      <c r="A910" s="42"/>
      <c r="B910" s="47"/>
      <c r="C910" s="46"/>
      <c r="D910" s="47"/>
      <c r="E910" s="46"/>
      <c r="F910" s="47"/>
      <c r="G910" s="46"/>
      <c r="H910" s="48"/>
      <c r="I910" s="49"/>
    </row>
    <row r="911" ht="22.5" customHeight="1">
      <c r="A911" s="42"/>
      <c r="B911" s="47"/>
      <c r="C911" s="46"/>
      <c r="D911" s="47"/>
      <c r="E911" s="46"/>
      <c r="F911" s="47"/>
      <c r="G911" s="46"/>
      <c r="H911" s="50"/>
      <c r="I911" s="51"/>
    </row>
    <row r="912" ht="22.5" customHeight="1">
      <c r="A912" s="42"/>
      <c r="B912" s="47"/>
      <c r="C912" s="46"/>
      <c r="D912" s="47"/>
      <c r="E912" s="46"/>
      <c r="F912" s="47"/>
      <c r="G912" s="46"/>
      <c r="H912" s="48"/>
      <c r="I912" s="49"/>
    </row>
    <row r="913" ht="22.5" customHeight="1">
      <c r="A913" s="42"/>
      <c r="B913" s="47"/>
      <c r="C913" s="46"/>
      <c r="D913" s="47"/>
      <c r="E913" s="46"/>
      <c r="F913" s="47"/>
      <c r="G913" s="46"/>
      <c r="H913" s="50"/>
      <c r="I913" s="51"/>
    </row>
    <row r="914" ht="22.5" customHeight="1">
      <c r="A914" s="42"/>
      <c r="B914" s="47"/>
      <c r="C914" s="46"/>
      <c r="D914" s="47"/>
      <c r="E914" s="46"/>
      <c r="F914" s="47"/>
      <c r="G914" s="46"/>
      <c r="H914" s="48"/>
      <c r="I914" s="49"/>
    </row>
    <row r="915" ht="22.5" customHeight="1">
      <c r="A915" s="42"/>
      <c r="B915" s="47"/>
      <c r="C915" s="46"/>
      <c r="D915" s="47"/>
      <c r="E915" s="46"/>
      <c r="F915" s="47"/>
      <c r="G915" s="46"/>
      <c r="H915" s="50"/>
      <c r="I915" s="51"/>
    </row>
    <row r="916" ht="22.5" customHeight="1">
      <c r="A916" s="42"/>
      <c r="B916" s="47"/>
      <c r="C916" s="46"/>
      <c r="D916" s="47"/>
      <c r="E916" s="46"/>
      <c r="F916" s="47"/>
      <c r="G916" s="46"/>
      <c r="H916" s="48"/>
      <c r="I916" s="49"/>
    </row>
    <row r="917" ht="22.5" customHeight="1">
      <c r="A917" s="42"/>
      <c r="B917" s="47"/>
      <c r="C917" s="46"/>
      <c r="D917" s="47"/>
      <c r="E917" s="46"/>
      <c r="F917" s="47"/>
      <c r="G917" s="46"/>
      <c r="H917" s="50"/>
      <c r="I917" s="51"/>
    </row>
    <row r="918" ht="22.5" customHeight="1">
      <c r="A918" s="42"/>
      <c r="B918" s="47"/>
      <c r="C918" s="46"/>
      <c r="D918" s="47"/>
      <c r="E918" s="46"/>
      <c r="F918" s="47"/>
      <c r="G918" s="46"/>
      <c r="H918" s="48"/>
      <c r="I918" s="49"/>
    </row>
    <row r="919" ht="22.5" customHeight="1">
      <c r="A919" s="42"/>
      <c r="B919" s="47"/>
      <c r="C919" s="46"/>
      <c r="D919" s="47"/>
      <c r="E919" s="46"/>
      <c r="F919" s="47"/>
      <c r="G919" s="46"/>
      <c r="H919" s="50"/>
      <c r="I919" s="51"/>
    </row>
    <row r="920" ht="22.5" customHeight="1">
      <c r="A920" s="42"/>
      <c r="B920" s="47"/>
      <c r="C920" s="46"/>
      <c r="D920" s="47"/>
      <c r="E920" s="46"/>
      <c r="F920" s="47"/>
      <c r="G920" s="46"/>
      <c r="H920" s="48"/>
      <c r="I920" s="49"/>
    </row>
    <row r="921" ht="22.5" customHeight="1">
      <c r="A921" s="42"/>
      <c r="B921" s="47"/>
      <c r="C921" s="46"/>
      <c r="D921" s="47"/>
      <c r="E921" s="46"/>
      <c r="F921" s="47"/>
      <c r="G921" s="46"/>
      <c r="H921" s="50"/>
      <c r="I921" s="51"/>
    </row>
    <row r="922" ht="22.5" customHeight="1">
      <c r="A922" s="42"/>
      <c r="B922" s="47"/>
      <c r="C922" s="46"/>
      <c r="D922" s="47"/>
      <c r="E922" s="46"/>
      <c r="F922" s="47"/>
      <c r="G922" s="46"/>
      <c r="H922" s="48"/>
      <c r="I922" s="49"/>
    </row>
    <row r="923" ht="22.5" customHeight="1">
      <c r="A923" s="42"/>
      <c r="B923" s="47"/>
      <c r="C923" s="46"/>
      <c r="D923" s="47"/>
      <c r="E923" s="46"/>
      <c r="F923" s="47"/>
      <c r="G923" s="46"/>
      <c r="H923" s="50"/>
      <c r="I923" s="51"/>
    </row>
    <row r="924" ht="22.5" customHeight="1">
      <c r="A924" s="42"/>
      <c r="B924" s="47"/>
      <c r="C924" s="46"/>
      <c r="D924" s="47"/>
      <c r="E924" s="46"/>
      <c r="F924" s="47"/>
      <c r="G924" s="46"/>
      <c r="H924" s="48"/>
      <c r="I924" s="49"/>
    </row>
    <row r="925" ht="22.5" customHeight="1">
      <c r="A925" s="42"/>
      <c r="B925" s="47"/>
      <c r="C925" s="46"/>
      <c r="D925" s="47"/>
      <c r="E925" s="46"/>
      <c r="F925" s="47"/>
      <c r="G925" s="46"/>
      <c r="H925" s="50"/>
      <c r="I925" s="51"/>
    </row>
    <row r="926" ht="22.5" customHeight="1">
      <c r="A926" s="42"/>
      <c r="B926" s="47"/>
      <c r="C926" s="46"/>
      <c r="D926" s="47"/>
      <c r="E926" s="46"/>
      <c r="F926" s="47"/>
      <c r="G926" s="46"/>
      <c r="H926" s="48"/>
      <c r="I926" s="49"/>
    </row>
    <row r="927" ht="22.5" customHeight="1">
      <c r="A927" s="42"/>
      <c r="B927" s="47"/>
      <c r="C927" s="46"/>
      <c r="D927" s="47"/>
      <c r="E927" s="46"/>
      <c r="F927" s="47"/>
      <c r="G927" s="46"/>
      <c r="H927" s="50"/>
      <c r="I927" s="51"/>
    </row>
    <row r="928" ht="22.5" customHeight="1">
      <c r="A928" s="42"/>
      <c r="B928" s="47"/>
      <c r="C928" s="46"/>
      <c r="D928" s="47"/>
      <c r="E928" s="46"/>
      <c r="F928" s="47"/>
      <c r="G928" s="46"/>
      <c r="H928" s="48"/>
      <c r="I928" s="49"/>
    </row>
    <row r="929" ht="22.5" customHeight="1">
      <c r="A929" s="42"/>
      <c r="B929" s="47"/>
      <c r="C929" s="46"/>
      <c r="D929" s="47"/>
      <c r="E929" s="46"/>
      <c r="F929" s="47"/>
      <c r="G929" s="46"/>
      <c r="H929" s="50"/>
      <c r="I929" s="51"/>
    </row>
    <row r="930" ht="22.5" customHeight="1">
      <c r="A930" s="42"/>
      <c r="B930" s="47"/>
      <c r="C930" s="46"/>
      <c r="D930" s="47"/>
      <c r="E930" s="46"/>
      <c r="F930" s="47"/>
      <c r="G930" s="46"/>
      <c r="H930" s="48"/>
      <c r="I930" s="49"/>
    </row>
    <row r="931" ht="22.5" customHeight="1">
      <c r="A931" s="42"/>
      <c r="B931" s="47"/>
      <c r="C931" s="46"/>
      <c r="D931" s="47"/>
      <c r="E931" s="46"/>
      <c r="F931" s="47"/>
      <c r="G931" s="46"/>
      <c r="H931" s="50"/>
      <c r="I931" s="51"/>
    </row>
    <row r="932" ht="22.5" customHeight="1">
      <c r="A932" s="42"/>
      <c r="B932" s="47"/>
      <c r="C932" s="46"/>
      <c r="D932" s="47"/>
      <c r="E932" s="46"/>
      <c r="F932" s="47"/>
      <c r="G932" s="46"/>
      <c r="H932" s="48"/>
      <c r="I932" s="49"/>
    </row>
    <row r="933" ht="22.5" customHeight="1">
      <c r="A933" s="42"/>
      <c r="B933" s="47"/>
      <c r="C933" s="46"/>
      <c r="D933" s="47"/>
      <c r="E933" s="46"/>
      <c r="F933" s="47"/>
      <c r="G933" s="46"/>
      <c r="H933" s="50"/>
      <c r="I933" s="51"/>
    </row>
    <row r="934" ht="22.5" customHeight="1">
      <c r="A934" s="42"/>
      <c r="B934" s="47"/>
      <c r="C934" s="46"/>
      <c r="D934" s="47"/>
      <c r="E934" s="46"/>
      <c r="F934" s="47"/>
      <c r="G934" s="46"/>
      <c r="H934" s="48"/>
      <c r="I934" s="49"/>
    </row>
    <row r="935" ht="22.5" customHeight="1">
      <c r="A935" s="42"/>
      <c r="B935" s="47"/>
      <c r="C935" s="46"/>
      <c r="D935" s="47"/>
      <c r="E935" s="46"/>
      <c r="F935" s="47"/>
      <c r="G935" s="46"/>
      <c r="H935" s="50"/>
      <c r="I935" s="51"/>
    </row>
    <row r="936" ht="22.5" customHeight="1">
      <c r="A936" s="42"/>
      <c r="B936" s="47"/>
      <c r="C936" s="46"/>
      <c r="D936" s="47"/>
      <c r="E936" s="46"/>
      <c r="F936" s="47"/>
      <c r="G936" s="46"/>
      <c r="H936" s="48"/>
      <c r="I936" s="49"/>
    </row>
    <row r="937" ht="22.5" customHeight="1">
      <c r="A937" s="42"/>
      <c r="B937" s="47"/>
      <c r="C937" s="46"/>
      <c r="D937" s="47"/>
      <c r="E937" s="46"/>
      <c r="F937" s="47"/>
      <c r="G937" s="46"/>
      <c r="H937" s="50"/>
      <c r="I937" s="51"/>
    </row>
    <row r="938" ht="22.5" customHeight="1">
      <c r="A938" s="42"/>
      <c r="B938" s="47"/>
      <c r="C938" s="46"/>
      <c r="D938" s="47"/>
      <c r="E938" s="46"/>
      <c r="F938" s="47"/>
      <c r="G938" s="46"/>
      <c r="H938" s="48"/>
      <c r="I938" s="49"/>
    </row>
    <row r="939" ht="22.5" customHeight="1">
      <c r="A939" s="42"/>
      <c r="B939" s="47"/>
      <c r="C939" s="46"/>
      <c r="D939" s="47"/>
      <c r="E939" s="46"/>
      <c r="F939" s="47"/>
      <c r="G939" s="46"/>
      <c r="H939" s="50"/>
      <c r="I939" s="51"/>
    </row>
    <row r="940" ht="22.5" customHeight="1">
      <c r="A940" s="42"/>
      <c r="B940" s="47"/>
      <c r="C940" s="46"/>
      <c r="D940" s="47"/>
      <c r="E940" s="46"/>
      <c r="F940" s="47"/>
      <c r="G940" s="46"/>
      <c r="H940" s="48"/>
      <c r="I940" s="49"/>
    </row>
    <row r="941" ht="22.5" customHeight="1">
      <c r="A941" s="42"/>
      <c r="B941" s="47"/>
      <c r="C941" s="46"/>
      <c r="D941" s="47"/>
      <c r="E941" s="46"/>
      <c r="F941" s="47"/>
      <c r="G941" s="46"/>
      <c r="H941" s="50"/>
      <c r="I941" s="51"/>
    </row>
    <row r="942" ht="22.5" customHeight="1">
      <c r="A942" s="42"/>
      <c r="B942" s="47"/>
      <c r="C942" s="46"/>
      <c r="D942" s="47"/>
      <c r="E942" s="46"/>
      <c r="F942" s="47"/>
      <c r="G942" s="46"/>
      <c r="H942" s="48"/>
      <c r="I942" s="49"/>
    </row>
    <row r="943" ht="22.5" customHeight="1">
      <c r="A943" s="42"/>
      <c r="B943" s="47"/>
      <c r="C943" s="46"/>
      <c r="D943" s="47"/>
      <c r="E943" s="46"/>
      <c r="F943" s="47"/>
      <c r="G943" s="46"/>
      <c r="H943" s="50"/>
      <c r="I943" s="51"/>
    </row>
    <row r="944" ht="22.5" customHeight="1">
      <c r="A944" s="42"/>
      <c r="B944" s="47"/>
      <c r="C944" s="46"/>
      <c r="D944" s="47"/>
      <c r="E944" s="46"/>
      <c r="F944" s="47"/>
      <c r="G944" s="46"/>
      <c r="H944" s="48"/>
      <c r="I944" s="49"/>
    </row>
    <row r="945" ht="22.5" customHeight="1">
      <c r="A945" s="42"/>
      <c r="B945" s="47"/>
      <c r="C945" s="46"/>
      <c r="D945" s="47"/>
      <c r="E945" s="46"/>
      <c r="F945" s="47"/>
      <c r="G945" s="46"/>
      <c r="H945" s="50"/>
      <c r="I945" s="51"/>
    </row>
    <row r="946" ht="22.5" customHeight="1">
      <c r="A946" s="42"/>
      <c r="B946" s="47"/>
      <c r="C946" s="46"/>
      <c r="D946" s="47"/>
      <c r="E946" s="46"/>
      <c r="F946" s="47"/>
      <c r="G946" s="46"/>
      <c r="H946" s="48"/>
      <c r="I946" s="49"/>
    </row>
    <row r="947" ht="22.5" customHeight="1">
      <c r="A947" s="42"/>
      <c r="B947" s="47"/>
      <c r="C947" s="46"/>
      <c r="D947" s="47"/>
      <c r="E947" s="46"/>
      <c r="F947" s="47"/>
      <c r="G947" s="46"/>
      <c r="H947" s="50"/>
      <c r="I947" s="51"/>
    </row>
    <row r="948" ht="22.5" customHeight="1">
      <c r="A948" s="42"/>
      <c r="B948" s="47"/>
      <c r="C948" s="46"/>
      <c r="D948" s="47"/>
      <c r="E948" s="46"/>
      <c r="F948" s="47"/>
      <c r="G948" s="46"/>
      <c r="H948" s="48"/>
      <c r="I948" s="49"/>
    </row>
    <row r="949" ht="22.5" customHeight="1">
      <c r="A949" s="42"/>
      <c r="B949" s="47"/>
      <c r="C949" s="46"/>
      <c r="D949" s="47"/>
      <c r="E949" s="46"/>
      <c r="F949" s="47"/>
      <c r="G949" s="46"/>
      <c r="H949" s="50"/>
      <c r="I949" s="51"/>
    </row>
    <row r="950" ht="22.5" customHeight="1">
      <c r="A950" s="42"/>
      <c r="B950" s="47"/>
      <c r="C950" s="46"/>
      <c r="D950" s="47"/>
      <c r="E950" s="46"/>
      <c r="F950" s="47"/>
      <c r="G950" s="46"/>
      <c r="H950" s="48"/>
      <c r="I950" s="49"/>
    </row>
    <row r="951" ht="22.5" customHeight="1">
      <c r="A951" s="42"/>
      <c r="B951" s="47"/>
      <c r="C951" s="46"/>
      <c r="D951" s="47"/>
      <c r="E951" s="46"/>
      <c r="F951" s="47"/>
      <c r="G951" s="46"/>
      <c r="H951" s="50"/>
      <c r="I951" s="51"/>
    </row>
    <row r="952" ht="22.5" customHeight="1">
      <c r="A952" s="42"/>
      <c r="B952" s="47"/>
      <c r="C952" s="46"/>
      <c r="D952" s="47"/>
      <c r="E952" s="46"/>
      <c r="F952" s="47"/>
      <c r="G952" s="46"/>
      <c r="H952" s="48"/>
      <c r="I952" s="49"/>
    </row>
    <row r="953" ht="22.5" customHeight="1">
      <c r="A953" s="42"/>
      <c r="B953" s="47"/>
      <c r="C953" s="46"/>
      <c r="D953" s="47"/>
      <c r="E953" s="46"/>
      <c r="F953" s="47"/>
      <c r="G953" s="46"/>
      <c r="H953" s="50"/>
      <c r="I953" s="51"/>
    </row>
    <row r="954" ht="22.5" customHeight="1">
      <c r="A954" s="42"/>
      <c r="B954" s="47"/>
      <c r="C954" s="46"/>
      <c r="D954" s="47"/>
      <c r="E954" s="46"/>
      <c r="F954" s="47"/>
      <c r="G954" s="46"/>
      <c r="H954" s="48"/>
      <c r="I954" s="49"/>
    </row>
    <row r="955" ht="22.5" customHeight="1">
      <c r="A955" s="42"/>
      <c r="B955" s="47"/>
      <c r="C955" s="46"/>
      <c r="D955" s="47"/>
      <c r="E955" s="46"/>
      <c r="F955" s="47"/>
      <c r="G955" s="46"/>
      <c r="H955" s="50"/>
      <c r="I955" s="51"/>
    </row>
    <row r="956" ht="22.5" customHeight="1">
      <c r="A956" s="42"/>
      <c r="B956" s="47"/>
      <c r="C956" s="46"/>
      <c r="D956" s="47"/>
      <c r="E956" s="46"/>
      <c r="F956" s="47"/>
      <c r="G956" s="46"/>
      <c r="H956" s="48"/>
      <c r="I956" s="49"/>
    </row>
    <row r="957" ht="22.5" customHeight="1">
      <c r="A957" s="42"/>
      <c r="B957" s="47"/>
      <c r="C957" s="46"/>
      <c r="D957" s="47"/>
      <c r="E957" s="46"/>
      <c r="F957" s="47"/>
      <c r="G957" s="46"/>
      <c r="H957" s="50"/>
      <c r="I957" s="51"/>
    </row>
    <row r="958" ht="22.5" customHeight="1">
      <c r="A958" s="42"/>
      <c r="B958" s="47"/>
      <c r="C958" s="46"/>
      <c r="D958" s="47"/>
      <c r="E958" s="46"/>
      <c r="F958" s="47"/>
      <c r="G958" s="46"/>
      <c r="H958" s="48"/>
      <c r="I958" s="49"/>
    </row>
    <row r="959" ht="22.5" customHeight="1">
      <c r="A959" s="42"/>
      <c r="B959" s="47"/>
      <c r="C959" s="46"/>
      <c r="D959" s="47"/>
      <c r="E959" s="46"/>
      <c r="F959" s="47"/>
      <c r="G959" s="46"/>
      <c r="H959" s="50"/>
      <c r="I959" s="51"/>
    </row>
    <row r="960" ht="22.5" customHeight="1">
      <c r="A960" s="42"/>
      <c r="B960" s="47"/>
      <c r="C960" s="46"/>
      <c r="D960" s="47"/>
      <c r="E960" s="46"/>
      <c r="F960" s="47"/>
      <c r="G960" s="46"/>
      <c r="H960" s="48"/>
      <c r="I960" s="49"/>
    </row>
    <row r="961" ht="22.5" customHeight="1">
      <c r="A961" s="42"/>
      <c r="B961" s="47"/>
      <c r="C961" s="46"/>
      <c r="D961" s="47"/>
      <c r="E961" s="46"/>
      <c r="F961" s="47"/>
      <c r="G961" s="46"/>
      <c r="H961" s="50"/>
      <c r="I961" s="51"/>
    </row>
    <row r="962" ht="22.5" customHeight="1">
      <c r="A962" s="42"/>
      <c r="B962" s="47"/>
      <c r="C962" s="46"/>
      <c r="D962" s="47"/>
      <c r="E962" s="46"/>
      <c r="F962" s="47"/>
      <c r="G962" s="46"/>
      <c r="H962" s="48"/>
      <c r="I962" s="49"/>
    </row>
    <row r="963" ht="22.5" customHeight="1">
      <c r="A963" s="42"/>
      <c r="B963" s="47"/>
      <c r="C963" s="46"/>
      <c r="D963" s="47"/>
      <c r="E963" s="46"/>
      <c r="F963" s="47"/>
      <c r="G963" s="46"/>
      <c r="H963" s="50"/>
      <c r="I963" s="51"/>
    </row>
    <row r="964" ht="22.5" customHeight="1">
      <c r="A964" s="42"/>
      <c r="B964" s="47"/>
      <c r="C964" s="46"/>
      <c r="D964" s="47"/>
      <c r="E964" s="46"/>
      <c r="F964" s="47"/>
      <c r="G964" s="46"/>
      <c r="H964" s="48"/>
      <c r="I964" s="49"/>
    </row>
    <row r="965" ht="22.5" customHeight="1">
      <c r="A965" s="42"/>
      <c r="B965" s="47"/>
      <c r="C965" s="46"/>
      <c r="D965" s="47"/>
      <c r="E965" s="46"/>
      <c r="F965" s="47"/>
      <c r="G965" s="46"/>
      <c r="H965" s="50"/>
      <c r="I965" s="51"/>
    </row>
    <row r="966" ht="22.5" customHeight="1">
      <c r="A966" s="42"/>
      <c r="B966" s="47"/>
      <c r="C966" s="46"/>
      <c r="D966" s="47"/>
      <c r="E966" s="46"/>
      <c r="F966" s="47"/>
      <c r="G966" s="46"/>
      <c r="H966" s="48"/>
      <c r="I966" s="49"/>
    </row>
    <row r="967" ht="22.5" customHeight="1">
      <c r="A967" s="42"/>
      <c r="B967" s="47"/>
      <c r="C967" s="46"/>
      <c r="D967" s="47"/>
      <c r="E967" s="46"/>
      <c r="F967" s="47"/>
      <c r="G967" s="46"/>
      <c r="H967" s="50"/>
      <c r="I967" s="51"/>
    </row>
    <row r="968" ht="22.5" customHeight="1">
      <c r="A968" s="42"/>
      <c r="B968" s="47"/>
      <c r="C968" s="46"/>
      <c r="D968" s="47"/>
      <c r="E968" s="46"/>
      <c r="F968" s="47"/>
      <c r="G968" s="46"/>
      <c r="H968" s="48"/>
      <c r="I968" s="49"/>
    </row>
    <row r="969" ht="22.5" customHeight="1">
      <c r="A969" s="42"/>
      <c r="B969" s="47"/>
      <c r="C969" s="46"/>
      <c r="D969" s="47"/>
      <c r="E969" s="46"/>
      <c r="F969" s="47"/>
      <c r="G969" s="46"/>
      <c r="H969" s="50"/>
      <c r="I969" s="51"/>
    </row>
    <row r="970" ht="22.5" customHeight="1">
      <c r="A970" s="42"/>
      <c r="B970" s="47"/>
      <c r="C970" s="46"/>
      <c r="D970" s="47"/>
      <c r="E970" s="46"/>
      <c r="F970" s="47"/>
      <c r="G970" s="46"/>
      <c r="H970" s="48"/>
      <c r="I970" s="49"/>
    </row>
    <row r="971" ht="22.5" customHeight="1">
      <c r="A971" s="42"/>
      <c r="B971" s="47"/>
      <c r="C971" s="46"/>
      <c r="D971" s="47"/>
      <c r="E971" s="46"/>
      <c r="F971" s="47"/>
      <c r="G971" s="46"/>
      <c r="H971" s="50"/>
      <c r="I971" s="51"/>
    </row>
    <row r="972" ht="22.5" customHeight="1">
      <c r="A972" s="42"/>
      <c r="B972" s="47"/>
      <c r="C972" s="46"/>
      <c r="D972" s="47"/>
      <c r="E972" s="46"/>
      <c r="F972" s="47"/>
      <c r="G972" s="46"/>
      <c r="H972" s="48"/>
      <c r="I972" s="49"/>
    </row>
    <row r="973" ht="22.5" customHeight="1">
      <c r="A973" s="42"/>
      <c r="B973" s="47"/>
      <c r="C973" s="46"/>
      <c r="D973" s="47"/>
      <c r="E973" s="46"/>
      <c r="F973" s="47"/>
      <c r="G973" s="46"/>
      <c r="H973" s="50"/>
      <c r="I973" s="51"/>
    </row>
    <row r="974" ht="22.5" customHeight="1">
      <c r="A974" s="42"/>
      <c r="B974" s="47"/>
      <c r="C974" s="46"/>
      <c r="D974" s="47"/>
      <c r="E974" s="46"/>
      <c r="F974" s="47"/>
      <c r="G974" s="46"/>
      <c r="H974" s="48"/>
      <c r="I974" s="49"/>
    </row>
    <row r="975" ht="22.5" customHeight="1">
      <c r="A975" s="42"/>
      <c r="B975" s="47"/>
      <c r="C975" s="46"/>
      <c r="D975" s="47"/>
      <c r="E975" s="46"/>
      <c r="F975" s="47"/>
      <c r="G975" s="46"/>
      <c r="H975" s="50"/>
      <c r="I975" s="51"/>
    </row>
    <row r="976" ht="22.5" customHeight="1">
      <c r="A976" s="42"/>
      <c r="B976" s="47"/>
      <c r="C976" s="46"/>
      <c r="D976" s="47"/>
      <c r="E976" s="46"/>
      <c r="F976" s="47"/>
      <c r="G976" s="46"/>
      <c r="H976" s="48"/>
      <c r="I976" s="49"/>
    </row>
    <row r="977" ht="22.5" customHeight="1">
      <c r="A977" s="42"/>
      <c r="B977" s="47"/>
      <c r="C977" s="46"/>
      <c r="D977" s="47"/>
      <c r="E977" s="46"/>
      <c r="F977" s="47"/>
      <c r="G977" s="46"/>
      <c r="H977" s="50"/>
      <c r="I977" s="51"/>
    </row>
    <row r="978" ht="22.5" customHeight="1">
      <c r="A978" s="42"/>
      <c r="B978" s="47"/>
      <c r="C978" s="46"/>
      <c r="D978" s="47"/>
      <c r="E978" s="46"/>
      <c r="F978" s="47"/>
      <c r="G978" s="46"/>
      <c r="H978" s="48"/>
      <c r="I978" s="49"/>
    </row>
    <row r="979" ht="22.5" customHeight="1">
      <c r="A979" s="42"/>
      <c r="B979" s="47"/>
      <c r="C979" s="46"/>
      <c r="D979" s="47"/>
      <c r="E979" s="46"/>
      <c r="F979" s="47"/>
      <c r="G979" s="46"/>
      <c r="H979" s="50"/>
      <c r="I979" s="51"/>
    </row>
    <row r="980" ht="22.5" customHeight="1">
      <c r="A980" s="42"/>
      <c r="B980" s="47"/>
      <c r="C980" s="46"/>
      <c r="D980" s="47"/>
      <c r="E980" s="46"/>
      <c r="F980" s="47"/>
      <c r="G980" s="46"/>
      <c r="H980" s="48"/>
      <c r="I980" s="49"/>
    </row>
    <row r="981" ht="22.5" customHeight="1">
      <c r="A981" s="42"/>
      <c r="B981" s="47"/>
      <c r="C981" s="46"/>
      <c r="D981" s="47"/>
      <c r="E981" s="46"/>
      <c r="F981" s="47"/>
      <c r="G981" s="46"/>
      <c r="H981" s="50"/>
      <c r="I981" s="51"/>
    </row>
    <row r="982" ht="22.5" customHeight="1">
      <c r="A982" s="42"/>
      <c r="B982" s="47"/>
      <c r="C982" s="46"/>
      <c r="D982" s="47"/>
      <c r="E982" s="46"/>
      <c r="F982" s="47"/>
      <c r="G982" s="46"/>
      <c r="H982" s="48"/>
      <c r="I982" s="49"/>
    </row>
    <row r="983" ht="22.5" customHeight="1">
      <c r="A983" s="42"/>
      <c r="B983" s="47"/>
      <c r="C983" s="46"/>
      <c r="D983" s="47"/>
      <c r="E983" s="46"/>
      <c r="F983" s="47"/>
      <c r="G983" s="46"/>
      <c r="H983" s="50"/>
      <c r="I983" s="51"/>
    </row>
    <row r="984" ht="22.5" customHeight="1">
      <c r="A984" s="42"/>
      <c r="B984" s="47"/>
      <c r="C984" s="46"/>
      <c r="D984" s="47"/>
      <c r="E984" s="46"/>
      <c r="F984" s="47"/>
      <c r="G984" s="46"/>
      <c r="H984" s="48"/>
      <c r="I984" s="49"/>
    </row>
    <row r="985" ht="22.5" customHeight="1">
      <c r="A985" s="42"/>
      <c r="B985" s="47"/>
      <c r="C985" s="46"/>
      <c r="D985" s="47"/>
      <c r="E985" s="46"/>
      <c r="F985" s="47"/>
      <c r="G985" s="46"/>
      <c r="H985" s="50"/>
      <c r="I985" s="51"/>
    </row>
    <row r="986" ht="22.5" customHeight="1">
      <c r="A986" s="42"/>
      <c r="B986" s="47"/>
      <c r="C986" s="46"/>
      <c r="D986" s="47"/>
      <c r="E986" s="46"/>
      <c r="F986" s="47"/>
      <c r="G986" s="46"/>
      <c r="H986" s="48"/>
      <c r="I986" s="49"/>
    </row>
    <row r="987" ht="22.5" customHeight="1">
      <c r="A987" s="42"/>
      <c r="B987" s="47"/>
      <c r="C987" s="46"/>
      <c r="D987" s="47"/>
      <c r="E987" s="46"/>
      <c r="F987" s="47"/>
      <c r="G987" s="46"/>
      <c r="H987" s="50"/>
      <c r="I987" s="51"/>
    </row>
    <row r="988" ht="22.5" customHeight="1">
      <c r="A988" s="42"/>
      <c r="B988" s="47"/>
      <c r="C988" s="46"/>
      <c r="D988" s="47"/>
      <c r="E988" s="46"/>
      <c r="F988" s="47"/>
      <c r="G988" s="46"/>
      <c r="H988" s="48"/>
      <c r="I988" s="49"/>
    </row>
    <row r="989" ht="22.5" customHeight="1">
      <c r="A989" s="42"/>
      <c r="B989" s="47"/>
      <c r="C989" s="46"/>
      <c r="D989" s="47"/>
      <c r="E989" s="46"/>
      <c r="F989" s="47"/>
      <c r="G989" s="46"/>
      <c r="H989" s="50"/>
      <c r="I989" s="51"/>
    </row>
    <row r="990" ht="22.5" customHeight="1">
      <c r="A990" s="42"/>
      <c r="B990" s="47"/>
      <c r="C990" s="46"/>
      <c r="D990" s="47"/>
      <c r="E990" s="46"/>
      <c r="F990" s="47"/>
      <c r="G990" s="46"/>
      <c r="H990" s="48"/>
      <c r="I990" s="49"/>
    </row>
    <row r="991" ht="22.5" customHeight="1">
      <c r="A991" s="42"/>
      <c r="B991" s="47"/>
      <c r="C991" s="46"/>
      <c r="D991" s="47"/>
      <c r="E991" s="46"/>
      <c r="F991" s="47"/>
      <c r="G991" s="46"/>
      <c r="H991" s="50"/>
      <c r="I991" s="51"/>
    </row>
    <row r="992" ht="22.5" customHeight="1">
      <c r="A992" s="42"/>
      <c r="B992" s="47"/>
      <c r="C992" s="46"/>
      <c r="D992" s="47"/>
      <c r="E992" s="46"/>
      <c r="F992" s="47"/>
      <c r="G992" s="46"/>
      <c r="H992" s="48"/>
      <c r="I992" s="49"/>
    </row>
    <row r="993" ht="22.5" customHeight="1">
      <c r="A993" s="42"/>
      <c r="B993" s="47"/>
      <c r="C993" s="46"/>
      <c r="D993" s="47"/>
      <c r="E993" s="46"/>
      <c r="F993" s="47"/>
      <c r="G993" s="46"/>
      <c r="H993" s="50"/>
      <c r="I993" s="51"/>
    </row>
    <row r="994" ht="22.5" customHeight="1">
      <c r="A994" s="42"/>
      <c r="B994" s="47"/>
      <c r="C994" s="46"/>
      <c r="D994" s="47"/>
      <c r="E994" s="46"/>
      <c r="F994" s="47"/>
      <c r="G994" s="46"/>
      <c r="H994" s="48"/>
      <c r="I994" s="49"/>
    </row>
    <row r="995" ht="22.5" customHeight="1">
      <c r="A995" s="42"/>
      <c r="B995" s="47"/>
      <c r="C995" s="46"/>
      <c r="D995" s="47"/>
      <c r="E995" s="46"/>
      <c r="F995" s="47"/>
      <c r="G995" s="46"/>
      <c r="H995" s="50"/>
      <c r="I995" s="51"/>
    </row>
    <row r="996" ht="22.5" customHeight="1">
      <c r="A996" s="42"/>
      <c r="B996" s="47"/>
      <c r="C996" s="46"/>
      <c r="D996" s="47"/>
      <c r="E996" s="46"/>
      <c r="F996" s="47"/>
      <c r="G996" s="46"/>
      <c r="H996" s="48"/>
      <c r="I996" s="49"/>
    </row>
    <row r="997" ht="22.5" customHeight="1">
      <c r="A997" s="42"/>
      <c r="B997" s="47"/>
      <c r="C997" s="46"/>
      <c r="D997" s="47"/>
      <c r="E997" s="46"/>
      <c r="F997" s="47"/>
      <c r="G997" s="46"/>
      <c r="H997" s="50"/>
      <c r="I997" s="51"/>
    </row>
    <row r="998" ht="22.5" customHeight="1">
      <c r="A998" s="42"/>
      <c r="B998" s="47"/>
      <c r="C998" s="46"/>
      <c r="D998" s="47"/>
      <c r="E998" s="46"/>
      <c r="F998" s="47"/>
      <c r="G998" s="46"/>
      <c r="H998" s="48"/>
      <c r="I998" s="49"/>
    </row>
    <row r="999" ht="22.5" customHeight="1">
      <c r="A999" s="42"/>
      <c r="B999" s="47"/>
      <c r="C999" s="46"/>
      <c r="D999" s="47"/>
      <c r="E999" s="46"/>
      <c r="F999" s="47"/>
      <c r="G999" s="46"/>
      <c r="H999" s="50"/>
      <c r="I999" s="51"/>
    </row>
    <row r="1000" ht="22.5" customHeight="1">
      <c r="A1000" s="42"/>
      <c r="B1000" s="47"/>
      <c r="C1000" s="46"/>
      <c r="D1000" s="47"/>
      <c r="E1000" s="46"/>
      <c r="F1000" s="47"/>
      <c r="G1000" s="46"/>
      <c r="H1000" s="48"/>
      <c r="I1000" s="49"/>
    </row>
    <row r="1001" ht="22.5" customHeight="1">
      <c r="A1001" s="42"/>
      <c r="B1001" s="47"/>
      <c r="C1001" s="46"/>
      <c r="D1001" s="47"/>
      <c r="E1001" s="46"/>
      <c r="F1001" s="47"/>
      <c r="G1001" s="46"/>
      <c r="H1001" s="50"/>
      <c r="I1001" s="51"/>
    </row>
    <row r="1002" ht="22.5" customHeight="1">
      <c r="A1002" s="42"/>
      <c r="B1002" s="47"/>
      <c r="C1002" s="46"/>
      <c r="D1002" s="47"/>
      <c r="E1002" s="46"/>
      <c r="F1002" s="47"/>
      <c r="G1002" s="46"/>
      <c r="H1002" s="48"/>
      <c r="I1002" s="49"/>
    </row>
    <row r="1003" ht="22.5" customHeight="1">
      <c r="A1003" s="42"/>
      <c r="B1003" s="47"/>
      <c r="C1003" s="46"/>
      <c r="D1003" s="47"/>
      <c r="E1003" s="46"/>
      <c r="F1003" s="47"/>
      <c r="G1003" s="46"/>
      <c r="H1003" s="50"/>
      <c r="I1003" s="51"/>
    </row>
    <row r="1004" ht="22.5" customHeight="1">
      <c r="A1004" s="42"/>
      <c r="B1004" s="47"/>
      <c r="C1004" s="46"/>
      <c r="D1004" s="47"/>
      <c r="E1004" s="46"/>
      <c r="F1004" s="47"/>
      <c r="G1004" s="46"/>
      <c r="H1004" s="48"/>
      <c r="I1004" s="49"/>
    </row>
    <row r="1005" ht="22.5" customHeight="1">
      <c r="A1005" s="42"/>
      <c r="B1005" s="47"/>
      <c r="C1005" s="46"/>
      <c r="D1005" s="47"/>
      <c r="E1005" s="46"/>
      <c r="F1005" s="47"/>
      <c r="G1005" s="46"/>
      <c r="H1005" s="50"/>
      <c r="I1005" s="51"/>
    </row>
    <row r="1006" ht="22.5" customHeight="1">
      <c r="A1006" s="42"/>
      <c r="B1006" s="47"/>
      <c r="C1006" s="46"/>
      <c r="D1006" s="47"/>
      <c r="E1006" s="46"/>
      <c r="F1006" s="47"/>
      <c r="G1006" s="46"/>
      <c r="H1006" s="48"/>
      <c r="I1006" s="49"/>
    </row>
    <row r="1007" ht="22.5" customHeight="1">
      <c r="A1007" s="42"/>
      <c r="B1007" s="47"/>
      <c r="C1007" s="46"/>
      <c r="D1007" s="47"/>
      <c r="E1007" s="46"/>
      <c r="F1007" s="47"/>
      <c r="G1007" s="46"/>
      <c r="H1007" s="50"/>
      <c r="I1007" s="51"/>
    </row>
    <row r="1008" ht="22.5" customHeight="1">
      <c r="A1008" s="42"/>
      <c r="B1008" s="47"/>
      <c r="C1008" s="46"/>
      <c r="D1008" s="47"/>
      <c r="E1008" s="46"/>
      <c r="F1008" s="47"/>
      <c r="G1008" s="46"/>
      <c r="H1008" s="48"/>
      <c r="I1008" s="49"/>
    </row>
    <row r="1009" ht="22.5" customHeight="1">
      <c r="A1009" s="42"/>
      <c r="B1009" s="47"/>
      <c r="C1009" s="46"/>
      <c r="D1009" s="47"/>
      <c r="E1009" s="46"/>
      <c r="F1009" s="47"/>
      <c r="G1009" s="46"/>
      <c r="H1009" s="50"/>
      <c r="I1009" s="51"/>
    </row>
    <row r="1010" ht="22.5" customHeight="1">
      <c r="A1010" s="42"/>
      <c r="B1010" s="47"/>
      <c r="C1010" s="46"/>
      <c r="D1010" s="47"/>
      <c r="E1010" s="46"/>
      <c r="F1010" s="47"/>
      <c r="G1010" s="46"/>
      <c r="H1010" s="48"/>
      <c r="I1010" s="49"/>
    </row>
    <row r="1011" ht="22.5" customHeight="1">
      <c r="A1011" s="42"/>
      <c r="B1011" s="47"/>
      <c r="C1011" s="46"/>
      <c r="D1011" s="47"/>
      <c r="E1011" s="46"/>
      <c r="F1011" s="47"/>
      <c r="G1011" s="46"/>
      <c r="H1011" s="50"/>
      <c r="I1011" s="51"/>
    </row>
    <row r="1012" ht="22.5" customHeight="1">
      <c r="A1012" s="42"/>
      <c r="B1012" s="47"/>
      <c r="C1012" s="46"/>
      <c r="D1012" s="47"/>
      <c r="E1012" s="46"/>
      <c r="F1012" s="47"/>
      <c r="G1012" s="46"/>
      <c r="H1012" s="48"/>
      <c r="I1012" s="49"/>
    </row>
    <row r="1013" ht="22.5" customHeight="1">
      <c r="A1013" s="42"/>
      <c r="B1013" s="47"/>
      <c r="C1013" s="46"/>
      <c r="D1013" s="47"/>
      <c r="E1013" s="46"/>
      <c r="F1013" s="47"/>
      <c r="G1013" s="46"/>
      <c r="H1013" s="50"/>
      <c r="I1013" s="51"/>
    </row>
    <row r="1014" ht="22.5" customHeight="1">
      <c r="A1014" s="42"/>
      <c r="B1014" s="47"/>
      <c r="C1014" s="46"/>
      <c r="D1014" s="47"/>
      <c r="E1014" s="46"/>
      <c r="F1014" s="47"/>
      <c r="G1014" s="46"/>
      <c r="H1014" s="48"/>
      <c r="I1014" s="49"/>
    </row>
    <row r="1015" ht="22.5" customHeight="1">
      <c r="A1015" s="42"/>
      <c r="B1015" s="47"/>
      <c r="C1015" s="46"/>
      <c r="D1015" s="47"/>
      <c r="E1015" s="46"/>
      <c r="F1015" s="47"/>
      <c r="G1015" s="46"/>
      <c r="H1015" s="50"/>
      <c r="I1015" s="51"/>
    </row>
    <row r="1016" ht="22.5" customHeight="1">
      <c r="A1016" s="42"/>
      <c r="B1016" s="47"/>
      <c r="C1016" s="46"/>
      <c r="D1016" s="47"/>
      <c r="E1016" s="46"/>
      <c r="F1016" s="47"/>
      <c r="G1016" s="46"/>
      <c r="H1016" s="48"/>
      <c r="I1016" s="49"/>
    </row>
    <row r="1017" ht="22.5" customHeight="1">
      <c r="A1017" s="42"/>
      <c r="B1017" s="47"/>
      <c r="C1017" s="46"/>
      <c r="D1017" s="47"/>
      <c r="E1017" s="46"/>
      <c r="F1017" s="47"/>
      <c r="G1017" s="46"/>
      <c r="H1017" s="50"/>
      <c r="I1017" s="51"/>
    </row>
    <row r="1018" ht="22.5" customHeight="1">
      <c r="A1018" s="42"/>
      <c r="B1018" s="47"/>
      <c r="C1018" s="46"/>
      <c r="D1018" s="47"/>
      <c r="E1018" s="46"/>
      <c r="F1018" s="47"/>
      <c r="G1018" s="46"/>
      <c r="H1018" s="48"/>
      <c r="I1018" s="49"/>
    </row>
    <row r="1019" ht="22.5" customHeight="1">
      <c r="A1019" s="42"/>
      <c r="B1019" s="47"/>
      <c r="C1019" s="46"/>
      <c r="D1019" s="47"/>
      <c r="E1019" s="46"/>
      <c r="F1019" s="47"/>
      <c r="G1019" s="46"/>
      <c r="H1019" s="50"/>
      <c r="I1019" s="51"/>
    </row>
    <row r="1020" ht="22.5" customHeight="1">
      <c r="A1020" s="42"/>
      <c r="B1020" s="47"/>
      <c r="C1020" s="46"/>
      <c r="D1020" s="47"/>
      <c r="E1020" s="46"/>
      <c r="F1020" s="47"/>
      <c r="G1020" s="46"/>
      <c r="H1020" s="48"/>
      <c r="I1020" s="49"/>
    </row>
    <row r="1021" ht="22.5" customHeight="1">
      <c r="A1021" s="42"/>
      <c r="B1021" s="47"/>
      <c r="C1021" s="46"/>
      <c r="D1021" s="47"/>
      <c r="E1021" s="46"/>
      <c r="F1021" s="47"/>
      <c r="G1021" s="46"/>
      <c r="H1021" s="50"/>
      <c r="I1021" s="51"/>
    </row>
    <row r="1022" ht="22.5" customHeight="1">
      <c r="A1022" s="42"/>
      <c r="B1022" s="47"/>
      <c r="C1022" s="46"/>
      <c r="D1022" s="47"/>
      <c r="E1022" s="46"/>
      <c r="F1022" s="47"/>
      <c r="G1022" s="46"/>
      <c r="H1022" s="48"/>
      <c r="I1022" s="49"/>
    </row>
    <row r="1023" ht="22.5" customHeight="1">
      <c r="A1023" s="42"/>
      <c r="B1023" s="47"/>
      <c r="C1023" s="46"/>
      <c r="D1023" s="47"/>
      <c r="E1023" s="46"/>
      <c r="F1023" s="47"/>
      <c r="G1023" s="46"/>
      <c r="H1023" s="50"/>
      <c r="I1023" s="51"/>
    </row>
    <row r="1024" ht="22.5" customHeight="1">
      <c r="A1024" s="42"/>
      <c r="B1024" s="47"/>
      <c r="C1024" s="46"/>
      <c r="D1024" s="47"/>
      <c r="E1024" s="46"/>
      <c r="F1024" s="47"/>
      <c r="G1024" s="46"/>
      <c r="H1024" s="48"/>
      <c r="I1024" s="49"/>
    </row>
    <row r="1025" ht="22.5" customHeight="1">
      <c r="A1025" s="42"/>
      <c r="B1025" s="47"/>
      <c r="C1025" s="46"/>
      <c r="D1025" s="47"/>
      <c r="E1025" s="46"/>
      <c r="F1025" s="47"/>
      <c r="G1025" s="46"/>
      <c r="H1025" s="50"/>
      <c r="I1025" s="51"/>
    </row>
    <row r="1026" ht="22.5" customHeight="1">
      <c r="A1026" s="42"/>
      <c r="B1026" s="47"/>
      <c r="C1026" s="46"/>
      <c r="D1026" s="47"/>
      <c r="E1026" s="46"/>
      <c r="F1026" s="47"/>
      <c r="G1026" s="46"/>
      <c r="H1026" s="48"/>
      <c r="I1026" s="49"/>
    </row>
    <row r="1027" ht="22.5" customHeight="1">
      <c r="A1027" s="42"/>
      <c r="B1027" s="47"/>
      <c r="C1027" s="46"/>
      <c r="D1027" s="47"/>
      <c r="E1027" s="46"/>
      <c r="F1027" s="47"/>
      <c r="G1027" s="46"/>
      <c r="H1027" s="50"/>
      <c r="I1027" s="51"/>
    </row>
    <row r="1028" ht="22.5" customHeight="1">
      <c r="A1028" s="42"/>
      <c r="B1028" s="47"/>
      <c r="C1028" s="46"/>
      <c r="D1028" s="47"/>
      <c r="E1028" s="46"/>
      <c r="F1028" s="47"/>
      <c r="G1028" s="46"/>
      <c r="H1028" s="48"/>
      <c r="I1028" s="49"/>
    </row>
    <row r="1029" ht="22.5" customHeight="1">
      <c r="A1029" s="42"/>
      <c r="B1029" s="47"/>
      <c r="C1029" s="46"/>
      <c r="D1029" s="47"/>
      <c r="E1029" s="46"/>
      <c r="F1029" s="47"/>
      <c r="G1029" s="46"/>
      <c r="H1029" s="50"/>
      <c r="I1029" s="51"/>
    </row>
    <row r="1030" ht="22.5" customHeight="1">
      <c r="A1030" s="42"/>
      <c r="B1030" s="47"/>
      <c r="C1030" s="46"/>
      <c r="D1030" s="47"/>
      <c r="E1030" s="46"/>
      <c r="F1030" s="47"/>
      <c r="G1030" s="46"/>
      <c r="H1030" s="48"/>
      <c r="I1030" s="49"/>
    </row>
    <row r="1031" ht="22.5" customHeight="1">
      <c r="A1031" s="42"/>
      <c r="B1031" s="47"/>
      <c r="C1031" s="46"/>
      <c r="D1031" s="47"/>
      <c r="E1031" s="46"/>
      <c r="F1031" s="47"/>
      <c r="G1031" s="46"/>
      <c r="H1031" s="50"/>
      <c r="I1031" s="51"/>
    </row>
    <row r="1032" ht="22.5" customHeight="1">
      <c r="A1032" s="42"/>
      <c r="B1032" s="47"/>
      <c r="C1032" s="46"/>
      <c r="D1032" s="47"/>
      <c r="E1032" s="46"/>
      <c r="F1032" s="47"/>
      <c r="G1032" s="46"/>
      <c r="H1032" s="48"/>
      <c r="I1032" s="49"/>
    </row>
    <row r="1033" ht="22.5" customHeight="1">
      <c r="A1033" s="42"/>
      <c r="B1033" s="47"/>
      <c r="C1033" s="46"/>
      <c r="D1033" s="47"/>
      <c r="E1033" s="46"/>
      <c r="F1033" s="47"/>
      <c r="G1033" s="46"/>
      <c r="H1033" s="50"/>
      <c r="I1033" s="51"/>
    </row>
    <row r="1034" ht="22.5" customHeight="1">
      <c r="A1034" s="42"/>
      <c r="B1034" s="47"/>
      <c r="C1034" s="46"/>
      <c r="D1034" s="47"/>
      <c r="E1034" s="46"/>
      <c r="F1034" s="47"/>
      <c r="G1034" s="46"/>
      <c r="H1034" s="48"/>
      <c r="I1034" s="49"/>
    </row>
    <row r="1035" ht="22.5" customHeight="1">
      <c r="A1035" s="42"/>
      <c r="B1035" s="47"/>
      <c r="C1035" s="46"/>
      <c r="D1035" s="47"/>
      <c r="E1035" s="46"/>
      <c r="F1035" s="47"/>
      <c r="G1035" s="46"/>
      <c r="H1035" s="50"/>
      <c r="I1035" s="51"/>
    </row>
    <row r="1036" ht="22.5" customHeight="1">
      <c r="A1036" s="42"/>
      <c r="B1036" s="47"/>
      <c r="C1036" s="46"/>
      <c r="D1036" s="47"/>
      <c r="E1036" s="46"/>
      <c r="F1036" s="47"/>
      <c r="G1036" s="46"/>
      <c r="H1036" s="48"/>
      <c r="I1036" s="49"/>
    </row>
    <row r="1037" ht="22.5" customHeight="1">
      <c r="A1037" s="42"/>
      <c r="B1037" s="47"/>
      <c r="C1037" s="46"/>
      <c r="D1037" s="47"/>
      <c r="E1037" s="46"/>
      <c r="F1037" s="47"/>
      <c r="G1037" s="46"/>
      <c r="H1037" s="50"/>
      <c r="I1037" s="51"/>
    </row>
    <row r="1038" ht="22.5" customHeight="1">
      <c r="A1038" s="42"/>
      <c r="B1038" s="47"/>
      <c r="C1038" s="46"/>
      <c r="D1038" s="47"/>
      <c r="E1038" s="46"/>
      <c r="F1038" s="47"/>
      <c r="G1038" s="46"/>
      <c r="H1038" s="48"/>
      <c r="I1038" s="49"/>
    </row>
    <row r="1039" ht="22.5" customHeight="1">
      <c r="A1039" s="42"/>
      <c r="B1039" s="47"/>
      <c r="C1039" s="46"/>
      <c r="D1039" s="47"/>
      <c r="E1039" s="46"/>
      <c r="F1039" s="47"/>
      <c r="G1039" s="46"/>
      <c r="H1039" s="50"/>
      <c r="I1039" s="51"/>
    </row>
    <row r="1040" ht="22.5" customHeight="1">
      <c r="A1040" s="42"/>
      <c r="B1040" s="47"/>
      <c r="C1040" s="46"/>
      <c r="D1040" s="47"/>
      <c r="E1040" s="46"/>
      <c r="F1040" s="47"/>
      <c r="G1040" s="46"/>
      <c r="H1040" s="48"/>
      <c r="I1040" s="49"/>
    </row>
    <row r="1041" ht="22.5" customHeight="1">
      <c r="A1041" s="42"/>
      <c r="B1041" s="47"/>
      <c r="C1041" s="46"/>
      <c r="D1041" s="47"/>
      <c r="E1041" s="46"/>
      <c r="F1041" s="47"/>
      <c r="G1041" s="46"/>
      <c r="H1041" s="50"/>
      <c r="I1041" s="51"/>
    </row>
    <row r="1042" ht="22.5" customHeight="1">
      <c r="A1042" s="42"/>
      <c r="B1042" s="47"/>
      <c r="C1042" s="46"/>
      <c r="D1042" s="47"/>
      <c r="E1042" s="46"/>
      <c r="F1042" s="47"/>
      <c r="G1042" s="46"/>
      <c r="H1042" s="48"/>
      <c r="I1042" s="49"/>
    </row>
    <row r="1043" ht="22.5" customHeight="1">
      <c r="A1043" s="42"/>
      <c r="B1043" s="47"/>
      <c r="C1043" s="46"/>
      <c r="D1043" s="47"/>
      <c r="E1043" s="46"/>
      <c r="F1043" s="47"/>
      <c r="G1043" s="46"/>
      <c r="H1043" s="50"/>
      <c r="I1043" s="51"/>
    </row>
    <row r="1044" ht="22.5" customHeight="1">
      <c r="A1044" s="42"/>
      <c r="B1044" s="47"/>
      <c r="C1044" s="46"/>
      <c r="D1044" s="47"/>
      <c r="E1044" s="46"/>
      <c r="F1044" s="47"/>
      <c r="G1044" s="46"/>
      <c r="H1044" s="48"/>
      <c r="I1044" s="49"/>
    </row>
    <row r="1045" ht="22.5" customHeight="1">
      <c r="A1045" s="42"/>
      <c r="B1045" s="47"/>
      <c r="C1045" s="46"/>
      <c r="D1045" s="47"/>
      <c r="E1045" s="46"/>
      <c r="F1045" s="47"/>
      <c r="G1045" s="46"/>
      <c r="H1045" s="50"/>
      <c r="I1045" s="51"/>
    </row>
    <row r="1046" ht="22.5" customHeight="1">
      <c r="A1046" s="42"/>
      <c r="B1046" s="47"/>
      <c r="C1046" s="46"/>
      <c r="D1046" s="47"/>
      <c r="E1046" s="46"/>
      <c r="F1046" s="47"/>
      <c r="G1046" s="46"/>
      <c r="H1046" s="48"/>
      <c r="I1046" s="49"/>
    </row>
    <row r="1047" ht="22.5" customHeight="1">
      <c r="A1047" s="42"/>
      <c r="B1047" s="47"/>
      <c r="C1047" s="46"/>
      <c r="D1047" s="47"/>
      <c r="E1047" s="46"/>
      <c r="F1047" s="47"/>
      <c r="G1047" s="46"/>
      <c r="H1047" s="50"/>
      <c r="I1047" s="51"/>
    </row>
    <row r="1048" ht="22.5" customHeight="1">
      <c r="A1048" s="42"/>
      <c r="B1048" s="47"/>
      <c r="C1048" s="46"/>
      <c r="D1048" s="47"/>
      <c r="E1048" s="46"/>
      <c r="F1048" s="47"/>
      <c r="G1048" s="46"/>
      <c r="H1048" s="48"/>
      <c r="I1048" s="49"/>
    </row>
    <row r="1049" ht="22.5" customHeight="1">
      <c r="A1049" s="42"/>
      <c r="B1049" s="47"/>
      <c r="C1049" s="46"/>
      <c r="D1049" s="47"/>
      <c r="E1049" s="46"/>
      <c r="F1049" s="47"/>
      <c r="G1049" s="46"/>
      <c r="H1049" s="50"/>
      <c r="I1049" s="51"/>
    </row>
    <row r="1050" ht="22.5" customHeight="1">
      <c r="A1050" s="42"/>
      <c r="B1050" s="47"/>
      <c r="C1050" s="46"/>
      <c r="D1050" s="47"/>
      <c r="E1050" s="46"/>
      <c r="F1050" s="47"/>
      <c r="G1050" s="46"/>
      <c r="H1050" s="48"/>
      <c r="I1050" s="49"/>
    </row>
    <row r="1051" ht="22.5" customHeight="1">
      <c r="A1051" s="42"/>
      <c r="B1051" s="47"/>
      <c r="C1051" s="46"/>
      <c r="D1051" s="47"/>
      <c r="E1051" s="46"/>
      <c r="F1051" s="47"/>
      <c r="G1051" s="46"/>
      <c r="H1051" s="50"/>
      <c r="I1051" s="51"/>
    </row>
    <row r="1052" ht="22.5" customHeight="1">
      <c r="A1052" s="42"/>
      <c r="B1052" s="47"/>
      <c r="C1052" s="46"/>
      <c r="D1052" s="47"/>
      <c r="E1052" s="46"/>
      <c r="F1052" s="47"/>
      <c r="G1052" s="46"/>
      <c r="H1052" s="48"/>
      <c r="I1052" s="49"/>
    </row>
    <row r="1053" ht="22.5" customHeight="1">
      <c r="A1053" s="42"/>
      <c r="B1053" s="47"/>
      <c r="C1053" s="46"/>
      <c r="D1053" s="47"/>
      <c r="E1053" s="46"/>
      <c r="F1053" s="47"/>
      <c r="G1053" s="46"/>
      <c r="H1053" s="50"/>
      <c r="I1053" s="51"/>
    </row>
    <row r="1054" ht="22.5" customHeight="1">
      <c r="A1054" s="42"/>
      <c r="B1054" s="47"/>
      <c r="C1054" s="46"/>
      <c r="D1054" s="47"/>
      <c r="E1054" s="46"/>
      <c r="F1054" s="47"/>
      <c r="G1054" s="46"/>
      <c r="H1054" s="48"/>
      <c r="I1054" s="49"/>
    </row>
    <row r="1055" ht="22.5" customHeight="1">
      <c r="A1055" s="42"/>
      <c r="B1055" s="47"/>
      <c r="C1055" s="46"/>
      <c r="D1055" s="47"/>
      <c r="E1055" s="46"/>
      <c r="F1055" s="47"/>
      <c r="G1055" s="46"/>
      <c r="H1055" s="50"/>
      <c r="I1055" s="51"/>
    </row>
    <row r="1056" ht="22.5" customHeight="1">
      <c r="A1056" s="42"/>
      <c r="B1056" s="47"/>
      <c r="C1056" s="46"/>
      <c r="D1056" s="47"/>
      <c r="E1056" s="46"/>
      <c r="F1056" s="47"/>
      <c r="G1056" s="46"/>
      <c r="H1056" s="48"/>
      <c r="I1056" s="49"/>
    </row>
    <row r="1057" ht="22.5" customHeight="1">
      <c r="A1057" s="42"/>
      <c r="B1057" s="47"/>
      <c r="C1057" s="46"/>
      <c r="D1057" s="47"/>
      <c r="E1057" s="46"/>
      <c r="F1057" s="47"/>
      <c r="G1057" s="46"/>
      <c r="H1057" s="50"/>
      <c r="I1057" s="51"/>
    </row>
    <row r="1058" ht="22.5" customHeight="1">
      <c r="A1058" s="42"/>
      <c r="B1058" s="47"/>
      <c r="C1058" s="46"/>
      <c r="D1058" s="47"/>
      <c r="E1058" s="46"/>
      <c r="F1058" s="47"/>
      <c r="G1058" s="46"/>
      <c r="H1058" s="48"/>
      <c r="I1058" s="49"/>
    </row>
    <row r="1059" ht="22.5" customHeight="1">
      <c r="A1059" s="42"/>
      <c r="B1059" s="47"/>
      <c r="C1059" s="46"/>
      <c r="D1059" s="47"/>
      <c r="E1059" s="46"/>
      <c r="F1059" s="47"/>
      <c r="G1059" s="46"/>
      <c r="H1059" s="50"/>
      <c r="I1059" s="51"/>
    </row>
    <row r="1060" ht="22.5" customHeight="1">
      <c r="A1060" s="42"/>
      <c r="B1060" s="47"/>
      <c r="C1060" s="46"/>
      <c r="D1060" s="47"/>
      <c r="E1060" s="46"/>
      <c r="F1060" s="47"/>
      <c r="G1060" s="46"/>
      <c r="H1060" s="48"/>
      <c r="I1060" s="49"/>
    </row>
    <row r="1061" ht="22.5" customHeight="1">
      <c r="A1061" s="42"/>
      <c r="B1061" s="47"/>
      <c r="C1061" s="46"/>
      <c r="D1061" s="47"/>
      <c r="E1061" s="46"/>
      <c r="F1061" s="47"/>
      <c r="G1061" s="46"/>
      <c r="H1061" s="50"/>
      <c r="I1061" s="51"/>
    </row>
    <row r="1062" ht="22.5" customHeight="1">
      <c r="A1062" s="42"/>
      <c r="B1062" s="47"/>
      <c r="C1062" s="46"/>
      <c r="D1062" s="47"/>
      <c r="E1062" s="46"/>
      <c r="F1062" s="47"/>
      <c r="G1062" s="46"/>
      <c r="H1062" s="48"/>
      <c r="I1062" s="49"/>
    </row>
    <row r="1063" ht="22.5" customHeight="1">
      <c r="A1063" s="42"/>
      <c r="B1063" s="47"/>
      <c r="C1063" s="46"/>
      <c r="D1063" s="47"/>
      <c r="E1063" s="46"/>
      <c r="F1063" s="47"/>
      <c r="G1063" s="46"/>
      <c r="H1063" s="50"/>
      <c r="I1063" s="51"/>
    </row>
    <row r="1064" ht="22.5" customHeight="1">
      <c r="A1064" s="42"/>
      <c r="B1064" s="47"/>
      <c r="C1064" s="46"/>
      <c r="D1064" s="47"/>
      <c r="E1064" s="46"/>
      <c r="F1064" s="47"/>
      <c r="G1064" s="46"/>
      <c r="H1064" s="48"/>
      <c r="I1064" s="49"/>
    </row>
    <row r="1065" ht="22.5" customHeight="1">
      <c r="A1065" s="42"/>
      <c r="B1065" s="47"/>
      <c r="C1065" s="46"/>
      <c r="D1065" s="47"/>
      <c r="E1065" s="46"/>
      <c r="F1065" s="47"/>
      <c r="G1065" s="46"/>
      <c r="H1065" s="50"/>
      <c r="I1065" s="51"/>
    </row>
    <row r="1066" ht="22.5" customHeight="1">
      <c r="A1066" s="42"/>
      <c r="B1066" s="47"/>
      <c r="C1066" s="46"/>
      <c r="D1066" s="47"/>
      <c r="E1066" s="46"/>
      <c r="F1066" s="47"/>
      <c r="G1066" s="46"/>
      <c r="H1066" s="48"/>
      <c r="I1066" s="49"/>
    </row>
    <row r="1067" ht="22.5" customHeight="1">
      <c r="A1067" s="42"/>
      <c r="B1067" s="47"/>
      <c r="C1067" s="46"/>
      <c r="D1067" s="47"/>
      <c r="E1067" s="46"/>
      <c r="F1067" s="47"/>
      <c r="G1067" s="46"/>
      <c r="H1067" s="50"/>
      <c r="I1067" s="51"/>
    </row>
    <row r="1068" ht="22.5" customHeight="1">
      <c r="A1068" s="42"/>
      <c r="B1068" s="47"/>
      <c r="C1068" s="46"/>
      <c r="D1068" s="47"/>
      <c r="E1068" s="46"/>
      <c r="F1068" s="47"/>
      <c r="G1068" s="46"/>
      <c r="H1068" s="48"/>
      <c r="I1068" s="49"/>
    </row>
    <row r="1069" ht="22.5" customHeight="1">
      <c r="A1069" s="42"/>
      <c r="B1069" s="47"/>
      <c r="C1069" s="46"/>
      <c r="D1069" s="47"/>
      <c r="E1069" s="46"/>
      <c r="F1069" s="47"/>
      <c r="G1069" s="46"/>
      <c r="H1069" s="50"/>
      <c r="I1069" s="51"/>
    </row>
    <row r="1070" ht="22.5" customHeight="1">
      <c r="A1070" s="42"/>
      <c r="B1070" s="47"/>
      <c r="C1070" s="46"/>
      <c r="D1070" s="47"/>
      <c r="E1070" s="46"/>
      <c r="F1070" s="47"/>
      <c r="G1070" s="46"/>
      <c r="H1070" s="48"/>
      <c r="I1070" s="49"/>
    </row>
    <row r="1071" ht="22.5" customHeight="1">
      <c r="A1071" s="42"/>
      <c r="B1071" s="47"/>
      <c r="C1071" s="46"/>
      <c r="D1071" s="47"/>
      <c r="E1071" s="46"/>
      <c r="F1071" s="47"/>
      <c r="G1071" s="46"/>
      <c r="H1071" s="50"/>
      <c r="I1071" s="51"/>
    </row>
    <row r="1072" ht="22.5" customHeight="1">
      <c r="A1072" s="42"/>
      <c r="B1072" s="47"/>
      <c r="C1072" s="46"/>
      <c r="D1072" s="47"/>
      <c r="E1072" s="46"/>
      <c r="F1072" s="47"/>
      <c r="G1072" s="46"/>
      <c r="H1072" s="48"/>
      <c r="I1072" s="49"/>
    </row>
    <row r="1073" ht="22.5" customHeight="1">
      <c r="A1073" s="42"/>
      <c r="B1073" s="47"/>
      <c r="C1073" s="46"/>
      <c r="D1073" s="47"/>
      <c r="E1073" s="46"/>
      <c r="F1073" s="47"/>
      <c r="G1073" s="46"/>
      <c r="H1073" s="50"/>
      <c r="I1073" s="51"/>
    </row>
    <row r="1074" ht="22.5" customHeight="1">
      <c r="A1074" s="42"/>
      <c r="B1074" s="47"/>
      <c r="C1074" s="46"/>
      <c r="D1074" s="47"/>
      <c r="E1074" s="46"/>
      <c r="F1074" s="47"/>
      <c r="G1074" s="46"/>
      <c r="H1074" s="48"/>
      <c r="I1074" s="49"/>
    </row>
    <row r="1075" ht="22.5" customHeight="1">
      <c r="A1075" s="42"/>
      <c r="B1075" s="47"/>
      <c r="C1075" s="46"/>
      <c r="D1075" s="47"/>
      <c r="E1075" s="46"/>
      <c r="F1075" s="47"/>
      <c r="G1075" s="46"/>
      <c r="H1075" s="50"/>
      <c r="I1075" s="51"/>
    </row>
    <row r="1076" ht="22.5" customHeight="1">
      <c r="A1076" s="42"/>
      <c r="B1076" s="47"/>
      <c r="C1076" s="46"/>
      <c r="D1076" s="47"/>
      <c r="E1076" s="46"/>
      <c r="F1076" s="47"/>
      <c r="G1076" s="46"/>
      <c r="H1076" s="48"/>
      <c r="I1076" s="49"/>
    </row>
    <row r="1077" ht="22.5" customHeight="1">
      <c r="A1077" s="42"/>
      <c r="B1077" s="47"/>
      <c r="C1077" s="46"/>
      <c r="D1077" s="47"/>
      <c r="E1077" s="46"/>
      <c r="F1077" s="47"/>
      <c r="G1077" s="46"/>
      <c r="H1077" s="50"/>
      <c r="I1077" s="51"/>
    </row>
    <row r="1078" ht="22.5" customHeight="1">
      <c r="A1078" s="42"/>
      <c r="B1078" s="47"/>
      <c r="C1078" s="46"/>
      <c r="D1078" s="47"/>
      <c r="E1078" s="46"/>
      <c r="F1078" s="47"/>
      <c r="G1078" s="46"/>
      <c r="H1078" s="48"/>
      <c r="I1078" s="49"/>
    </row>
    <row r="1079" ht="22.5" customHeight="1">
      <c r="A1079" s="42"/>
      <c r="B1079" s="47"/>
      <c r="C1079" s="46"/>
      <c r="D1079" s="47"/>
      <c r="E1079" s="46"/>
      <c r="F1079" s="47"/>
      <c r="G1079" s="46"/>
      <c r="H1079" s="50"/>
      <c r="I1079" s="51"/>
    </row>
    <row r="1080" ht="22.5" customHeight="1">
      <c r="A1080" s="42"/>
      <c r="B1080" s="47"/>
      <c r="C1080" s="46"/>
      <c r="D1080" s="47"/>
      <c r="E1080" s="46"/>
      <c r="F1080" s="47"/>
      <c r="G1080" s="46"/>
      <c r="H1080" s="48"/>
      <c r="I1080" s="49"/>
    </row>
    <row r="1081" ht="22.5" customHeight="1">
      <c r="A1081" s="42"/>
      <c r="B1081" s="47"/>
      <c r="C1081" s="46"/>
      <c r="D1081" s="47"/>
      <c r="E1081" s="46"/>
      <c r="F1081" s="47"/>
      <c r="G1081" s="46"/>
      <c r="H1081" s="50"/>
      <c r="I1081" s="51"/>
    </row>
    <row r="1082" ht="22.5" customHeight="1">
      <c r="A1082" s="42"/>
      <c r="B1082" s="47"/>
      <c r="C1082" s="46"/>
      <c r="D1082" s="47"/>
      <c r="E1082" s="46"/>
      <c r="F1082" s="47"/>
      <c r="G1082" s="46"/>
      <c r="H1082" s="48"/>
      <c r="I1082" s="49"/>
    </row>
    <row r="1083" ht="22.5" customHeight="1">
      <c r="A1083" s="42"/>
      <c r="B1083" s="47"/>
      <c r="C1083" s="46"/>
      <c r="D1083" s="47"/>
      <c r="E1083" s="46"/>
      <c r="F1083" s="47"/>
      <c r="G1083" s="46"/>
      <c r="H1083" s="50"/>
      <c r="I1083" s="51"/>
    </row>
    <row r="1084" ht="22.5" customHeight="1">
      <c r="A1084" s="42"/>
      <c r="B1084" s="47"/>
      <c r="C1084" s="46"/>
      <c r="D1084" s="47"/>
      <c r="E1084" s="46"/>
      <c r="F1084" s="47"/>
      <c r="G1084" s="46"/>
      <c r="H1084" s="48"/>
      <c r="I1084" s="49"/>
    </row>
    <row r="1085" ht="22.5" customHeight="1">
      <c r="A1085" s="42"/>
      <c r="B1085" s="47"/>
      <c r="C1085" s="46"/>
      <c r="D1085" s="47"/>
      <c r="E1085" s="46"/>
      <c r="F1085" s="47"/>
      <c r="G1085" s="46"/>
      <c r="H1085" s="50"/>
      <c r="I1085" s="51"/>
    </row>
    <row r="1086" ht="22.5" customHeight="1">
      <c r="A1086" s="42"/>
      <c r="B1086" s="47"/>
      <c r="C1086" s="46"/>
      <c r="D1086" s="47"/>
      <c r="E1086" s="46"/>
      <c r="F1086" s="47"/>
      <c r="G1086" s="46"/>
      <c r="H1086" s="48"/>
      <c r="I1086" s="49"/>
    </row>
    <row r="1087" ht="22.5" customHeight="1">
      <c r="A1087" s="42"/>
      <c r="B1087" s="47"/>
      <c r="C1087" s="46"/>
      <c r="D1087" s="47"/>
      <c r="E1087" s="46"/>
      <c r="F1087" s="47"/>
      <c r="G1087" s="46"/>
      <c r="H1087" s="50"/>
      <c r="I1087" s="51"/>
    </row>
    <row r="1088" ht="22.5" customHeight="1">
      <c r="A1088" s="42"/>
      <c r="B1088" s="47"/>
      <c r="C1088" s="46"/>
      <c r="D1088" s="47"/>
      <c r="E1088" s="46"/>
      <c r="F1088" s="47"/>
      <c r="G1088" s="46"/>
      <c r="H1088" s="48"/>
      <c r="I1088" s="49"/>
    </row>
    <row r="1089" ht="22.5" customHeight="1">
      <c r="A1089" s="42"/>
      <c r="B1089" s="47"/>
      <c r="C1089" s="46"/>
      <c r="D1089" s="47"/>
      <c r="E1089" s="46"/>
      <c r="F1089" s="47"/>
      <c r="G1089" s="46"/>
      <c r="H1089" s="50"/>
      <c r="I1089" s="51"/>
    </row>
    <row r="1090" ht="22.5" customHeight="1">
      <c r="A1090" s="42"/>
      <c r="B1090" s="47"/>
      <c r="C1090" s="46"/>
      <c r="D1090" s="47"/>
      <c r="E1090" s="46"/>
      <c r="F1090" s="47"/>
      <c r="G1090" s="46"/>
      <c r="H1090" s="48"/>
      <c r="I1090" s="49"/>
    </row>
    <row r="1091" ht="22.5" customHeight="1">
      <c r="A1091" s="42"/>
      <c r="B1091" s="47"/>
      <c r="C1091" s="46"/>
      <c r="D1091" s="47"/>
      <c r="E1091" s="46"/>
      <c r="F1091" s="47"/>
      <c r="G1091" s="46"/>
      <c r="H1091" s="50"/>
      <c r="I1091" s="51"/>
    </row>
    <row r="1092" ht="22.5" customHeight="1">
      <c r="A1092" s="42"/>
      <c r="B1092" s="47"/>
      <c r="C1092" s="46"/>
      <c r="D1092" s="47"/>
      <c r="E1092" s="46"/>
      <c r="F1092" s="47"/>
      <c r="G1092" s="46"/>
      <c r="H1092" s="48"/>
      <c r="I1092" s="49"/>
    </row>
    <row r="1093" ht="22.5" customHeight="1">
      <c r="A1093" s="42"/>
      <c r="B1093" s="47"/>
      <c r="C1093" s="46"/>
      <c r="D1093" s="47"/>
      <c r="E1093" s="46"/>
      <c r="F1093" s="47"/>
      <c r="G1093" s="46"/>
      <c r="H1093" s="50"/>
      <c r="I1093" s="51"/>
    </row>
    <row r="1094" ht="22.5" customHeight="1">
      <c r="A1094" s="42"/>
      <c r="B1094" s="47"/>
      <c r="C1094" s="46"/>
      <c r="D1094" s="47"/>
      <c r="E1094" s="46"/>
      <c r="F1094" s="47"/>
      <c r="G1094" s="46"/>
      <c r="H1094" s="48"/>
      <c r="I1094" s="49"/>
    </row>
    <row r="1095" ht="22.5" customHeight="1">
      <c r="A1095" s="42"/>
      <c r="B1095" s="47"/>
      <c r="C1095" s="46"/>
      <c r="D1095" s="47"/>
      <c r="E1095" s="46"/>
      <c r="F1095" s="47"/>
      <c r="G1095" s="46"/>
      <c r="H1095" s="50"/>
      <c r="I1095" s="51"/>
    </row>
    <row r="1096" ht="22.5" customHeight="1">
      <c r="A1096" s="42"/>
      <c r="B1096" s="47"/>
      <c r="C1096" s="46"/>
      <c r="D1096" s="47"/>
      <c r="E1096" s="46"/>
      <c r="F1096" s="47"/>
      <c r="G1096" s="46"/>
      <c r="H1096" s="48"/>
      <c r="I1096" s="49"/>
    </row>
    <row r="1097" ht="22.5" customHeight="1">
      <c r="A1097" s="42"/>
      <c r="B1097" s="47"/>
      <c r="C1097" s="46"/>
      <c r="D1097" s="47"/>
      <c r="E1097" s="46"/>
      <c r="F1097" s="47"/>
      <c r="G1097" s="46"/>
      <c r="H1097" s="50"/>
      <c r="I1097" s="51"/>
    </row>
    <row r="1098" ht="22.5" customHeight="1">
      <c r="A1098" s="42"/>
      <c r="B1098" s="47"/>
      <c r="C1098" s="46"/>
      <c r="D1098" s="47"/>
      <c r="E1098" s="46"/>
      <c r="F1098" s="47"/>
      <c r="G1098" s="46"/>
      <c r="H1098" s="48"/>
      <c r="I1098" s="49"/>
    </row>
    <row r="1099" ht="22.5" customHeight="1">
      <c r="A1099" s="42"/>
      <c r="B1099" s="47"/>
      <c r="C1099" s="46"/>
      <c r="D1099" s="47"/>
      <c r="E1099" s="46"/>
      <c r="F1099" s="47"/>
      <c r="G1099" s="46"/>
      <c r="H1099" s="50"/>
      <c r="I1099" s="51"/>
    </row>
    <row r="1100" ht="22.5" customHeight="1">
      <c r="A1100" s="42"/>
      <c r="B1100" s="47"/>
      <c r="C1100" s="46"/>
      <c r="D1100" s="47"/>
      <c r="E1100" s="46"/>
      <c r="F1100" s="47"/>
      <c r="G1100" s="46"/>
      <c r="H1100" s="48"/>
      <c r="I1100" s="49"/>
    </row>
    <row r="1101" ht="22.5" customHeight="1">
      <c r="A1101" s="42"/>
      <c r="B1101" s="47"/>
      <c r="C1101" s="46"/>
      <c r="D1101" s="47"/>
      <c r="E1101" s="46"/>
      <c r="F1101" s="47"/>
      <c r="G1101" s="46"/>
      <c r="H1101" s="50"/>
      <c r="I1101" s="51"/>
    </row>
    <row r="1102" ht="22.5" customHeight="1">
      <c r="A1102" s="42"/>
      <c r="B1102" s="47"/>
      <c r="C1102" s="46"/>
      <c r="D1102" s="47"/>
      <c r="E1102" s="46"/>
      <c r="F1102" s="47"/>
      <c r="G1102" s="46"/>
      <c r="H1102" s="48"/>
      <c r="I1102" s="49"/>
    </row>
    <row r="1103" ht="22.5" customHeight="1">
      <c r="A1103" s="42"/>
      <c r="B1103" s="47"/>
      <c r="C1103" s="46"/>
      <c r="D1103" s="47"/>
      <c r="E1103" s="46"/>
      <c r="F1103" s="47"/>
      <c r="G1103" s="46"/>
      <c r="H1103" s="50"/>
      <c r="I1103" s="51"/>
    </row>
    <row r="1104" ht="22.5" customHeight="1">
      <c r="A1104" s="42"/>
      <c r="B1104" s="47"/>
      <c r="C1104" s="46"/>
      <c r="D1104" s="47"/>
      <c r="E1104" s="46"/>
      <c r="F1104" s="47"/>
      <c r="G1104" s="46"/>
      <c r="H1104" s="48"/>
      <c r="I1104" s="49"/>
    </row>
    <row r="1105" ht="22.5" customHeight="1">
      <c r="A1105" s="42"/>
      <c r="B1105" s="47"/>
      <c r="C1105" s="46"/>
      <c r="D1105" s="47"/>
      <c r="E1105" s="46"/>
      <c r="F1105" s="47"/>
      <c r="G1105" s="46"/>
      <c r="H1105" s="50"/>
      <c r="I1105" s="51"/>
    </row>
    <row r="1106" ht="22.5" customHeight="1">
      <c r="A1106" s="42"/>
      <c r="B1106" s="47"/>
      <c r="C1106" s="46"/>
      <c r="D1106" s="47"/>
      <c r="E1106" s="46"/>
      <c r="F1106" s="47"/>
      <c r="G1106" s="46"/>
      <c r="H1106" s="48"/>
      <c r="I1106" s="49"/>
    </row>
    <row r="1107" ht="22.5" customHeight="1">
      <c r="A1107" s="42"/>
      <c r="B1107" s="47"/>
      <c r="C1107" s="46"/>
      <c r="D1107" s="47"/>
      <c r="E1107" s="46"/>
      <c r="F1107" s="47"/>
      <c r="G1107" s="46"/>
      <c r="H1107" s="50"/>
      <c r="I1107" s="51"/>
    </row>
    <row r="1108" ht="22.5" customHeight="1">
      <c r="A1108" s="42"/>
      <c r="B1108" s="47"/>
      <c r="C1108" s="46"/>
      <c r="D1108" s="47"/>
      <c r="E1108" s="46"/>
      <c r="F1108" s="47"/>
      <c r="G1108" s="46"/>
      <c r="H1108" s="48"/>
      <c r="I1108" s="49"/>
    </row>
    <row r="1109" ht="22.5" customHeight="1">
      <c r="A1109" s="42"/>
      <c r="B1109" s="47"/>
      <c r="C1109" s="46"/>
      <c r="D1109" s="47"/>
      <c r="E1109" s="46"/>
      <c r="F1109" s="47"/>
      <c r="G1109" s="46"/>
      <c r="H1109" s="50"/>
      <c r="I1109" s="51"/>
    </row>
    <row r="1110" ht="22.5" customHeight="1">
      <c r="A1110" s="42"/>
      <c r="B1110" s="47"/>
      <c r="C1110" s="46"/>
      <c r="D1110" s="47"/>
      <c r="E1110" s="46"/>
      <c r="F1110" s="47"/>
      <c r="G1110" s="46"/>
      <c r="H1110" s="48"/>
      <c r="I1110" s="49"/>
    </row>
    <row r="1111" ht="22.5" customHeight="1">
      <c r="A1111" s="42"/>
      <c r="B1111" s="47"/>
      <c r="C1111" s="46"/>
      <c r="D1111" s="47"/>
      <c r="E1111" s="46"/>
      <c r="F1111" s="47"/>
      <c r="G1111" s="46"/>
      <c r="H1111" s="50"/>
      <c r="I1111" s="51"/>
    </row>
    <row r="1112" ht="22.5" customHeight="1">
      <c r="A1112" s="42"/>
      <c r="B1112" s="47"/>
      <c r="C1112" s="46"/>
      <c r="D1112" s="47"/>
      <c r="E1112" s="46"/>
      <c r="F1112" s="47"/>
      <c r="G1112" s="46"/>
      <c r="H1112" s="48"/>
      <c r="I1112" s="49"/>
    </row>
    <row r="1113" ht="22.5" customHeight="1">
      <c r="A1113" s="42"/>
      <c r="B1113" s="47"/>
      <c r="C1113" s="46"/>
      <c r="D1113" s="47"/>
      <c r="E1113" s="46"/>
      <c r="F1113" s="47"/>
      <c r="G1113" s="46"/>
      <c r="H1113" s="50"/>
      <c r="I1113" s="51"/>
    </row>
    <row r="1114" ht="22.5" customHeight="1">
      <c r="A1114" s="42"/>
      <c r="B1114" s="47"/>
      <c r="C1114" s="46"/>
      <c r="D1114" s="47"/>
      <c r="E1114" s="46"/>
      <c r="F1114" s="47"/>
      <c r="G1114" s="46"/>
      <c r="H1114" s="48"/>
      <c r="I1114" s="49"/>
    </row>
    <row r="1115" ht="22.5" customHeight="1">
      <c r="A1115" s="42"/>
      <c r="B1115" s="47"/>
      <c r="C1115" s="46"/>
      <c r="D1115" s="47"/>
      <c r="E1115" s="46"/>
      <c r="F1115" s="47"/>
      <c r="G1115" s="46"/>
      <c r="H1115" s="50"/>
      <c r="I1115" s="51"/>
    </row>
    <row r="1116" ht="22.5" customHeight="1">
      <c r="A1116" s="42"/>
      <c r="B1116" s="47"/>
      <c r="C1116" s="46"/>
      <c r="D1116" s="47"/>
      <c r="E1116" s="46"/>
      <c r="F1116" s="47"/>
      <c r="G1116" s="46"/>
      <c r="H1116" s="48"/>
      <c r="I1116" s="49"/>
    </row>
    <row r="1117" ht="22.5" customHeight="1">
      <c r="A1117" s="42"/>
      <c r="B1117" s="47"/>
      <c r="C1117" s="46"/>
      <c r="D1117" s="47"/>
      <c r="E1117" s="46"/>
      <c r="F1117" s="47"/>
      <c r="G1117" s="46"/>
      <c r="H1117" s="50"/>
      <c r="I1117" s="51"/>
    </row>
    <row r="1118" ht="22.5" customHeight="1">
      <c r="A1118" s="42"/>
      <c r="B1118" s="47"/>
      <c r="C1118" s="46"/>
      <c r="D1118" s="47"/>
      <c r="E1118" s="46"/>
      <c r="F1118" s="47"/>
      <c r="G1118" s="46"/>
      <c r="H1118" s="48"/>
      <c r="I1118" s="49"/>
    </row>
    <row r="1119" ht="22.5" customHeight="1">
      <c r="A1119" s="42"/>
      <c r="B1119" s="47"/>
      <c r="C1119" s="46"/>
      <c r="D1119" s="47"/>
      <c r="E1119" s="46"/>
      <c r="F1119" s="47"/>
      <c r="G1119" s="46"/>
      <c r="H1119" s="50"/>
      <c r="I1119" s="51"/>
    </row>
    <row r="1120" ht="22.5" customHeight="1">
      <c r="A1120" s="42"/>
      <c r="B1120" s="47"/>
      <c r="C1120" s="46"/>
      <c r="D1120" s="47"/>
      <c r="E1120" s="46"/>
      <c r="F1120" s="47"/>
      <c r="G1120" s="46"/>
      <c r="H1120" s="48"/>
      <c r="I1120" s="49"/>
    </row>
    <row r="1121" ht="22.5" customHeight="1">
      <c r="A1121" s="42"/>
      <c r="B1121" s="47"/>
      <c r="C1121" s="46"/>
      <c r="D1121" s="47"/>
      <c r="E1121" s="46"/>
      <c r="F1121" s="47"/>
      <c r="G1121" s="46"/>
      <c r="H1121" s="50"/>
      <c r="I1121" s="51"/>
    </row>
    <row r="1122" ht="22.5" customHeight="1">
      <c r="A1122" s="42"/>
      <c r="B1122" s="47"/>
      <c r="C1122" s="46"/>
      <c r="D1122" s="47"/>
      <c r="E1122" s="46"/>
      <c r="F1122" s="47"/>
      <c r="G1122" s="46"/>
      <c r="H1122" s="48"/>
      <c r="I1122" s="49"/>
    </row>
    <row r="1123" ht="22.5" customHeight="1">
      <c r="A1123" s="42"/>
      <c r="B1123" s="47"/>
      <c r="C1123" s="46"/>
      <c r="D1123" s="47"/>
      <c r="E1123" s="46"/>
      <c r="F1123" s="47"/>
      <c r="G1123" s="46"/>
      <c r="H1123" s="50"/>
      <c r="I1123" s="51"/>
    </row>
    <row r="1124" ht="22.5" customHeight="1">
      <c r="A1124" s="42"/>
      <c r="B1124" s="47"/>
      <c r="C1124" s="46"/>
      <c r="D1124" s="47"/>
      <c r="E1124" s="46"/>
      <c r="F1124" s="47"/>
      <c r="G1124" s="46"/>
      <c r="H1124" s="48"/>
      <c r="I1124" s="49"/>
    </row>
    <row r="1125" ht="22.5" customHeight="1">
      <c r="A1125" s="42"/>
      <c r="B1125" s="47"/>
      <c r="C1125" s="46"/>
      <c r="D1125" s="47"/>
      <c r="E1125" s="46"/>
      <c r="F1125" s="47"/>
      <c r="G1125" s="46"/>
      <c r="H1125" s="50"/>
      <c r="I1125" s="51"/>
    </row>
    <row r="1126" ht="22.5" customHeight="1">
      <c r="A1126" s="42"/>
      <c r="B1126" s="47"/>
      <c r="C1126" s="46"/>
      <c r="D1126" s="47"/>
      <c r="E1126" s="46"/>
      <c r="F1126" s="47"/>
      <c r="G1126" s="46"/>
      <c r="H1126" s="48"/>
      <c r="I1126" s="49"/>
    </row>
    <row r="1127" ht="22.5" customHeight="1">
      <c r="A1127" s="42"/>
      <c r="B1127" s="47"/>
      <c r="C1127" s="46"/>
      <c r="D1127" s="47"/>
      <c r="E1127" s="46"/>
      <c r="F1127" s="47"/>
      <c r="G1127" s="46"/>
      <c r="H1127" s="50"/>
      <c r="I1127" s="51"/>
    </row>
    <row r="1128" ht="22.5" customHeight="1">
      <c r="A1128" s="42"/>
      <c r="B1128" s="47"/>
      <c r="C1128" s="46"/>
      <c r="D1128" s="47"/>
      <c r="E1128" s="46"/>
      <c r="F1128" s="47"/>
      <c r="G1128" s="46"/>
      <c r="H1128" s="48"/>
      <c r="I1128" s="49"/>
    </row>
    <row r="1129" ht="22.5" customHeight="1">
      <c r="A1129" s="42"/>
      <c r="B1129" s="47"/>
      <c r="C1129" s="46"/>
      <c r="D1129" s="47"/>
      <c r="E1129" s="46"/>
      <c r="F1129" s="47"/>
      <c r="G1129" s="46"/>
      <c r="H1129" s="50"/>
      <c r="I1129" s="51"/>
    </row>
    <row r="1130" ht="22.5" customHeight="1">
      <c r="A1130" s="42"/>
      <c r="B1130" s="47"/>
      <c r="C1130" s="46"/>
      <c r="D1130" s="47"/>
      <c r="E1130" s="46"/>
      <c r="F1130" s="47"/>
      <c r="G1130" s="46"/>
      <c r="H1130" s="48"/>
      <c r="I1130" s="49"/>
    </row>
    <row r="1131" ht="22.5" customHeight="1">
      <c r="A1131" s="42"/>
      <c r="B1131" s="47"/>
      <c r="C1131" s="46"/>
      <c r="D1131" s="47"/>
      <c r="E1131" s="46"/>
      <c r="F1131" s="47"/>
      <c r="G1131" s="46"/>
      <c r="H1131" s="50"/>
      <c r="I1131" s="51"/>
    </row>
    <row r="1132" ht="22.5" customHeight="1">
      <c r="A1132" s="42"/>
      <c r="B1132" s="47"/>
      <c r="C1132" s="46"/>
      <c r="D1132" s="47"/>
      <c r="E1132" s="46"/>
      <c r="F1132" s="47"/>
      <c r="G1132" s="46"/>
      <c r="H1132" s="48"/>
      <c r="I1132" s="49"/>
    </row>
    <row r="1133" ht="22.5" customHeight="1">
      <c r="A1133" s="42"/>
      <c r="B1133" s="47"/>
      <c r="C1133" s="46"/>
      <c r="D1133" s="47"/>
      <c r="E1133" s="46"/>
      <c r="F1133" s="47"/>
      <c r="G1133" s="46"/>
      <c r="H1133" s="50"/>
      <c r="I1133" s="51"/>
    </row>
    <row r="1134" ht="22.5" customHeight="1">
      <c r="A1134" s="42"/>
      <c r="B1134" s="47"/>
      <c r="C1134" s="46"/>
      <c r="D1134" s="47"/>
      <c r="E1134" s="46"/>
      <c r="F1134" s="47"/>
      <c r="G1134" s="46"/>
      <c r="H1134" s="48"/>
      <c r="I1134" s="49"/>
    </row>
    <row r="1135" ht="22.5" customHeight="1">
      <c r="A1135" s="42"/>
      <c r="B1135" s="47"/>
      <c r="C1135" s="46"/>
      <c r="D1135" s="47"/>
      <c r="E1135" s="46"/>
      <c r="F1135" s="47"/>
      <c r="G1135" s="46"/>
      <c r="H1135" s="50"/>
      <c r="I1135" s="51"/>
    </row>
    <row r="1136" ht="22.5" customHeight="1">
      <c r="A1136" s="42"/>
      <c r="B1136" s="47"/>
      <c r="C1136" s="46"/>
      <c r="D1136" s="47"/>
      <c r="E1136" s="46"/>
      <c r="F1136" s="47"/>
      <c r="G1136" s="46"/>
      <c r="H1136" s="48"/>
      <c r="I1136" s="49"/>
    </row>
    <row r="1137" ht="22.5" customHeight="1">
      <c r="A1137" s="42"/>
      <c r="B1137" s="47"/>
      <c r="C1137" s="46"/>
      <c r="D1137" s="47"/>
      <c r="E1137" s="46"/>
      <c r="F1137" s="47"/>
      <c r="G1137" s="46"/>
      <c r="H1137" s="50"/>
      <c r="I1137" s="51"/>
    </row>
    <row r="1138" ht="22.5" customHeight="1">
      <c r="A1138" s="42"/>
      <c r="B1138" s="47"/>
      <c r="C1138" s="46"/>
      <c r="D1138" s="47"/>
      <c r="E1138" s="46"/>
      <c r="F1138" s="47"/>
      <c r="G1138" s="46"/>
      <c r="H1138" s="48"/>
      <c r="I1138" s="49"/>
    </row>
    <row r="1139" ht="22.5" customHeight="1">
      <c r="A1139" s="42"/>
      <c r="B1139" s="47"/>
      <c r="C1139" s="46"/>
      <c r="D1139" s="47"/>
      <c r="E1139" s="46"/>
      <c r="F1139" s="47"/>
      <c r="G1139" s="46"/>
      <c r="H1139" s="50"/>
      <c r="I1139" s="51"/>
    </row>
    <row r="1140" ht="22.5" customHeight="1">
      <c r="A1140" s="42"/>
      <c r="B1140" s="47"/>
      <c r="C1140" s="46"/>
      <c r="D1140" s="47"/>
      <c r="E1140" s="46"/>
      <c r="F1140" s="47"/>
      <c r="G1140" s="46"/>
      <c r="H1140" s="48"/>
      <c r="I1140" s="49"/>
    </row>
    <row r="1141" ht="22.5" customHeight="1">
      <c r="A1141" s="42"/>
      <c r="B1141" s="47"/>
      <c r="C1141" s="46"/>
      <c r="D1141" s="47"/>
      <c r="E1141" s="46"/>
      <c r="F1141" s="47"/>
      <c r="G1141" s="46"/>
      <c r="H1141" s="50"/>
      <c r="I1141" s="51"/>
    </row>
    <row r="1142" ht="22.5" customHeight="1">
      <c r="A1142" s="42"/>
      <c r="B1142" s="47"/>
      <c r="C1142" s="46"/>
      <c r="D1142" s="47"/>
      <c r="E1142" s="46"/>
      <c r="F1142" s="47"/>
      <c r="G1142" s="46"/>
      <c r="H1142" s="48"/>
      <c r="I1142" s="49"/>
    </row>
    <row r="1143" ht="22.5" customHeight="1">
      <c r="A1143" s="42"/>
      <c r="B1143" s="47"/>
      <c r="C1143" s="46"/>
      <c r="D1143" s="47"/>
      <c r="E1143" s="46"/>
      <c r="F1143" s="47"/>
      <c r="G1143" s="46"/>
      <c r="H1143" s="50"/>
      <c r="I1143" s="51"/>
    </row>
    <row r="1144" ht="22.5" customHeight="1">
      <c r="A1144" s="42"/>
      <c r="B1144" s="47"/>
      <c r="C1144" s="46"/>
      <c r="D1144" s="47"/>
      <c r="E1144" s="46"/>
      <c r="F1144" s="47"/>
      <c r="G1144" s="46"/>
      <c r="H1144" s="48"/>
      <c r="I1144" s="49"/>
    </row>
    <row r="1145" ht="22.5" customHeight="1">
      <c r="A1145" s="42"/>
      <c r="B1145" s="47"/>
      <c r="C1145" s="46"/>
      <c r="D1145" s="47"/>
      <c r="E1145" s="46"/>
      <c r="F1145" s="47"/>
      <c r="G1145" s="46"/>
      <c r="H1145" s="50"/>
      <c r="I1145" s="51"/>
    </row>
    <row r="1146" ht="22.5" customHeight="1">
      <c r="A1146" s="42"/>
      <c r="B1146" s="47"/>
      <c r="C1146" s="46"/>
      <c r="D1146" s="47"/>
      <c r="E1146" s="46"/>
      <c r="F1146" s="47"/>
      <c r="G1146" s="46"/>
      <c r="H1146" s="48"/>
      <c r="I1146" s="49"/>
    </row>
    <row r="1147" ht="22.5" customHeight="1">
      <c r="A1147" s="42"/>
      <c r="B1147" s="47"/>
      <c r="C1147" s="46"/>
      <c r="D1147" s="47"/>
      <c r="E1147" s="46"/>
      <c r="F1147" s="47"/>
      <c r="G1147" s="46"/>
      <c r="H1147" s="50"/>
      <c r="I1147" s="51"/>
    </row>
    <row r="1148" ht="22.5" customHeight="1">
      <c r="A1148" s="42"/>
      <c r="B1148" s="47"/>
      <c r="C1148" s="46"/>
      <c r="D1148" s="47"/>
      <c r="E1148" s="46"/>
      <c r="F1148" s="47"/>
      <c r="G1148" s="46"/>
      <c r="H1148" s="48"/>
      <c r="I1148" s="49"/>
    </row>
    <row r="1149" ht="22.5" customHeight="1">
      <c r="A1149" s="42"/>
      <c r="B1149" s="47"/>
      <c r="C1149" s="46"/>
      <c r="D1149" s="47"/>
      <c r="E1149" s="46"/>
      <c r="F1149" s="47"/>
      <c r="G1149" s="46"/>
      <c r="H1149" s="50"/>
      <c r="I1149" s="51"/>
    </row>
    <row r="1150" ht="22.5" customHeight="1">
      <c r="A1150" s="42"/>
      <c r="B1150" s="47"/>
      <c r="C1150" s="46"/>
      <c r="D1150" s="47"/>
      <c r="E1150" s="46"/>
      <c r="F1150" s="47"/>
      <c r="G1150" s="46"/>
      <c r="H1150" s="48"/>
      <c r="I1150" s="49"/>
    </row>
    <row r="1151" ht="22.5" customHeight="1">
      <c r="A1151" s="42"/>
      <c r="B1151" s="47"/>
      <c r="C1151" s="46"/>
      <c r="D1151" s="47"/>
      <c r="E1151" s="46"/>
      <c r="F1151" s="47"/>
      <c r="G1151" s="46"/>
      <c r="H1151" s="50"/>
      <c r="I1151" s="51"/>
    </row>
    <row r="1152" ht="22.5" customHeight="1">
      <c r="A1152" s="42"/>
      <c r="B1152" s="47"/>
      <c r="C1152" s="46"/>
      <c r="D1152" s="47"/>
      <c r="E1152" s="46"/>
      <c r="F1152" s="47"/>
      <c r="G1152" s="46"/>
      <c r="H1152" s="48"/>
      <c r="I1152" s="49"/>
    </row>
    <row r="1153" ht="22.5" customHeight="1">
      <c r="A1153" s="42"/>
      <c r="B1153" s="47"/>
      <c r="C1153" s="46"/>
      <c r="D1153" s="47"/>
      <c r="E1153" s="46"/>
      <c r="F1153" s="47"/>
      <c r="G1153" s="46"/>
      <c r="H1153" s="50"/>
      <c r="I1153" s="51"/>
    </row>
    <row r="1154" ht="22.5" customHeight="1">
      <c r="A1154" s="42"/>
      <c r="B1154" s="47"/>
      <c r="C1154" s="46"/>
      <c r="D1154" s="47"/>
      <c r="E1154" s="46"/>
      <c r="F1154" s="47"/>
      <c r="G1154" s="46"/>
      <c r="H1154" s="48"/>
      <c r="I1154" s="49"/>
    </row>
    <row r="1155" ht="22.5" customHeight="1">
      <c r="A1155" s="42"/>
      <c r="B1155" s="47"/>
      <c r="C1155" s="46"/>
      <c r="D1155" s="47"/>
      <c r="E1155" s="46"/>
      <c r="F1155" s="47"/>
      <c r="G1155" s="46"/>
      <c r="H1155" s="50"/>
      <c r="I1155" s="51"/>
    </row>
    <row r="1156" ht="22.5" customHeight="1">
      <c r="A1156" s="42"/>
      <c r="B1156" s="47"/>
      <c r="C1156" s="46"/>
      <c r="D1156" s="47"/>
      <c r="E1156" s="46"/>
      <c r="F1156" s="47"/>
      <c r="G1156" s="46"/>
      <c r="H1156" s="48"/>
      <c r="I1156" s="49"/>
    </row>
    <row r="1157" ht="22.5" customHeight="1">
      <c r="A1157" s="42"/>
      <c r="B1157" s="47"/>
      <c r="C1157" s="46"/>
      <c r="D1157" s="47"/>
      <c r="E1157" s="46"/>
      <c r="F1157" s="47"/>
      <c r="G1157" s="46"/>
      <c r="H1157" s="50"/>
      <c r="I1157" s="51"/>
    </row>
    <row r="1158" ht="22.5" customHeight="1">
      <c r="A1158" s="42"/>
      <c r="B1158" s="47"/>
      <c r="C1158" s="46"/>
      <c r="D1158" s="47"/>
      <c r="E1158" s="46"/>
      <c r="F1158" s="47"/>
      <c r="G1158" s="46"/>
      <c r="H1158" s="48"/>
      <c r="I1158" s="49"/>
    </row>
    <row r="1159" ht="22.5" customHeight="1">
      <c r="A1159" s="42"/>
      <c r="B1159" s="47"/>
      <c r="C1159" s="46"/>
      <c r="D1159" s="47"/>
      <c r="E1159" s="46"/>
      <c r="F1159" s="47"/>
      <c r="G1159" s="46"/>
      <c r="H1159" s="50"/>
      <c r="I1159" s="51"/>
    </row>
    <row r="1160" ht="22.5" customHeight="1">
      <c r="A1160" s="42"/>
      <c r="B1160" s="47"/>
      <c r="C1160" s="46"/>
      <c r="D1160" s="47"/>
      <c r="E1160" s="46"/>
      <c r="F1160" s="47"/>
      <c r="G1160" s="46"/>
      <c r="H1160" s="48"/>
      <c r="I1160" s="49"/>
    </row>
    <row r="1161" ht="22.5" customHeight="1">
      <c r="A1161" s="42"/>
      <c r="B1161" s="47"/>
      <c r="C1161" s="46"/>
      <c r="D1161" s="47"/>
      <c r="E1161" s="46"/>
      <c r="F1161" s="47"/>
      <c r="G1161" s="46"/>
      <c r="H1161" s="50"/>
      <c r="I1161" s="51"/>
    </row>
    <row r="1162" ht="22.5" customHeight="1">
      <c r="A1162" s="42"/>
      <c r="B1162" s="47"/>
      <c r="C1162" s="46"/>
      <c r="D1162" s="47"/>
      <c r="E1162" s="46"/>
      <c r="F1162" s="47"/>
      <c r="G1162" s="46"/>
      <c r="H1162" s="48"/>
      <c r="I1162" s="49"/>
    </row>
    <row r="1163" ht="22.5" customHeight="1">
      <c r="A1163" s="42"/>
      <c r="B1163" s="47"/>
      <c r="C1163" s="46"/>
      <c r="D1163" s="47"/>
      <c r="E1163" s="46"/>
      <c r="F1163" s="47"/>
      <c r="G1163" s="46"/>
      <c r="H1163" s="50"/>
      <c r="I1163" s="51"/>
    </row>
    <row r="1164" ht="22.5" customHeight="1">
      <c r="A1164" s="42"/>
      <c r="B1164" s="47"/>
      <c r="C1164" s="46"/>
      <c r="D1164" s="47"/>
      <c r="E1164" s="46"/>
      <c r="F1164" s="47"/>
      <c r="G1164" s="46"/>
      <c r="H1164" s="48"/>
      <c r="I1164" s="49"/>
    </row>
    <row r="1165" ht="22.5" customHeight="1">
      <c r="A1165" s="42"/>
      <c r="B1165" s="47"/>
      <c r="C1165" s="46"/>
      <c r="D1165" s="47"/>
      <c r="E1165" s="46"/>
      <c r="F1165" s="47"/>
      <c r="G1165" s="46"/>
      <c r="H1165" s="50"/>
      <c r="I1165" s="51"/>
    </row>
    <row r="1166" ht="22.5" customHeight="1">
      <c r="A1166" s="42"/>
      <c r="B1166" s="47"/>
      <c r="C1166" s="46"/>
      <c r="D1166" s="47"/>
      <c r="E1166" s="46"/>
      <c r="F1166" s="47"/>
      <c r="G1166" s="46"/>
      <c r="H1166" s="48"/>
      <c r="I1166" s="49"/>
    </row>
    <row r="1167" ht="22.5" customHeight="1">
      <c r="A1167" s="42"/>
      <c r="B1167" s="47"/>
      <c r="C1167" s="46"/>
      <c r="D1167" s="47"/>
      <c r="E1167" s="46"/>
      <c r="F1167" s="47"/>
      <c r="G1167" s="46"/>
      <c r="H1167" s="50"/>
      <c r="I1167" s="51"/>
    </row>
    <row r="1168" ht="22.5" customHeight="1">
      <c r="A1168" s="42"/>
      <c r="B1168" s="47"/>
      <c r="C1168" s="46"/>
      <c r="D1168" s="47"/>
      <c r="E1168" s="46"/>
      <c r="F1168" s="47"/>
      <c r="G1168" s="46"/>
      <c r="H1168" s="48"/>
      <c r="I1168" s="49"/>
    </row>
    <row r="1169" ht="22.5" customHeight="1">
      <c r="A1169" s="42"/>
      <c r="B1169" s="47"/>
      <c r="C1169" s="46"/>
      <c r="D1169" s="47"/>
      <c r="E1169" s="46"/>
      <c r="F1169" s="47"/>
      <c r="G1169" s="46"/>
      <c r="H1169" s="50"/>
      <c r="I1169" s="51"/>
    </row>
    <row r="1170" ht="22.5" customHeight="1">
      <c r="A1170" s="42"/>
      <c r="B1170" s="47"/>
      <c r="C1170" s="46"/>
      <c r="D1170" s="47"/>
      <c r="E1170" s="46"/>
      <c r="F1170" s="47"/>
      <c r="G1170" s="46"/>
      <c r="H1170" s="48"/>
      <c r="I1170" s="49"/>
    </row>
    <row r="1171" ht="22.5" customHeight="1">
      <c r="A1171" s="42"/>
      <c r="B1171" s="47"/>
      <c r="C1171" s="46"/>
      <c r="D1171" s="47"/>
      <c r="E1171" s="46"/>
      <c r="F1171" s="47"/>
      <c r="G1171" s="46"/>
      <c r="H1171" s="50"/>
      <c r="I1171" s="51"/>
    </row>
    <row r="1172" ht="22.5" customHeight="1">
      <c r="A1172" s="42"/>
      <c r="B1172" s="47"/>
      <c r="C1172" s="46"/>
      <c r="D1172" s="47"/>
      <c r="E1172" s="46"/>
      <c r="F1172" s="47"/>
      <c r="G1172" s="46"/>
      <c r="H1172" s="48"/>
      <c r="I1172" s="49"/>
    </row>
    <row r="1173" ht="22.5" customHeight="1">
      <c r="A1173" s="42"/>
      <c r="B1173" s="47"/>
      <c r="C1173" s="46"/>
      <c r="D1173" s="47"/>
      <c r="E1173" s="46"/>
      <c r="F1173" s="47"/>
      <c r="G1173" s="46"/>
      <c r="H1173" s="50"/>
      <c r="I1173" s="51"/>
    </row>
    <row r="1174" ht="22.5" customHeight="1">
      <c r="A1174" s="42"/>
      <c r="B1174" s="47"/>
      <c r="C1174" s="46"/>
      <c r="D1174" s="47"/>
      <c r="E1174" s="46"/>
      <c r="F1174" s="47"/>
      <c r="G1174" s="46"/>
      <c r="H1174" s="48"/>
      <c r="I1174" s="49"/>
    </row>
    <row r="1175" ht="22.5" customHeight="1">
      <c r="A1175" s="42"/>
      <c r="B1175" s="47"/>
      <c r="C1175" s="46"/>
      <c r="D1175" s="47"/>
      <c r="E1175" s="46"/>
      <c r="F1175" s="47"/>
      <c r="G1175" s="46"/>
      <c r="H1175" s="50"/>
      <c r="I1175" s="51"/>
    </row>
    <row r="1176" ht="22.5" customHeight="1">
      <c r="A1176" s="42"/>
      <c r="B1176" s="47"/>
      <c r="C1176" s="46"/>
      <c r="D1176" s="47"/>
      <c r="E1176" s="46"/>
      <c r="F1176" s="47"/>
      <c r="G1176" s="46"/>
      <c r="H1176" s="48"/>
      <c r="I1176" s="49"/>
    </row>
    <row r="1177" ht="22.5" customHeight="1">
      <c r="A1177" s="42"/>
      <c r="B1177" s="47"/>
      <c r="C1177" s="46"/>
      <c r="D1177" s="47"/>
      <c r="E1177" s="46"/>
      <c r="F1177" s="47"/>
      <c r="G1177" s="46"/>
      <c r="H1177" s="50"/>
      <c r="I1177" s="51"/>
    </row>
    <row r="1178" ht="22.5" customHeight="1">
      <c r="A1178" s="42"/>
      <c r="B1178" s="47"/>
      <c r="C1178" s="46"/>
      <c r="D1178" s="47"/>
      <c r="E1178" s="46"/>
      <c r="F1178" s="47"/>
      <c r="G1178" s="46"/>
      <c r="H1178" s="48"/>
      <c r="I1178" s="49"/>
    </row>
    <row r="1179" ht="22.5" customHeight="1">
      <c r="A1179" s="42"/>
      <c r="B1179" s="47"/>
      <c r="C1179" s="46"/>
      <c r="D1179" s="47"/>
      <c r="E1179" s="46"/>
      <c r="F1179" s="47"/>
      <c r="G1179" s="46"/>
      <c r="H1179" s="50"/>
      <c r="I1179" s="51"/>
    </row>
    <row r="1180" ht="22.5" customHeight="1">
      <c r="A1180" s="42"/>
      <c r="B1180" s="47"/>
      <c r="C1180" s="46"/>
      <c r="D1180" s="47"/>
      <c r="E1180" s="46"/>
      <c r="F1180" s="47"/>
      <c r="G1180" s="46"/>
      <c r="H1180" s="48"/>
      <c r="I1180" s="49"/>
    </row>
    <row r="1181" ht="22.5" customHeight="1">
      <c r="A1181" s="42"/>
      <c r="B1181" s="47"/>
      <c r="C1181" s="46"/>
      <c r="D1181" s="47"/>
      <c r="E1181" s="46"/>
      <c r="F1181" s="47"/>
      <c r="G1181" s="46"/>
      <c r="H1181" s="50"/>
      <c r="I1181" s="51"/>
    </row>
    <row r="1182" ht="22.5" customHeight="1">
      <c r="A1182" s="42"/>
      <c r="B1182" s="47"/>
      <c r="C1182" s="46"/>
      <c r="D1182" s="47"/>
      <c r="E1182" s="46"/>
      <c r="F1182" s="47"/>
      <c r="G1182" s="46"/>
      <c r="H1182" s="48"/>
      <c r="I1182" s="49"/>
    </row>
    <row r="1183" ht="22.5" customHeight="1">
      <c r="A1183" s="42"/>
      <c r="B1183" s="47"/>
      <c r="C1183" s="46"/>
      <c r="D1183" s="47"/>
      <c r="E1183" s="46"/>
      <c r="F1183" s="47"/>
      <c r="G1183" s="46"/>
      <c r="H1183" s="50"/>
      <c r="I1183" s="51"/>
    </row>
    <row r="1184" ht="22.5" customHeight="1">
      <c r="A1184" s="42"/>
      <c r="B1184" s="47"/>
      <c r="C1184" s="46"/>
      <c r="D1184" s="47"/>
      <c r="E1184" s="46"/>
      <c r="F1184" s="47"/>
      <c r="G1184" s="46"/>
      <c r="H1184" s="48"/>
      <c r="I1184" s="49"/>
    </row>
    <row r="1185" ht="22.5" customHeight="1">
      <c r="A1185" s="42"/>
      <c r="B1185" s="47"/>
      <c r="C1185" s="46"/>
      <c r="D1185" s="47"/>
      <c r="E1185" s="46"/>
      <c r="F1185" s="47"/>
      <c r="G1185" s="46"/>
      <c r="H1185" s="50"/>
      <c r="I1185" s="51"/>
    </row>
    <row r="1186" ht="22.5" customHeight="1">
      <c r="A1186" s="42"/>
      <c r="B1186" s="47"/>
      <c r="C1186" s="46"/>
      <c r="D1186" s="47"/>
      <c r="E1186" s="46"/>
      <c r="F1186" s="47"/>
      <c r="G1186" s="46"/>
      <c r="H1186" s="48"/>
      <c r="I1186" s="49"/>
    </row>
    <row r="1187" ht="22.5" customHeight="1">
      <c r="A1187" s="42"/>
      <c r="B1187" s="47"/>
      <c r="C1187" s="46"/>
      <c r="D1187" s="47"/>
      <c r="E1187" s="46"/>
      <c r="F1187" s="47"/>
      <c r="G1187" s="46"/>
      <c r="H1187" s="50"/>
      <c r="I1187" s="51"/>
    </row>
    <row r="1188" ht="22.5" customHeight="1">
      <c r="A1188" s="42"/>
      <c r="B1188" s="47"/>
      <c r="C1188" s="46"/>
      <c r="D1188" s="47"/>
      <c r="E1188" s="46"/>
      <c r="F1188" s="47"/>
      <c r="G1188" s="46"/>
      <c r="H1188" s="48"/>
      <c r="I1188" s="49"/>
    </row>
    <row r="1189" ht="22.5" customHeight="1">
      <c r="A1189" s="42"/>
      <c r="B1189" s="47"/>
      <c r="C1189" s="46"/>
      <c r="D1189" s="47"/>
      <c r="E1189" s="46"/>
      <c r="F1189" s="47"/>
      <c r="G1189" s="46"/>
      <c r="H1189" s="50"/>
      <c r="I1189" s="51"/>
    </row>
    <row r="1190" ht="22.5" customHeight="1">
      <c r="A1190" s="42"/>
      <c r="B1190" s="47"/>
      <c r="C1190" s="46"/>
      <c r="D1190" s="47"/>
      <c r="E1190" s="46"/>
      <c r="F1190" s="47"/>
      <c r="G1190" s="46"/>
      <c r="H1190" s="48"/>
      <c r="I1190" s="49"/>
    </row>
    <row r="1191" ht="22.5" customHeight="1">
      <c r="A1191" s="42"/>
      <c r="B1191" s="47"/>
      <c r="C1191" s="46"/>
      <c r="D1191" s="47"/>
      <c r="E1191" s="46"/>
      <c r="F1191" s="47"/>
      <c r="G1191" s="46"/>
      <c r="H1191" s="50"/>
      <c r="I1191" s="51"/>
    </row>
    <row r="1192" ht="22.5" customHeight="1">
      <c r="A1192" s="42"/>
      <c r="B1192" s="47"/>
      <c r="C1192" s="46"/>
      <c r="D1192" s="47"/>
      <c r="E1192" s="46"/>
      <c r="F1192" s="47"/>
      <c r="G1192" s="46"/>
      <c r="H1192" s="48"/>
      <c r="I1192" s="49"/>
    </row>
    <row r="1193" ht="22.5" customHeight="1">
      <c r="A1193" s="42"/>
      <c r="B1193" s="47"/>
      <c r="C1193" s="46"/>
      <c r="D1193" s="47"/>
      <c r="E1193" s="46"/>
      <c r="F1193" s="47"/>
      <c r="G1193" s="46"/>
      <c r="H1193" s="50"/>
      <c r="I1193" s="51"/>
    </row>
    <row r="1194" ht="22.5" customHeight="1">
      <c r="A1194" s="42"/>
      <c r="B1194" s="47"/>
      <c r="C1194" s="46"/>
      <c r="D1194" s="47"/>
      <c r="E1194" s="46"/>
      <c r="F1194" s="47"/>
      <c r="G1194" s="46"/>
      <c r="H1194" s="48"/>
      <c r="I1194" s="49"/>
    </row>
    <row r="1195" ht="22.5" customHeight="1">
      <c r="A1195" s="42"/>
      <c r="B1195" s="47"/>
      <c r="C1195" s="46"/>
      <c r="D1195" s="47"/>
      <c r="E1195" s="46"/>
      <c r="F1195" s="47"/>
      <c r="G1195" s="46"/>
      <c r="H1195" s="50"/>
      <c r="I1195" s="51"/>
    </row>
    <row r="1196" ht="22.5" customHeight="1">
      <c r="A1196" s="42"/>
      <c r="B1196" s="47"/>
      <c r="C1196" s="46"/>
      <c r="D1196" s="47"/>
      <c r="E1196" s="46"/>
      <c r="F1196" s="47"/>
      <c r="G1196" s="46"/>
      <c r="H1196" s="48"/>
      <c r="I1196" s="49"/>
    </row>
    <row r="1197" ht="22.5" customHeight="1">
      <c r="A1197" s="42"/>
      <c r="B1197" s="47"/>
      <c r="C1197" s="46"/>
      <c r="D1197" s="47"/>
      <c r="E1197" s="46"/>
      <c r="F1197" s="47"/>
      <c r="G1197" s="46"/>
      <c r="H1197" s="50"/>
      <c r="I1197" s="51"/>
    </row>
    <row r="1198" ht="22.5" customHeight="1">
      <c r="A1198" s="42"/>
      <c r="B1198" s="47"/>
      <c r="C1198" s="46"/>
      <c r="D1198" s="47"/>
      <c r="E1198" s="46"/>
      <c r="F1198" s="47"/>
      <c r="G1198" s="46"/>
      <c r="H1198" s="48"/>
      <c r="I1198" s="49"/>
    </row>
    <row r="1199" ht="22.5" customHeight="1">
      <c r="A1199" s="42"/>
      <c r="B1199" s="47"/>
      <c r="C1199" s="46"/>
      <c r="D1199" s="47"/>
      <c r="E1199" s="46"/>
      <c r="F1199" s="47"/>
      <c r="G1199" s="46"/>
      <c r="H1199" s="50"/>
      <c r="I1199" s="51"/>
    </row>
    <row r="1200" ht="22.5" customHeight="1">
      <c r="A1200" s="42"/>
      <c r="B1200" s="47"/>
      <c r="C1200" s="46"/>
      <c r="D1200" s="47"/>
      <c r="E1200" s="46"/>
      <c r="F1200" s="47"/>
      <c r="G1200" s="46"/>
      <c r="H1200" s="48"/>
      <c r="I1200" s="49"/>
    </row>
    <row r="1201" ht="22.5" customHeight="1">
      <c r="A1201" s="42"/>
      <c r="B1201" s="47"/>
      <c r="C1201" s="46"/>
      <c r="D1201" s="47"/>
      <c r="E1201" s="46"/>
      <c r="F1201" s="47"/>
      <c r="G1201" s="46"/>
      <c r="H1201" s="50"/>
      <c r="I1201" s="51"/>
    </row>
    <row r="1202" ht="22.5" customHeight="1">
      <c r="A1202" s="42"/>
      <c r="B1202" s="47"/>
      <c r="C1202" s="46"/>
      <c r="D1202" s="47"/>
      <c r="E1202" s="46"/>
      <c r="F1202" s="47"/>
      <c r="G1202" s="46"/>
      <c r="H1202" s="48"/>
      <c r="I1202" s="49"/>
    </row>
    <row r="1203" ht="22.5" customHeight="1">
      <c r="A1203" s="42"/>
      <c r="B1203" s="47"/>
      <c r="C1203" s="46"/>
      <c r="D1203" s="47"/>
      <c r="E1203" s="46"/>
      <c r="F1203" s="47"/>
      <c r="G1203" s="46"/>
      <c r="H1203" s="50"/>
      <c r="I1203" s="51"/>
    </row>
    <row r="1204" ht="22.5" customHeight="1">
      <c r="A1204" s="42"/>
      <c r="B1204" s="47"/>
      <c r="C1204" s="46"/>
      <c r="D1204" s="47"/>
      <c r="E1204" s="46"/>
      <c r="F1204" s="47"/>
      <c r="G1204" s="46"/>
      <c r="H1204" s="48"/>
      <c r="I1204" s="49"/>
    </row>
    <row r="1205" ht="22.5" customHeight="1">
      <c r="A1205" s="42"/>
      <c r="B1205" s="47"/>
      <c r="C1205" s="46"/>
      <c r="D1205" s="47"/>
      <c r="E1205" s="46"/>
      <c r="F1205" s="47"/>
      <c r="G1205" s="46"/>
      <c r="H1205" s="50"/>
      <c r="I1205" s="51"/>
    </row>
    <row r="1206" ht="22.5" customHeight="1">
      <c r="A1206" s="42"/>
      <c r="B1206" s="47"/>
      <c r="C1206" s="46"/>
      <c r="D1206" s="47"/>
      <c r="E1206" s="46"/>
      <c r="F1206" s="47"/>
      <c r="G1206" s="46"/>
      <c r="H1206" s="48"/>
      <c r="I1206" s="49"/>
    </row>
    <row r="1207" ht="22.5" customHeight="1">
      <c r="A1207" s="42"/>
      <c r="B1207" s="47"/>
      <c r="C1207" s="46"/>
      <c r="D1207" s="47"/>
      <c r="E1207" s="46"/>
      <c r="F1207" s="47"/>
      <c r="G1207" s="46"/>
      <c r="H1207" s="50"/>
      <c r="I1207" s="51"/>
    </row>
    <row r="1208" ht="22.5" customHeight="1">
      <c r="A1208" s="42"/>
      <c r="B1208" s="47"/>
      <c r="C1208" s="46"/>
      <c r="D1208" s="47"/>
      <c r="E1208" s="46"/>
      <c r="F1208" s="47"/>
      <c r="G1208" s="46"/>
      <c r="H1208" s="48"/>
      <c r="I1208" s="49"/>
    </row>
    <row r="1209" ht="22.5" customHeight="1">
      <c r="A1209" s="42"/>
      <c r="B1209" s="47"/>
      <c r="C1209" s="46"/>
      <c r="D1209" s="47"/>
      <c r="E1209" s="46"/>
      <c r="F1209" s="47"/>
      <c r="G1209" s="46"/>
      <c r="H1209" s="50"/>
      <c r="I1209" s="51"/>
    </row>
    <row r="1210" ht="22.5" customHeight="1">
      <c r="A1210" s="42"/>
      <c r="B1210" s="47"/>
      <c r="C1210" s="46"/>
      <c r="D1210" s="47"/>
      <c r="E1210" s="46"/>
      <c r="F1210" s="47"/>
      <c r="G1210" s="46"/>
      <c r="H1210" s="48"/>
      <c r="I1210" s="49"/>
    </row>
    <row r="1211" ht="22.5" customHeight="1">
      <c r="A1211" s="42"/>
      <c r="B1211" s="47"/>
      <c r="C1211" s="46"/>
      <c r="D1211" s="47"/>
      <c r="E1211" s="46"/>
      <c r="F1211" s="47"/>
      <c r="G1211" s="46"/>
      <c r="H1211" s="50"/>
      <c r="I1211" s="51"/>
    </row>
    <row r="1212" ht="22.5" customHeight="1">
      <c r="A1212" s="42"/>
      <c r="B1212" s="47"/>
      <c r="C1212" s="46"/>
      <c r="D1212" s="47"/>
      <c r="E1212" s="46"/>
      <c r="F1212" s="47"/>
      <c r="G1212" s="46"/>
      <c r="H1212" s="48"/>
      <c r="I1212" s="49"/>
    </row>
    <row r="1213" ht="22.5" customHeight="1">
      <c r="A1213" s="42"/>
      <c r="B1213" s="47"/>
      <c r="C1213" s="46"/>
      <c r="D1213" s="47"/>
      <c r="E1213" s="46"/>
      <c r="F1213" s="47"/>
      <c r="G1213" s="46"/>
      <c r="H1213" s="50"/>
      <c r="I1213" s="51"/>
    </row>
    <row r="1214" ht="22.5" customHeight="1">
      <c r="A1214" s="42"/>
      <c r="B1214" s="47"/>
      <c r="C1214" s="46"/>
      <c r="D1214" s="47"/>
      <c r="E1214" s="46"/>
      <c r="F1214" s="47"/>
      <c r="G1214" s="46"/>
      <c r="H1214" s="48"/>
      <c r="I1214" s="49"/>
    </row>
    <row r="1215" ht="22.5" customHeight="1">
      <c r="A1215" s="42"/>
      <c r="B1215" s="47"/>
      <c r="C1215" s="46"/>
      <c r="D1215" s="47"/>
      <c r="E1215" s="46"/>
      <c r="F1215" s="47"/>
      <c r="G1215" s="46"/>
      <c r="H1215" s="50"/>
      <c r="I1215" s="51"/>
    </row>
    <row r="1216" ht="22.5" customHeight="1">
      <c r="A1216" s="42"/>
      <c r="B1216" s="47"/>
      <c r="C1216" s="46"/>
      <c r="D1216" s="47"/>
      <c r="E1216" s="46"/>
      <c r="F1216" s="47"/>
      <c r="G1216" s="46"/>
      <c r="H1216" s="48"/>
      <c r="I1216" s="49"/>
    </row>
    <row r="1217" ht="22.5" customHeight="1">
      <c r="A1217" s="42"/>
      <c r="B1217" s="47"/>
      <c r="C1217" s="46"/>
      <c r="D1217" s="47"/>
      <c r="E1217" s="46"/>
      <c r="F1217" s="47"/>
      <c r="G1217" s="46"/>
      <c r="H1217" s="50"/>
      <c r="I1217" s="51"/>
    </row>
    <row r="1218" ht="22.5" customHeight="1">
      <c r="A1218" s="42"/>
      <c r="B1218" s="47"/>
      <c r="C1218" s="46"/>
      <c r="D1218" s="47"/>
      <c r="E1218" s="46"/>
      <c r="F1218" s="47"/>
      <c r="G1218" s="46"/>
      <c r="H1218" s="48"/>
      <c r="I1218" s="49"/>
    </row>
    <row r="1219" ht="22.5" customHeight="1">
      <c r="A1219" s="42"/>
      <c r="B1219" s="47"/>
      <c r="C1219" s="46"/>
      <c r="D1219" s="47"/>
      <c r="E1219" s="46"/>
      <c r="F1219" s="47"/>
      <c r="G1219" s="46"/>
      <c r="H1219" s="50"/>
      <c r="I1219" s="51"/>
    </row>
    <row r="1220" ht="22.5" customHeight="1">
      <c r="A1220" s="42"/>
      <c r="B1220" s="47"/>
      <c r="C1220" s="46"/>
      <c r="D1220" s="47"/>
      <c r="E1220" s="46"/>
      <c r="F1220" s="47"/>
      <c r="G1220" s="46"/>
      <c r="H1220" s="48"/>
      <c r="I1220" s="49"/>
    </row>
    <row r="1221" ht="22.5" customHeight="1">
      <c r="A1221" s="42"/>
      <c r="B1221" s="47"/>
      <c r="C1221" s="46"/>
      <c r="D1221" s="47"/>
      <c r="E1221" s="46"/>
      <c r="F1221" s="47"/>
      <c r="G1221" s="46"/>
      <c r="H1221" s="50"/>
      <c r="I1221" s="51"/>
    </row>
    <row r="1222" ht="22.5" customHeight="1">
      <c r="A1222" s="42"/>
      <c r="B1222" s="47"/>
      <c r="C1222" s="46"/>
      <c r="D1222" s="47"/>
      <c r="E1222" s="46"/>
      <c r="F1222" s="47"/>
      <c r="G1222" s="46"/>
      <c r="H1222" s="48"/>
      <c r="I1222" s="49"/>
    </row>
    <row r="1223" ht="22.5" customHeight="1">
      <c r="A1223" s="42"/>
      <c r="B1223" s="47"/>
      <c r="C1223" s="46"/>
      <c r="D1223" s="47"/>
      <c r="E1223" s="46"/>
      <c r="F1223" s="47"/>
      <c r="G1223" s="46"/>
      <c r="H1223" s="50"/>
      <c r="I1223" s="51"/>
    </row>
    <row r="1224" ht="22.5" customHeight="1">
      <c r="A1224" s="42"/>
      <c r="B1224" s="47"/>
      <c r="C1224" s="46"/>
      <c r="D1224" s="47"/>
      <c r="E1224" s="46"/>
      <c r="F1224" s="47"/>
      <c r="G1224" s="46"/>
      <c r="H1224" s="48"/>
      <c r="I1224" s="49"/>
    </row>
    <row r="1225" ht="22.5" customHeight="1">
      <c r="A1225" s="42"/>
      <c r="B1225" s="47"/>
      <c r="C1225" s="46"/>
      <c r="D1225" s="47"/>
      <c r="E1225" s="46"/>
      <c r="F1225" s="47"/>
      <c r="G1225" s="46"/>
      <c r="H1225" s="50"/>
      <c r="I1225" s="51"/>
    </row>
    <row r="1226" ht="22.5" customHeight="1">
      <c r="A1226" s="42"/>
      <c r="B1226" s="47"/>
      <c r="C1226" s="46"/>
      <c r="D1226" s="47"/>
      <c r="E1226" s="46"/>
      <c r="F1226" s="47"/>
      <c r="G1226" s="46"/>
      <c r="H1226" s="48"/>
      <c r="I1226" s="49"/>
    </row>
    <row r="1227" ht="22.5" customHeight="1">
      <c r="A1227" s="42"/>
      <c r="B1227" s="47"/>
      <c r="C1227" s="46"/>
      <c r="D1227" s="47"/>
      <c r="E1227" s="46"/>
      <c r="F1227" s="47"/>
      <c r="G1227" s="46"/>
      <c r="H1227" s="50"/>
      <c r="I1227" s="51"/>
    </row>
    <row r="1228" ht="22.5" customHeight="1">
      <c r="A1228" s="42"/>
      <c r="B1228" s="47"/>
      <c r="C1228" s="46"/>
      <c r="D1228" s="47"/>
      <c r="E1228" s="46"/>
      <c r="F1228" s="47"/>
      <c r="G1228" s="46"/>
      <c r="H1228" s="48"/>
      <c r="I1228" s="49"/>
    </row>
    <row r="1229" ht="22.5" customHeight="1">
      <c r="A1229" s="42"/>
      <c r="B1229" s="47"/>
      <c r="C1229" s="46"/>
      <c r="D1229" s="47"/>
      <c r="E1229" s="46"/>
      <c r="F1229" s="47"/>
      <c r="G1229" s="46"/>
      <c r="H1229" s="50"/>
      <c r="I1229" s="51"/>
    </row>
    <row r="1230" ht="22.5" customHeight="1">
      <c r="A1230" s="42"/>
      <c r="B1230" s="47"/>
      <c r="C1230" s="46"/>
      <c r="D1230" s="47"/>
      <c r="E1230" s="46"/>
      <c r="F1230" s="47"/>
      <c r="G1230" s="46"/>
      <c r="H1230" s="48"/>
      <c r="I1230" s="49"/>
    </row>
    <row r="1231" ht="22.5" customHeight="1">
      <c r="A1231" s="42"/>
      <c r="B1231" s="47"/>
      <c r="C1231" s="46"/>
      <c r="D1231" s="47"/>
      <c r="E1231" s="46"/>
      <c r="F1231" s="47"/>
      <c r="G1231" s="46"/>
      <c r="H1231" s="50"/>
      <c r="I1231" s="51"/>
    </row>
    <row r="1232" ht="22.5" customHeight="1">
      <c r="A1232" s="42"/>
      <c r="B1232" s="47"/>
      <c r="C1232" s="46"/>
      <c r="D1232" s="47"/>
      <c r="E1232" s="46"/>
      <c r="F1232" s="47"/>
      <c r="G1232" s="46"/>
      <c r="H1232" s="48"/>
      <c r="I1232" s="49"/>
    </row>
    <row r="1233" ht="22.5" customHeight="1">
      <c r="A1233" s="42"/>
      <c r="B1233" s="47"/>
      <c r="C1233" s="46"/>
      <c r="D1233" s="47"/>
      <c r="E1233" s="46"/>
      <c r="F1233" s="47"/>
      <c r="G1233" s="46"/>
      <c r="H1233" s="50"/>
      <c r="I1233" s="51"/>
    </row>
    <row r="1234" ht="22.5" customHeight="1">
      <c r="A1234" s="42"/>
      <c r="B1234" s="47"/>
      <c r="C1234" s="46"/>
      <c r="D1234" s="47"/>
      <c r="E1234" s="46"/>
      <c r="F1234" s="47"/>
      <c r="G1234" s="46"/>
      <c r="H1234" s="48"/>
      <c r="I1234" s="49"/>
    </row>
    <row r="1235" ht="22.5" customHeight="1">
      <c r="A1235" s="42"/>
      <c r="B1235" s="47"/>
      <c r="C1235" s="46"/>
      <c r="D1235" s="47"/>
      <c r="E1235" s="46"/>
      <c r="F1235" s="47"/>
      <c r="G1235" s="46"/>
      <c r="H1235" s="50"/>
      <c r="I1235" s="51"/>
    </row>
    <row r="1236" ht="22.5" customHeight="1">
      <c r="A1236" s="42"/>
      <c r="B1236" s="47"/>
      <c r="C1236" s="46"/>
      <c r="D1236" s="47"/>
      <c r="E1236" s="46"/>
      <c r="F1236" s="47"/>
      <c r="G1236" s="46"/>
      <c r="H1236" s="48"/>
      <c r="I1236" s="49"/>
    </row>
    <row r="1237" ht="22.5" customHeight="1">
      <c r="A1237" s="42"/>
      <c r="B1237" s="47"/>
      <c r="C1237" s="46"/>
      <c r="D1237" s="47"/>
      <c r="E1237" s="46"/>
      <c r="F1237" s="47"/>
      <c r="G1237" s="46"/>
      <c r="H1237" s="50"/>
      <c r="I1237" s="51"/>
    </row>
    <row r="1238" ht="22.5" customHeight="1">
      <c r="A1238" s="42"/>
      <c r="B1238" s="47"/>
      <c r="C1238" s="46"/>
      <c r="D1238" s="47"/>
      <c r="E1238" s="46"/>
      <c r="F1238" s="47"/>
      <c r="G1238" s="46"/>
      <c r="H1238" s="48"/>
      <c r="I1238" s="49"/>
    </row>
    <row r="1239" ht="22.5" customHeight="1">
      <c r="A1239" s="42"/>
      <c r="B1239" s="47"/>
      <c r="C1239" s="46"/>
      <c r="D1239" s="47"/>
      <c r="E1239" s="46"/>
      <c r="F1239" s="47"/>
      <c r="G1239" s="46"/>
      <c r="H1239" s="50"/>
      <c r="I1239" s="51"/>
    </row>
    <row r="1240" ht="22.5" customHeight="1">
      <c r="A1240" s="42"/>
      <c r="B1240" s="47"/>
      <c r="C1240" s="46"/>
      <c r="D1240" s="47"/>
      <c r="E1240" s="46"/>
      <c r="F1240" s="47"/>
      <c r="G1240" s="46"/>
      <c r="H1240" s="48"/>
      <c r="I1240" s="49"/>
    </row>
    <row r="1241" ht="22.5" customHeight="1">
      <c r="A1241" s="42"/>
      <c r="B1241" s="47"/>
      <c r="C1241" s="46"/>
      <c r="D1241" s="47"/>
      <c r="E1241" s="46"/>
      <c r="F1241" s="47"/>
      <c r="G1241" s="46"/>
      <c r="H1241" s="50"/>
      <c r="I1241" s="51"/>
    </row>
    <row r="1242" ht="22.5" customHeight="1">
      <c r="A1242" s="42"/>
      <c r="B1242" s="47"/>
      <c r="C1242" s="46"/>
      <c r="D1242" s="47"/>
      <c r="E1242" s="46"/>
      <c r="F1242" s="47"/>
      <c r="G1242" s="46"/>
      <c r="H1242" s="48"/>
      <c r="I1242" s="49"/>
    </row>
    <row r="1243" ht="22.5" customHeight="1">
      <c r="A1243" s="42"/>
      <c r="B1243" s="47"/>
      <c r="C1243" s="46"/>
      <c r="D1243" s="47"/>
      <c r="E1243" s="46"/>
      <c r="F1243" s="47"/>
      <c r="G1243" s="46"/>
      <c r="H1243" s="50"/>
      <c r="I1243" s="51"/>
    </row>
    <row r="1244" ht="22.5" customHeight="1">
      <c r="A1244" s="42"/>
      <c r="B1244" s="47"/>
      <c r="C1244" s="46"/>
      <c r="D1244" s="47"/>
      <c r="E1244" s="46"/>
      <c r="F1244" s="47"/>
      <c r="G1244" s="46"/>
      <c r="H1244" s="48"/>
      <c r="I1244" s="49"/>
    </row>
    <row r="1245" ht="22.5" customHeight="1">
      <c r="A1245" s="42"/>
      <c r="B1245" s="47"/>
      <c r="C1245" s="46"/>
      <c r="D1245" s="47"/>
      <c r="E1245" s="46"/>
      <c r="F1245" s="47"/>
      <c r="G1245" s="46"/>
      <c r="H1245" s="50"/>
      <c r="I1245" s="51"/>
    </row>
    <row r="1246" ht="22.5" customHeight="1">
      <c r="A1246" s="42"/>
      <c r="B1246" s="47"/>
      <c r="C1246" s="46"/>
      <c r="D1246" s="47"/>
      <c r="E1246" s="46"/>
      <c r="F1246" s="47"/>
      <c r="G1246" s="46"/>
      <c r="H1246" s="48"/>
      <c r="I1246" s="49"/>
    </row>
    <row r="1247" ht="22.5" customHeight="1">
      <c r="A1247" s="42"/>
      <c r="B1247" s="47"/>
      <c r="C1247" s="46"/>
      <c r="D1247" s="47"/>
      <c r="E1247" s="46"/>
      <c r="F1247" s="47"/>
      <c r="G1247" s="46"/>
      <c r="H1247" s="50"/>
      <c r="I1247" s="51"/>
    </row>
    <row r="1248" ht="22.5" customHeight="1">
      <c r="A1248" s="42"/>
      <c r="B1248" s="47"/>
      <c r="C1248" s="46"/>
      <c r="D1248" s="47"/>
      <c r="E1248" s="46"/>
      <c r="F1248" s="47"/>
      <c r="G1248" s="46"/>
      <c r="H1248" s="48"/>
      <c r="I1248" s="49"/>
    </row>
    <row r="1249" ht="22.5" customHeight="1">
      <c r="A1249" s="42"/>
      <c r="B1249" s="47"/>
      <c r="C1249" s="46"/>
      <c r="D1249" s="47"/>
      <c r="E1249" s="46"/>
      <c r="F1249" s="47"/>
      <c r="G1249" s="46"/>
      <c r="H1249" s="50"/>
      <c r="I1249" s="51"/>
    </row>
    <row r="1250" ht="22.5" customHeight="1">
      <c r="A1250" s="42"/>
      <c r="B1250" s="47"/>
      <c r="C1250" s="46"/>
      <c r="D1250" s="47"/>
      <c r="E1250" s="46"/>
      <c r="F1250" s="47"/>
      <c r="G1250" s="46"/>
      <c r="H1250" s="48"/>
      <c r="I1250" s="49"/>
    </row>
    <row r="1251" ht="22.5" customHeight="1">
      <c r="A1251" s="42"/>
      <c r="B1251" s="47"/>
      <c r="C1251" s="46"/>
      <c r="D1251" s="47"/>
      <c r="E1251" s="46"/>
      <c r="F1251" s="47"/>
      <c r="G1251" s="46"/>
      <c r="H1251" s="50"/>
      <c r="I1251" s="51"/>
    </row>
    <row r="1252" ht="22.5" customHeight="1">
      <c r="A1252" s="42"/>
      <c r="B1252" s="47"/>
      <c r="C1252" s="46"/>
      <c r="D1252" s="47"/>
      <c r="E1252" s="46"/>
      <c r="F1252" s="47"/>
      <c r="G1252" s="46"/>
      <c r="H1252" s="48"/>
      <c r="I1252" s="49"/>
    </row>
    <row r="1253" ht="22.5" customHeight="1">
      <c r="A1253" s="42"/>
      <c r="B1253" s="47"/>
      <c r="C1253" s="46"/>
      <c r="D1253" s="47"/>
      <c r="E1253" s="46"/>
      <c r="F1253" s="47"/>
      <c r="G1253" s="46"/>
      <c r="H1253" s="50"/>
      <c r="I1253" s="51"/>
    </row>
    <row r="1254" ht="22.5" customHeight="1">
      <c r="A1254" s="42"/>
      <c r="B1254" s="47"/>
      <c r="C1254" s="46"/>
      <c r="D1254" s="47"/>
      <c r="E1254" s="46"/>
      <c r="F1254" s="47"/>
      <c r="G1254" s="46"/>
      <c r="H1254" s="48"/>
      <c r="I1254" s="49"/>
    </row>
    <row r="1255" ht="22.5" customHeight="1">
      <c r="A1255" s="42"/>
      <c r="B1255" s="47"/>
      <c r="C1255" s="46"/>
      <c r="D1255" s="47"/>
      <c r="E1255" s="46"/>
      <c r="F1255" s="47"/>
      <c r="G1255" s="46"/>
      <c r="H1255" s="50"/>
      <c r="I1255" s="51"/>
    </row>
    <row r="1256" ht="22.5" customHeight="1">
      <c r="A1256" s="42"/>
      <c r="B1256" s="47"/>
      <c r="C1256" s="46"/>
      <c r="D1256" s="47"/>
      <c r="E1256" s="46"/>
      <c r="F1256" s="47"/>
      <c r="G1256" s="46"/>
      <c r="H1256" s="48"/>
      <c r="I1256" s="49"/>
    </row>
    <row r="1257" ht="22.5" customHeight="1">
      <c r="A1257" s="42"/>
      <c r="B1257" s="47"/>
      <c r="C1257" s="46"/>
      <c r="D1257" s="47"/>
      <c r="E1257" s="46"/>
      <c r="F1257" s="47"/>
      <c r="G1257" s="46"/>
      <c r="H1257" s="50"/>
      <c r="I1257" s="51"/>
    </row>
    <row r="1258" ht="22.5" customHeight="1">
      <c r="A1258" s="42"/>
      <c r="B1258" s="47"/>
      <c r="C1258" s="46"/>
      <c r="D1258" s="47"/>
      <c r="E1258" s="46"/>
      <c r="F1258" s="47"/>
      <c r="G1258" s="46"/>
      <c r="H1258" s="48"/>
      <c r="I1258" s="49"/>
    </row>
    <row r="1259" ht="22.5" customHeight="1">
      <c r="A1259" s="42"/>
      <c r="B1259" s="47"/>
      <c r="C1259" s="46"/>
      <c r="D1259" s="47"/>
      <c r="E1259" s="46"/>
      <c r="F1259" s="47"/>
      <c r="G1259" s="46"/>
      <c r="H1259" s="50"/>
      <c r="I1259" s="51"/>
    </row>
    <row r="1260" ht="22.5" customHeight="1">
      <c r="A1260" s="42"/>
      <c r="B1260" s="47"/>
      <c r="C1260" s="46"/>
      <c r="D1260" s="47"/>
      <c r="E1260" s="46"/>
      <c r="F1260" s="47"/>
      <c r="G1260" s="46"/>
      <c r="H1260" s="48"/>
      <c r="I1260" s="49"/>
    </row>
    <row r="1261" ht="22.5" customHeight="1">
      <c r="A1261" s="42"/>
      <c r="B1261" s="47"/>
      <c r="C1261" s="46"/>
      <c r="D1261" s="47"/>
      <c r="E1261" s="46"/>
      <c r="F1261" s="47"/>
      <c r="G1261" s="46"/>
      <c r="H1261" s="50"/>
      <c r="I1261" s="51"/>
    </row>
    <row r="1262" ht="22.5" customHeight="1">
      <c r="A1262" s="42"/>
      <c r="B1262" s="47"/>
      <c r="C1262" s="46"/>
      <c r="D1262" s="47"/>
      <c r="E1262" s="46"/>
      <c r="F1262" s="47"/>
      <c r="G1262" s="46"/>
      <c r="H1262" s="48"/>
      <c r="I1262" s="49"/>
    </row>
    <row r="1263" ht="22.5" customHeight="1">
      <c r="A1263" s="42"/>
      <c r="B1263" s="47"/>
      <c r="C1263" s="46"/>
      <c r="D1263" s="47"/>
      <c r="E1263" s="46"/>
      <c r="F1263" s="47"/>
      <c r="G1263" s="46"/>
      <c r="H1263" s="50"/>
      <c r="I1263" s="51"/>
    </row>
    <row r="1264" ht="22.5" customHeight="1">
      <c r="A1264" s="42"/>
      <c r="B1264" s="47"/>
      <c r="C1264" s="46"/>
      <c r="D1264" s="47"/>
      <c r="E1264" s="46"/>
      <c r="F1264" s="47"/>
      <c r="G1264" s="46"/>
      <c r="H1264" s="48"/>
      <c r="I1264" s="49"/>
    </row>
    <row r="1265" ht="22.5" customHeight="1">
      <c r="A1265" s="42"/>
      <c r="B1265" s="47"/>
      <c r="C1265" s="46"/>
      <c r="D1265" s="47"/>
      <c r="E1265" s="46"/>
      <c r="F1265" s="47"/>
      <c r="G1265" s="46"/>
      <c r="H1265" s="50"/>
      <c r="I1265" s="51"/>
    </row>
    <row r="1266" ht="22.5" customHeight="1">
      <c r="A1266" s="42"/>
      <c r="B1266" s="47"/>
      <c r="C1266" s="46"/>
      <c r="D1266" s="47"/>
      <c r="E1266" s="46"/>
      <c r="F1266" s="47"/>
      <c r="G1266" s="46"/>
      <c r="H1266" s="48"/>
      <c r="I1266" s="49"/>
    </row>
    <row r="1267" ht="22.5" customHeight="1">
      <c r="A1267" s="42"/>
      <c r="B1267" s="47"/>
      <c r="C1267" s="46"/>
      <c r="D1267" s="47"/>
      <c r="E1267" s="46"/>
      <c r="F1267" s="47"/>
      <c r="G1267" s="46"/>
      <c r="H1267" s="50"/>
      <c r="I1267" s="51"/>
    </row>
    <row r="1268" ht="22.5" customHeight="1">
      <c r="A1268" s="42"/>
      <c r="B1268" s="47"/>
      <c r="C1268" s="46"/>
      <c r="D1268" s="47"/>
      <c r="E1268" s="46"/>
      <c r="F1268" s="47"/>
      <c r="G1268" s="46"/>
      <c r="H1268" s="48"/>
      <c r="I1268" s="49"/>
    </row>
    <row r="1269" ht="22.5" customHeight="1">
      <c r="A1269" s="42"/>
      <c r="B1269" s="47"/>
      <c r="C1269" s="46"/>
      <c r="D1269" s="47"/>
      <c r="E1269" s="46"/>
      <c r="F1269" s="47"/>
      <c r="G1269" s="46"/>
      <c r="H1269" s="50"/>
      <c r="I1269" s="51"/>
    </row>
    <row r="1270" ht="22.5" customHeight="1">
      <c r="A1270" s="42"/>
      <c r="B1270" s="47"/>
      <c r="C1270" s="46"/>
      <c r="D1270" s="47"/>
      <c r="E1270" s="46"/>
      <c r="F1270" s="47"/>
      <c r="G1270" s="46"/>
      <c r="H1270" s="48"/>
      <c r="I1270" s="49"/>
    </row>
    <row r="1271" ht="22.5" customHeight="1">
      <c r="A1271" s="42"/>
      <c r="B1271" s="47"/>
      <c r="C1271" s="46"/>
      <c r="D1271" s="47"/>
      <c r="E1271" s="46"/>
      <c r="F1271" s="47"/>
      <c r="G1271" s="46"/>
      <c r="H1271" s="50"/>
      <c r="I1271" s="51"/>
    </row>
    <row r="1272" ht="22.5" customHeight="1">
      <c r="A1272" s="42"/>
      <c r="B1272" s="47"/>
      <c r="C1272" s="46"/>
      <c r="D1272" s="47"/>
      <c r="E1272" s="46"/>
      <c r="F1272" s="47"/>
      <c r="G1272" s="46"/>
      <c r="H1272" s="48"/>
      <c r="I1272" s="49"/>
    </row>
    <row r="1273" ht="22.5" customHeight="1">
      <c r="A1273" s="42"/>
      <c r="B1273" s="47"/>
      <c r="C1273" s="46"/>
      <c r="D1273" s="47"/>
      <c r="E1273" s="46"/>
      <c r="F1273" s="47"/>
      <c r="G1273" s="46"/>
      <c r="H1273" s="50"/>
      <c r="I1273" s="51"/>
    </row>
    <row r="1274" ht="22.5" customHeight="1">
      <c r="A1274" s="42"/>
      <c r="B1274" s="47"/>
      <c r="C1274" s="46"/>
      <c r="D1274" s="47"/>
      <c r="E1274" s="46"/>
      <c r="F1274" s="47"/>
      <c r="G1274" s="46"/>
      <c r="H1274" s="48"/>
      <c r="I1274" s="49"/>
    </row>
    <row r="1275" ht="22.5" customHeight="1">
      <c r="A1275" s="42"/>
      <c r="B1275" s="47"/>
      <c r="C1275" s="46"/>
      <c r="D1275" s="47"/>
      <c r="E1275" s="46"/>
      <c r="F1275" s="47"/>
      <c r="G1275" s="46"/>
      <c r="H1275" s="50"/>
      <c r="I1275" s="51"/>
    </row>
    <row r="1276" ht="22.5" customHeight="1">
      <c r="A1276" s="42"/>
      <c r="B1276" s="47"/>
      <c r="C1276" s="46"/>
      <c r="D1276" s="47"/>
      <c r="E1276" s="46"/>
      <c r="F1276" s="47"/>
      <c r="G1276" s="46"/>
      <c r="H1276" s="48"/>
      <c r="I1276" s="49"/>
    </row>
    <row r="1277" ht="22.5" customHeight="1">
      <c r="A1277" s="42"/>
      <c r="B1277" s="47"/>
      <c r="C1277" s="46"/>
      <c r="D1277" s="47"/>
      <c r="E1277" s="46"/>
      <c r="F1277" s="47"/>
      <c r="G1277" s="46"/>
      <c r="H1277" s="50"/>
      <c r="I1277" s="51"/>
    </row>
    <row r="1278" ht="22.5" customHeight="1">
      <c r="A1278" s="42"/>
      <c r="B1278" s="47"/>
      <c r="C1278" s="46"/>
      <c r="D1278" s="47"/>
      <c r="E1278" s="46"/>
      <c r="F1278" s="47"/>
      <c r="G1278" s="46"/>
      <c r="H1278" s="48"/>
      <c r="I1278" s="49"/>
    </row>
    <row r="1279" ht="22.5" customHeight="1">
      <c r="A1279" s="42"/>
      <c r="B1279" s="47"/>
      <c r="C1279" s="46"/>
      <c r="D1279" s="47"/>
      <c r="E1279" s="46"/>
      <c r="F1279" s="47"/>
      <c r="G1279" s="46"/>
      <c r="H1279" s="50"/>
      <c r="I1279" s="51"/>
    </row>
    <row r="1280" ht="22.5" customHeight="1">
      <c r="A1280" s="42"/>
      <c r="B1280" s="47"/>
      <c r="C1280" s="46"/>
      <c r="D1280" s="47"/>
      <c r="E1280" s="46"/>
      <c r="F1280" s="47"/>
      <c r="G1280" s="46"/>
      <c r="H1280" s="48"/>
      <c r="I1280" s="49"/>
    </row>
    <row r="1281" ht="22.5" customHeight="1">
      <c r="A1281" s="42"/>
      <c r="B1281" s="47"/>
      <c r="C1281" s="46"/>
      <c r="D1281" s="47"/>
      <c r="E1281" s="46"/>
      <c r="F1281" s="47"/>
      <c r="G1281" s="46"/>
      <c r="H1281" s="50"/>
      <c r="I1281" s="51"/>
    </row>
    <row r="1282" ht="22.5" customHeight="1">
      <c r="A1282" s="42"/>
      <c r="B1282" s="47"/>
      <c r="C1282" s="46"/>
      <c r="D1282" s="47"/>
      <c r="E1282" s="46"/>
      <c r="F1282" s="47"/>
      <c r="G1282" s="46"/>
      <c r="H1282" s="48"/>
      <c r="I1282" s="49"/>
    </row>
    <row r="1283" ht="22.5" customHeight="1">
      <c r="A1283" s="42"/>
      <c r="B1283" s="47"/>
      <c r="C1283" s="46"/>
      <c r="D1283" s="47"/>
      <c r="E1283" s="46"/>
      <c r="F1283" s="47"/>
      <c r="G1283" s="46"/>
      <c r="H1283" s="50"/>
      <c r="I1283" s="51"/>
    </row>
    <row r="1284" ht="22.5" customHeight="1">
      <c r="A1284" s="42"/>
      <c r="B1284" s="47"/>
      <c r="C1284" s="46"/>
      <c r="D1284" s="47"/>
      <c r="E1284" s="46"/>
      <c r="F1284" s="47"/>
      <c r="G1284" s="46"/>
      <c r="H1284" s="48"/>
      <c r="I1284" s="49"/>
    </row>
    <row r="1285" ht="22.5" customHeight="1">
      <c r="A1285" s="42"/>
      <c r="B1285" s="47"/>
      <c r="C1285" s="46"/>
      <c r="D1285" s="47"/>
      <c r="E1285" s="46"/>
      <c r="F1285" s="47"/>
      <c r="G1285" s="46"/>
      <c r="H1285" s="50"/>
      <c r="I1285" s="51"/>
    </row>
    <row r="1286" ht="22.5" customHeight="1">
      <c r="A1286" s="42"/>
      <c r="B1286" s="47"/>
      <c r="C1286" s="46"/>
      <c r="D1286" s="47"/>
      <c r="E1286" s="46"/>
      <c r="F1286" s="47"/>
      <c r="G1286" s="46"/>
      <c r="H1286" s="48"/>
      <c r="I1286" s="49"/>
    </row>
    <row r="1287" ht="22.5" customHeight="1">
      <c r="A1287" s="42"/>
      <c r="B1287" s="47"/>
      <c r="C1287" s="46"/>
      <c r="D1287" s="47"/>
      <c r="E1287" s="46"/>
      <c r="F1287" s="47"/>
      <c r="G1287" s="46"/>
      <c r="H1287" s="50"/>
      <c r="I1287" s="51"/>
    </row>
    <row r="1288" ht="22.5" customHeight="1">
      <c r="A1288" s="42"/>
      <c r="B1288" s="47"/>
      <c r="C1288" s="46"/>
      <c r="D1288" s="47"/>
      <c r="E1288" s="46"/>
      <c r="F1288" s="47"/>
      <c r="G1288" s="46"/>
      <c r="H1288" s="48"/>
      <c r="I1288" s="49"/>
    </row>
    <row r="1289" ht="22.5" customHeight="1">
      <c r="A1289" s="42"/>
      <c r="B1289" s="47"/>
      <c r="C1289" s="46"/>
      <c r="D1289" s="47"/>
      <c r="E1289" s="46"/>
      <c r="F1289" s="47"/>
      <c r="G1289" s="46"/>
      <c r="H1289" s="50"/>
      <c r="I1289" s="51"/>
    </row>
    <row r="1290" ht="22.5" customHeight="1">
      <c r="A1290" s="42"/>
      <c r="B1290" s="47"/>
      <c r="C1290" s="46"/>
      <c r="D1290" s="47"/>
      <c r="E1290" s="46"/>
      <c r="F1290" s="47"/>
      <c r="G1290" s="46"/>
      <c r="H1290" s="48"/>
      <c r="I1290" s="49"/>
    </row>
    <row r="1291" ht="22.5" customHeight="1">
      <c r="A1291" s="42"/>
      <c r="B1291" s="47"/>
      <c r="C1291" s="46"/>
      <c r="D1291" s="47"/>
      <c r="E1291" s="46"/>
      <c r="F1291" s="47"/>
      <c r="G1291" s="46"/>
      <c r="H1291" s="50"/>
      <c r="I1291" s="51"/>
    </row>
    <row r="1292" ht="22.5" customHeight="1">
      <c r="A1292" s="42"/>
      <c r="B1292" s="47"/>
      <c r="C1292" s="46"/>
      <c r="D1292" s="47"/>
      <c r="E1292" s="46"/>
      <c r="F1292" s="47"/>
      <c r="G1292" s="46"/>
      <c r="H1292" s="48"/>
      <c r="I1292" s="49"/>
    </row>
    <row r="1293" ht="22.5" customHeight="1">
      <c r="A1293" s="42"/>
      <c r="B1293" s="47"/>
      <c r="C1293" s="46"/>
      <c r="D1293" s="47"/>
      <c r="E1293" s="46"/>
      <c r="F1293" s="47"/>
      <c r="G1293" s="46"/>
      <c r="H1293" s="50"/>
      <c r="I1293" s="51"/>
    </row>
    <row r="1294" ht="22.5" customHeight="1">
      <c r="A1294" s="42"/>
      <c r="B1294" s="47"/>
      <c r="C1294" s="46"/>
      <c r="D1294" s="47"/>
      <c r="E1294" s="46"/>
      <c r="F1294" s="47"/>
      <c r="G1294" s="46"/>
      <c r="H1294" s="48"/>
      <c r="I1294" s="49"/>
    </row>
    <row r="1295" ht="22.5" customHeight="1">
      <c r="A1295" s="42"/>
      <c r="B1295" s="47"/>
      <c r="C1295" s="46"/>
      <c r="D1295" s="47"/>
      <c r="E1295" s="46"/>
      <c r="F1295" s="47"/>
      <c r="G1295" s="46"/>
      <c r="H1295" s="50"/>
      <c r="I1295" s="51"/>
    </row>
    <row r="1296" ht="22.5" customHeight="1">
      <c r="A1296" s="42"/>
      <c r="B1296" s="47"/>
      <c r="C1296" s="46"/>
      <c r="D1296" s="47"/>
      <c r="E1296" s="46"/>
      <c r="F1296" s="47"/>
      <c r="G1296" s="46"/>
      <c r="H1296" s="48"/>
      <c r="I1296" s="49"/>
    </row>
    <row r="1297" ht="22.5" customHeight="1">
      <c r="A1297" s="42"/>
      <c r="B1297" s="47"/>
      <c r="C1297" s="46"/>
      <c r="D1297" s="47"/>
      <c r="E1297" s="46"/>
      <c r="F1297" s="47"/>
      <c r="G1297" s="46"/>
      <c r="H1297" s="50"/>
      <c r="I1297" s="51"/>
    </row>
    <row r="1298" ht="22.5" customHeight="1">
      <c r="A1298" s="42"/>
      <c r="B1298" s="47"/>
      <c r="C1298" s="46"/>
      <c r="D1298" s="47"/>
      <c r="E1298" s="46"/>
      <c r="F1298" s="47"/>
      <c r="G1298" s="46"/>
      <c r="H1298" s="48"/>
      <c r="I1298" s="49"/>
    </row>
    <row r="1299" ht="22.5" customHeight="1">
      <c r="A1299" s="42"/>
      <c r="B1299" s="47"/>
      <c r="C1299" s="46"/>
      <c r="D1299" s="47"/>
      <c r="E1299" s="46"/>
      <c r="F1299" s="47"/>
      <c r="G1299" s="46"/>
      <c r="H1299" s="50"/>
      <c r="I1299" s="51"/>
    </row>
    <row r="1300" ht="22.5" customHeight="1">
      <c r="A1300" s="42"/>
      <c r="B1300" s="47"/>
      <c r="C1300" s="46"/>
      <c r="D1300" s="47"/>
      <c r="E1300" s="46"/>
      <c r="F1300" s="47"/>
      <c r="G1300" s="46"/>
      <c r="H1300" s="48"/>
      <c r="I1300" s="49"/>
    </row>
    <row r="1301" ht="22.5" customHeight="1">
      <c r="A1301" s="42"/>
      <c r="B1301" s="47"/>
      <c r="C1301" s="46"/>
      <c r="D1301" s="47"/>
      <c r="E1301" s="46"/>
      <c r="F1301" s="47"/>
      <c r="G1301" s="46"/>
      <c r="H1301" s="50"/>
      <c r="I1301" s="51"/>
    </row>
    <row r="1302" ht="22.5" customHeight="1">
      <c r="A1302" s="42"/>
      <c r="B1302" s="47"/>
      <c r="C1302" s="46"/>
      <c r="D1302" s="47"/>
      <c r="E1302" s="46"/>
      <c r="F1302" s="47"/>
      <c r="G1302" s="46"/>
      <c r="H1302" s="48"/>
      <c r="I1302" s="49"/>
    </row>
    <row r="1303" ht="22.5" customHeight="1">
      <c r="A1303" s="42"/>
      <c r="B1303" s="47"/>
      <c r="C1303" s="46"/>
      <c r="D1303" s="47"/>
      <c r="E1303" s="46"/>
      <c r="F1303" s="47"/>
      <c r="G1303" s="46"/>
      <c r="H1303" s="50"/>
      <c r="I1303" s="51"/>
    </row>
    <row r="1304" ht="22.5" customHeight="1">
      <c r="A1304" s="42"/>
      <c r="B1304" s="47"/>
      <c r="C1304" s="46"/>
      <c r="D1304" s="47"/>
      <c r="E1304" s="46"/>
      <c r="F1304" s="47"/>
      <c r="G1304" s="46"/>
      <c r="H1304" s="48"/>
      <c r="I1304" s="49"/>
    </row>
    <row r="1305" ht="22.5" customHeight="1">
      <c r="A1305" s="42"/>
      <c r="B1305" s="47"/>
      <c r="C1305" s="46"/>
      <c r="D1305" s="47"/>
      <c r="E1305" s="46"/>
      <c r="F1305" s="47"/>
      <c r="G1305" s="46"/>
      <c r="H1305" s="50"/>
      <c r="I1305" s="51"/>
    </row>
    <row r="1306" ht="22.5" customHeight="1">
      <c r="A1306" s="42"/>
      <c r="B1306" s="47"/>
      <c r="C1306" s="46"/>
      <c r="D1306" s="47"/>
      <c r="E1306" s="46"/>
      <c r="F1306" s="47"/>
      <c r="G1306" s="46"/>
      <c r="H1306" s="48"/>
      <c r="I1306" s="49"/>
    </row>
    <row r="1307" ht="22.5" customHeight="1">
      <c r="A1307" s="42"/>
      <c r="B1307" s="47"/>
      <c r="C1307" s="46"/>
      <c r="D1307" s="47"/>
      <c r="E1307" s="46"/>
      <c r="F1307" s="47"/>
      <c r="G1307" s="46"/>
      <c r="H1307" s="50"/>
      <c r="I1307" s="51"/>
    </row>
    <row r="1308" ht="22.5" customHeight="1">
      <c r="A1308" s="42"/>
      <c r="B1308" s="47"/>
      <c r="C1308" s="46"/>
      <c r="D1308" s="47"/>
      <c r="E1308" s="46"/>
      <c r="F1308" s="47"/>
      <c r="G1308" s="46"/>
      <c r="H1308" s="48"/>
      <c r="I1308" s="49"/>
    </row>
    <row r="1309" ht="22.5" customHeight="1">
      <c r="A1309" s="42"/>
      <c r="B1309" s="47"/>
      <c r="C1309" s="46"/>
      <c r="D1309" s="47"/>
      <c r="E1309" s="46"/>
      <c r="F1309" s="47"/>
      <c r="G1309" s="46"/>
      <c r="H1309" s="50"/>
      <c r="I1309" s="51"/>
    </row>
    <row r="1310" ht="22.5" customHeight="1">
      <c r="A1310" s="42"/>
      <c r="B1310" s="47"/>
      <c r="C1310" s="46"/>
      <c r="D1310" s="47"/>
      <c r="E1310" s="46"/>
      <c r="F1310" s="47"/>
      <c r="G1310" s="46"/>
      <c r="H1310" s="48"/>
      <c r="I1310" s="49"/>
    </row>
    <row r="1311" ht="22.5" customHeight="1">
      <c r="A1311" s="42"/>
      <c r="B1311" s="47"/>
      <c r="C1311" s="46"/>
      <c r="D1311" s="47"/>
      <c r="E1311" s="46"/>
      <c r="F1311" s="47"/>
      <c r="G1311" s="46"/>
      <c r="H1311" s="50"/>
      <c r="I1311" s="51"/>
    </row>
    <row r="1312" ht="22.5" customHeight="1">
      <c r="A1312" s="42"/>
      <c r="B1312" s="47"/>
      <c r="C1312" s="46"/>
      <c r="D1312" s="47"/>
      <c r="E1312" s="46"/>
      <c r="F1312" s="47"/>
      <c r="G1312" s="46"/>
      <c r="H1312" s="48"/>
      <c r="I1312" s="49"/>
    </row>
    <row r="1313" ht="22.5" customHeight="1">
      <c r="A1313" s="42"/>
      <c r="B1313" s="47"/>
      <c r="C1313" s="46"/>
      <c r="D1313" s="47"/>
      <c r="E1313" s="46"/>
      <c r="F1313" s="47"/>
      <c r="G1313" s="46"/>
      <c r="H1313" s="50"/>
      <c r="I1313" s="51"/>
    </row>
    <row r="1314" ht="22.5" customHeight="1">
      <c r="A1314" s="42"/>
      <c r="B1314" s="47"/>
      <c r="C1314" s="46"/>
      <c r="D1314" s="47"/>
      <c r="E1314" s="46"/>
      <c r="F1314" s="47"/>
      <c r="G1314" s="46"/>
      <c r="H1314" s="48"/>
      <c r="I1314" s="49"/>
    </row>
    <row r="1315" ht="22.5" customHeight="1">
      <c r="A1315" s="42"/>
      <c r="B1315" s="47"/>
      <c r="C1315" s="46"/>
      <c r="D1315" s="47"/>
      <c r="E1315" s="46"/>
      <c r="F1315" s="47"/>
      <c r="G1315" s="46"/>
      <c r="H1315" s="50"/>
      <c r="I1315" s="51"/>
    </row>
    <row r="1316" ht="22.5" customHeight="1">
      <c r="A1316" s="42"/>
      <c r="B1316" s="47"/>
      <c r="C1316" s="46"/>
      <c r="D1316" s="47"/>
      <c r="E1316" s="46"/>
      <c r="F1316" s="47"/>
      <c r="G1316" s="46"/>
      <c r="H1316" s="48"/>
      <c r="I1316" s="49"/>
    </row>
    <row r="1317" ht="22.5" customHeight="1">
      <c r="A1317" s="42"/>
      <c r="B1317" s="47"/>
      <c r="C1317" s="46"/>
      <c r="D1317" s="47"/>
      <c r="E1317" s="46"/>
      <c r="F1317" s="47"/>
      <c r="G1317" s="46"/>
      <c r="H1317" s="50"/>
      <c r="I1317" s="51"/>
    </row>
    <row r="1318" ht="22.5" customHeight="1">
      <c r="A1318" s="42"/>
      <c r="B1318" s="47"/>
      <c r="C1318" s="46"/>
      <c r="D1318" s="47"/>
      <c r="E1318" s="46"/>
      <c r="F1318" s="47"/>
      <c r="G1318" s="46"/>
      <c r="H1318" s="48"/>
      <c r="I1318" s="49"/>
    </row>
    <row r="1319" ht="22.5" customHeight="1">
      <c r="A1319" s="42"/>
      <c r="B1319" s="47"/>
      <c r="C1319" s="46"/>
      <c r="D1319" s="47"/>
      <c r="E1319" s="46"/>
      <c r="F1319" s="47"/>
      <c r="G1319" s="46"/>
      <c r="H1319" s="50"/>
      <c r="I1319" s="51"/>
    </row>
    <row r="1320" ht="22.5" customHeight="1">
      <c r="A1320" s="42"/>
      <c r="B1320" s="47"/>
      <c r="C1320" s="46"/>
      <c r="D1320" s="47"/>
      <c r="E1320" s="46"/>
      <c r="F1320" s="47"/>
      <c r="G1320" s="46"/>
      <c r="H1320" s="48"/>
      <c r="I1320" s="49"/>
    </row>
    <row r="1321" ht="22.5" customHeight="1">
      <c r="A1321" s="42"/>
      <c r="B1321" s="47"/>
      <c r="C1321" s="46"/>
      <c r="D1321" s="47"/>
      <c r="E1321" s="46"/>
      <c r="F1321" s="47"/>
      <c r="G1321" s="46"/>
      <c r="H1321" s="50"/>
      <c r="I1321" s="51"/>
    </row>
    <row r="1322" ht="22.5" customHeight="1">
      <c r="A1322" s="42"/>
      <c r="B1322" s="47"/>
      <c r="C1322" s="46"/>
      <c r="D1322" s="47"/>
      <c r="E1322" s="46"/>
      <c r="F1322" s="47"/>
      <c r="G1322" s="46"/>
      <c r="H1322" s="48"/>
      <c r="I1322" s="49"/>
    </row>
    <row r="1323" ht="22.5" customHeight="1">
      <c r="A1323" s="42"/>
      <c r="B1323" s="47"/>
      <c r="C1323" s="46"/>
      <c r="D1323" s="47"/>
      <c r="E1323" s="46"/>
      <c r="F1323" s="47"/>
      <c r="G1323" s="46"/>
      <c r="H1323" s="50"/>
      <c r="I1323" s="51"/>
    </row>
    <row r="1324" ht="22.5" customHeight="1">
      <c r="A1324" s="42"/>
      <c r="B1324" s="47"/>
      <c r="C1324" s="46"/>
      <c r="D1324" s="47"/>
      <c r="E1324" s="46"/>
      <c r="F1324" s="47"/>
      <c r="G1324" s="46"/>
      <c r="H1324" s="48"/>
      <c r="I1324" s="49"/>
    </row>
    <row r="1325" ht="22.5" customHeight="1">
      <c r="A1325" s="42"/>
      <c r="B1325" s="47"/>
      <c r="C1325" s="46"/>
      <c r="D1325" s="47"/>
      <c r="E1325" s="46"/>
      <c r="F1325" s="47"/>
      <c r="G1325" s="46"/>
      <c r="H1325" s="50"/>
      <c r="I1325" s="51"/>
    </row>
    <row r="1326" ht="22.5" customHeight="1">
      <c r="A1326" s="42"/>
      <c r="B1326" s="47"/>
      <c r="C1326" s="46"/>
      <c r="D1326" s="47"/>
      <c r="E1326" s="46"/>
      <c r="F1326" s="47"/>
      <c r="G1326" s="46"/>
      <c r="H1326" s="48"/>
      <c r="I1326" s="49"/>
    </row>
    <row r="1327" ht="22.5" customHeight="1">
      <c r="A1327" s="42"/>
      <c r="B1327" s="47"/>
      <c r="C1327" s="46"/>
      <c r="D1327" s="47"/>
      <c r="E1327" s="46"/>
      <c r="F1327" s="47"/>
      <c r="G1327" s="46"/>
      <c r="H1327" s="50"/>
      <c r="I1327" s="51"/>
    </row>
    <row r="1328" ht="22.5" customHeight="1">
      <c r="A1328" s="42"/>
      <c r="B1328" s="47"/>
      <c r="C1328" s="46"/>
      <c r="D1328" s="47"/>
      <c r="E1328" s="46"/>
      <c r="F1328" s="47"/>
      <c r="G1328" s="46"/>
      <c r="H1328" s="48"/>
      <c r="I1328" s="49"/>
    </row>
    <row r="1329" ht="22.5" customHeight="1">
      <c r="A1329" s="42"/>
      <c r="B1329" s="47"/>
      <c r="C1329" s="46"/>
      <c r="D1329" s="47"/>
      <c r="E1329" s="46"/>
      <c r="F1329" s="47"/>
      <c r="G1329" s="46"/>
      <c r="H1329" s="50"/>
      <c r="I1329" s="51"/>
    </row>
    <row r="1330" ht="22.5" customHeight="1">
      <c r="A1330" s="42"/>
      <c r="B1330" s="47"/>
      <c r="C1330" s="46"/>
      <c r="D1330" s="47"/>
      <c r="E1330" s="46"/>
      <c r="F1330" s="47"/>
      <c r="G1330" s="46"/>
      <c r="H1330" s="48"/>
      <c r="I1330" s="49"/>
    </row>
    <row r="1331" ht="22.5" customHeight="1">
      <c r="A1331" s="42"/>
      <c r="B1331" s="47"/>
      <c r="C1331" s="46"/>
      <c r="D1331" s="47"/>
      <c r="E1331" s="46"/>
      <c r="F1331" s="47"/>
      <c r="G1331" s="46"/>
      <c r="H1331" s="50"/>
      <c r="I1331" s="51"/>
    </row>
    <row r="1332" ht="22.5" customHeight="1">
      <c r="A1332" s="42"/>
      <c r="B1332" s="47"/>
      <c r="C1332" s="46"/>
      <c r="D1332" s="47"/>
      <c r="E1332" s="46"/>
      <c r="F1332" s="47"/>
      <c r="G1332" s="46"/>
      <c r="H1332" s="48"/>
      <c r="I1332" s="49"/>
    </row>
    <row r="1333" ht="22.5" customHeight="1">
      <c r="A1333" s="42"/>
      <c r="B1333" s="47"/>
      <c r="C1333" s="46"/>
      <c r="D1333" s="47"/>
      <c r="E1333" s="46"/>
      <c r="F1333" s="47"/>
      <c r="G1333" s="46"/>
      <c r="H1333" s="50"/>
      <c r="I1333" s="51"/>
    </row>
    <row r="1334" ht="22.5" customHeight="1">
      <c r="A1334" s="42"/>
      <c r="B1334" s="47"/>
      <c r="C1334" s="46"/>
      <c r="D1334" s="47"/>
      <c r="E1334" s="46"/>
      <c r="F1334" s="47"/>
      <c r="G1334" s="46"/>
      <c r="H1334" s="48"/>
      <c r="I1334" s="49"/>
    </row>
    <row r="1335" ht="22.5" customHeight="1">
      <c r="A1335" s="42"/>
      <c r="B1335" s="47"/>
      <c r="C1335" s="46"/>
      <c r="D1335" s="47"/>
      <c r="E1335" s="46"/>
      <c r="F1335" s="47"/>
      <c r="G1335" s="46"/>
      <c r="H1335" s="50"/>
      <c r="I1335" s="51"/>
    </row>
    <row r="1336" ht="22.5" customHeight="1">
      <c r="A1336" s="42"/>
      <c r="B1336" s="47"/>
      <c r="C1336" s="46"/>
      <c r="D1336" s="47"/>
      <c r="E1336" s="46"/>
      <c r="F1336" s="47"/>
      <c r="G1336" s="46"/>
      <c r="H1336" s="48"/>
      <c r="I1336" s="49"/>
    </row>
    <row r="1337" ht="22.5" customHeight="1">
      <c r="A1337" s="42"/>
      <c r="B1337" s="47"/>
      <c r="C1337" s="46"/>
      <c r="D1337" s="47"/>
      <c r="E1337" s="46"/>
      <c r="F1337" s="47"/>
      <c r="G1337" s="46"/>
      <c r="H1337" s="50"/>
      <c r="I1337" s="51"/>
    </row>
    <row r="1338" ht="22.5" customHeight="1">
      <c r="A1338" s="42"/>
      <c r="B1338" s="47"/>
      <c r="C1338" s="46"/>
      <c r="D1338" s="47"/>
      <c r="E1338" s="46"/>
      <c r="F1338" s="47"/>
      <c r="G1338" s="46"/>
      <c r="H1338" s="48"/>
      <c r="I1338" s="49"/>
    </row>
    <row r="1339" ht="22.5" customHeight="1">
      <c r="A1339" s="42"/>
      <c r="B1339" s="47"/>
      <c r="C1339" s="46"/>
      <c r="D1339" s="47"/>
      <c r="E1339" s="46"/>
      <c r="F1339" s="47"/>
      <c r="G1339" s="46"/>
      <c r="H1339" s="50"/>
      <c r="I1339" s="51"/>
    </row>
    <row r="1340" ht="22.5" customHeight="1">
      <c r="A1340" s="42"/>
      <c r="B1340" s="47"/>
      <c r="C1340" s="46"/>
      <c r="D1340" s="47"/>
      <c r="E1340" s="46"/>
      <c r="F1340" s="47"/>
      <c r="G1340" s="46"/>
      <c r="H1340" s="48"/>
      <c r="I1340" s="49"/>
    </row>
    <row r="1341" ht="22.5" customHeight="1">
      <c r="A1341" s="42"/>
      <c r="B1341" s="47"/>
      <c r="C1341" s="46"/>
      <c r="D1341" s="47"/>
      <c r="E1341" s="46"/>
      <c r="F1341" s="47"/>
      <c r="G1341" s="46"/>
      <c r="H1341" s="50"/>
      <c r="I1341" s="51"/>
    </row>
    <row r="1342" ht="22.5" customHeight="1">
      <c r="A1342" s="42"/>
      <c r="B1342" s="47"/>
      <c r="C1342" s="46"/>
      <c r="D1342" s="47"/>
      <c r="E1342" s="46"/>
      <c r="F1342" s="47"/>
      <c r="G1342" s="46"/>
      <c r="H1342" s="48"/>
      <c r="I1342" s="49"/>
    </row>
    <row r="1343" ht="22.5" customHeight="1">
      <c r="A1343" s="42"/>
      <c r="B1343" s="47"/>
      <c r="C1343" s="46"/>
      <c r="D1343" s="47"/>
      <c r="E1343" s="46"/>
      <c r="F1343" s="47"/>
      <c r="G1343" s="46"/>
      <c r="H1343" s="50"/>
      <c r="I1343" s="51"/>
    </row>
    <row r="1344" ht="22.5" customHeight="1">
      <c r="A1344" s="42"/>
      <c r="B1344" s="47"/>
      <c r="C1344" s="46"/>
      <c r="D1344" s="47"/>
      <c r="E1344" s="46"/>
      <c r="F1344" s="47"/>
      <c r="G1344" s="46"/>
      <c r="H1344" s="48"/>
      <c r="I1344" s="49"/>
    </row>
    <row r="1345" ht="22.5" customHeight="1">
      <c r="A1345" s="42"/>
      <c r="B1345" s="47"/>
      <c r="C1345" s="46"/>
      <c r="D1345" s="47"/>
      <c r="E1345" s="46"/>
      <c r="F1345" s="47"/>
      <c r="G1345" s="46"/>
      <c r="H1345" s="50"/>
      <c r="I1345" s="51"/>
    </row>
    <row r="1346" ht="22.5" customHeight="1">
      <c r="A1346" s="42"/>
      <c r="B1346" s="47"/>
      <c r="C1346" s="46"/>
      <c r="D1346" s="47"/>
      <c r="E1346" s="46"/>
      <c r="F1346" s="47"/>
      <c r="G1346" s="46"/>
      <c r="H1346" s="48"/>
      <c r="I1346" s="49"/>
    </row>
    <row r="1347" ht="22.5" customHeight="1">
      <c r="A1347" s="42"/>
      <c r="B1347" s="47"/>
      <c r="C1347" s="46"/>
      <c r="D1347" s="47"/>
      <c r="E1347" s="46"/>
      <c r="F1347" s="47"/>
      <c r="G1347" s="46"/>
      <c r="H1347" s="50"/>
      <c r="I1347" s="51"/>
    </row>
    <row r="1348" ht="22.5" customHeight="1">
      <c r="A1348" s="42"/>
      <c r="B1348" s="47"/>
      <c r="C1348" s="46"/>
      <c r="D1348" s="47"/>
      <c r="E1348" s="46"/>
      <c r="F1348" s="47"/>
      <c r="G1348" s="46"/>
      <c r="H1348" s="48"/>
      <c r="I1348" s="49"/>
    </row>
    <row r="1349" ht="22.5" customHeight="1">
      <c r="A1349" s="42"/>
      <c r="B1349" s="47"/>
      <c r="C1349" s="46"/>
      <c r="D1349" s="47"/>
      <c r="E1349" s="46"/>
      <c r="F1349" s="47"/>
      <c r="G1349" s="46"/>
      <c r="H1349" s="50"/>
      <c r="I1349" s="51"/>
    </row>
    <row r="1350" ht="22.5" customHeight="1">
      <c r="A1350" s="42"/>
      <c r="B1350" s="47"/>
      <c r="C1350" s="46"/>
      <c r="D1350" s="47"/>
      <c r="E1350" s="46"/>
      <c r="F1350" s="47"/>
      <c r="G1350" s="46"/>
      <c r="H1350" s="48"/>
      <c r="I1350" s="49"/>
    </row>
    <row r="1351" ht="22.5" customHeight="1">
      <c r="A1351" s="42"/>
      <c r="B1351" s="47"/>
      <c r="C1351" s="46"/>
      <c r="D1351" s="47"/>
      <c r="E1351" s="46"/>
      <c r="F1351" s="47"/>
      <c r="G1351" s="46"/>
      <c r="H1351" s="50"/>
      <c r="I1351" s="51"/>
    </row>
    <row r="1352" ht="22.5" customHeight="1">
      <c r="A1352" s="42"/>
      <c r="B1352" s="47"/>
      <c r="C1352" s="46"/>
      <c r="D1352" s="47"/>
      <c r="E1352" s="46"/>
      <c r="F1352" s="47"/>
      <c r="G1352" s="46"/>
      <c r="H1352" s="48"/>
      <c r="I1352" s="49"/>
    </row>
    <row r="1353" ht="22.5" customHeight="1">
      <c r="A1353" s="42"/>
      <c r="B1353" s="47"/>
      <c r="C1353" s="46"/>
      <c r="D1353" s="47"/>
      <c r="E1353" s="46"/>
      <c r="F1353" s="47"/>
      <c r="G1353" s="46"/>
      <c r="H1353" s="50"/>
      <c r="I1353" s="51"/>
    </row>
    <row r="1354" ht="22.5" customHeight="1">
      <c r="A1354" s="42"/>
      <c r="B1354" s="47"/>
      <c r="C1354" s="46"/>
      <c r="D1354" s="47"/>
      <c r="E1354" s="46"/>
      <c r="F1354" s="47"/>
      <c r="G1354" s="46"/>
      <c r="H1354" s="48"/>
      <c r="I1354" s="49"/>
    </row>
    <row r="1355" ht="22.5" customHeight="1">
      <c r="A1355" s="42"/>
      <c r="B1355" s="47"/>
      <c r="C1355" s="46"/>
      <c r="D1355" s="47"/>
      <c r="E1355" s="46"/>
      <c r="F1355" s="47"/>
      <c r="G1355" s="46"/>
      <c r="H1355" s="50"/>
      <c r="I1355" s="51"/>
    </row>
    <row r="1356" ht="22.5" customHeight="1">
      <c r="A1356" s="42"/>
      <c r="B1356" s="47"/>
      <c r="C1356" s="46"/>
      <c r="D1356" s="47"/>
      <c r="E1356" s="46"/>
      <c r="F1356" s="47"/>
      <c r="G1356" s="46"/>
      <c r="H1356" s="48"/>
      <c r="I1356" s="49"/>
    </row>
    <row r="1357" ht="22.5" customHeight="1">
      <c r="A1357" s="42"/>
      <c r="B1357" s="47"/>
      <c r="C1357" s="46"/>
      <c r="D1357" s="47"/>
      <c r="E1357" s="46"/>
      <c r="F1357" s="47"/>
      <c r="G1357" s="46"/>
      <c r="H1357" s="50"/>
      <c r="I1357" s="51"/>
    </row>
    <row r="1358" ht="22.5" customHeight="1">
      <c r="A1358" s="42"/>
      <c r="B1358" s="47"/>
      <c r="C1358" s="46"/>
      <c r="D1358" s="47"/>
      <c r="E1358" s="46"/>
      <c r="F1358" s="47"/>
      <c r="G1358" s="46"/>
      <c r="H1358" s="48"/>
      <c r="I1358" s="49"/>
    </row>
    <row r="1359" ht="22.5" customHeight="1">
      <c r="A1359" s="42"/>
      <c r="B1359" s="47"/>
      <c r="C1359" s="46"/>
      <c r="D1359" s="47"/>
      <c r="E1359" s="46"/>
      <c r="F1359" s="47"/>
      <c r="G1359" s="46"/>
      <c r="H1359" s="50"/>
      <c r="I1359" s="51"/>
    </row>
    <row r="1360" ht="22.5" customHeight="1">
      <c r="A1360" s="42"/>
      <c r="B1360" s="47"/>
      <c r="C1360" s="46"/>
      <c r="D1360" s="47"/>
      <c r="E1360" s="46"/>
      <c r="F1360" s="47"/>
      <c r="G1360" s="46"/>
      <c r="H1360" s="48"/>
      <c r="I1360" s="49"/>
    </row>
    <row r="1361" ht="22.5" customHeight="1">
      <c r="A1361" s="42"/>
      <c r="B1361" s="47"/>
      <c r="C1361" s="46"/>
      <c r="D1361" s="47"/>
      <c r="E1361" s="46"/>
      <c r="F1361" s="47"/>
      <c r="G1361" s="46"/>
      <c r="H1361" s="50"/>
      <c r="I1361" s="51"/>
    </row>
    <row r="1362" ht="22.5" customHeight="1">
      <c r="A1362" s="42"/>
      <c r="B1362" s="47"/>
      <c r="C1362" s="46"/>
      <c r="D1362" s="47"/>
      <c r="E1362" s="46"/>
      <c r="F1362" s="47"/>
      <c r="G1362" s="46"/>
      <c r="H1362" s="48"/>
      <c r="I1362" s="49"/>
    </row>
    <row r="1363" ht="22.5" customHeight="1">
      <c r="A1363" s="42"/>
      <c r="B1363" s="47"/>
      <c r="C1363" s="46"/>
      <c r="D1363" s="47"/>
      <c r="E1363" s="46"/>
      <c r="F1363" s="47"/>
      <c r="G1363" s="46"/>
      <c r="H1363" s="50"/>
      <c r="I1363" s="51"/>
    </row>
    <row r="1364" ht="22.5" customHeight="1">
      <c r="A1364" s="42"/>
      <c r="B1364" s="47"/>
      <c r="C1364" s="46"/>
      <c r="D1364" s="47"/>
      <c r="E1364" s="46"/>
      <c r="F1364" s="47"/>
      <c r="G1364" s="46"/>
      <c r="H1364" s="48"/>
      <c r="I1364" s="49"/>
    </row>
    <row r="1365" ht="22.5" customHeight="1">
      <c r="A1365" s="42"/>
      <c r="B1365" s="47"/>
      <c r="C1365" s="46"/>
      <c r="D1365" s="47"/>
      <c r="E1365" s="46"/>
      <c r="F1365" s="47"/>
      <c r="G1365" s="46"/>
      <c r="H1365" s="50"/>
      <c r="I1365" s="51"/>
    </row>
    <row r="1366" ht="22.5" customHeight="1">
      <c r="A1366" s="42"/>
      <c r="B1366" s="47"/>
      <c r="C1366" s="46"/>
      <c r="D1366" s="47"/>
      <c r="E1366" s="46"/>
      <c r="F1366" s="47"/>
      <c r="G1366" s="46"/>
      <c r="H1366" s="48"/>
      <c r="I1366" s="49"/>
    </row>
    <row r="1367" ht="22.5" customHeight="1">
      <c r="A1367" s="42"/>
      <c r="B1367" s="47"/>
      <c r="C1367" s="46"/>
      <c r="D1367" s="47"/>
      <c r="E1367" s="46"/>
      <c r="F1367" s="47"/>
      <c r="G1367" s="46"/>
      <c r="H1367" s="50"/>
      <c r="I1367" s="51"/>
    </row>
    <row r="1368" ht="22.5" customHeight="1">
      <c r="A1368" s="42"/>
      <c r="B1368" s="47"/>
      <c r="C1368" s="46"/>
      <c r="D1368" s="47"/>
      <c r="E1368" s="46"/>
      <c r="F1368" s="47"/>
      <c r="G1368" s="46"/>
      <c r="H1368" s="48"/>
      <c r="I1368" s="49"/>
    </row>
    <row r="1369" ht="22.5" customHeight="1">
      <c r="A1369" s="42"/>
      <c r="B1369" s="47"/>
      <c r="C1369" s="46"/>
      <c r="D1369" s="47"/>
      <c r="E1369" s="46"/>
      <c r="F1369" s="47"/>
      <c r="G1369" s="46"/>
      <c r="H1369" s="50"/>
      <c r="I1369" s="51"/>
    </row>
    <row r="1370" ht="22.5" customHeight="1">
      <c r="A1370" s="42"/>
      <c r="B1370" s="47"/>
      <c r="C1370" s="46"/>
      <c r="D1370" s="47"/>
      <c r="E1370" s="46"/>
      <c r="F1370" s="47"/>
      <c r="G1370" s="46"/>
      <c r="H1370" s="48"/>
      <c r="I1370" s="49"/>
    </row>
    <row r="1371" ht="22.5" customHeight="1">
      <c r="A1371" s="42"/>
      <c r="B1371" s="47"/>
      <c r="C1371" s="46"/>
      <c r="D1371" s="47"/>
      <c r="E1371" s="46"/>
      <c r="F1371" s="47"/>
      <c r="G1371" s="46"/>
      <c r="H1371" s="50"/>
      <c r="I1371" s="51"/>
    </row>
    <row r="1372" ht="22.5" customHeight="1">
      <c r="A1372" s="42"/>
      <c r="B1372" s="47"/>
      <c r="C1372" s="46"/>
      <c r="D1372" s="47"/>
      <c r="E1372" s="46"/>
      <c r="F1372" s="47"/>
      <c r="G1372" s="46"/>
      <c r="H1372" s="48"/>
      <c r="I1372" s="49"/>
    </row>
    <row r="1373" ht="22.5" customHeight="1">
      <c r="A1373" s="42"/>
      <c r="B1373" s="47"/>
      <c r="C1373" s="46"/>
      <c r="D1373" s="47"/>
      <c r="E1373" s="46"/>
      <c r="F1373" s="47"/>
      <c r="G1373" s="46"/>
      <c r="H1373" s="50"/>
      <c r="I1373" s="51"/>
    </row>
    <row r="1374" ht="22.5" customHeight="1">
      <c r="A1374" s="42"/>
      <c r="B1374" s="47"/>
      <c r="C1374" s="46"/>
      <c r="D1374" s="47"/>
      <c r="E1374" s="46"/>
      <c r="F1374" s="47"/>
      <c r="G1374" s="46"/>
      <c r="H1374" s="48"/>
      <c r="I1374" s="49"/>
    </row>
    <row r="1375" ht="22.5" customHeight="1">
      <c r="A1375" s="42"/>
      <c r="B1375" s="47"/>
      <c r="C1375" s="46"/>
      <c r="D1375" s="47"/>
      <c r="E1375" s="46"/>
      <c r="F1375" s="47"/>
      <c r="G1375" s="46"/>
      <c r="H1375" s="50"/>
      <c r="I1375" s="51"/>
    </row>
    <row r="1376" ht="22.5" customHeight="1">
      <c r="A1376" s="42"/>
      <c r="B1376" s="47"/>
      <c r="C1376" s="46"/>
      <c r="D1376" s="47"/>
      <c r="E1376" s="46"/>
      <c r="F1376" s="47"/>
      <c r="G1376" s="46"/>
      <c r="H1376" s="48"/>
      <c r="I1376" s="49"/>
    </row>
    <row r="1377" ht="22.5" customHeight="1">
      <c r="A1377" s="42"/>
      <c r="B1377" s="47"/>
      <c r="C1377" s="46"/>
      <c r="D1377" s="47"/>
      <c r="E1377" s="46"/>
      <c r="F1377" s="47"/>
      <c r="G1377" s="46"/>
      <c r="H1377" s="50"/>
      <c r="I1377" s="51"/>
    </row>
    <row r="1378" ht="22.5" customHeight="1">
      <c r="A1378" s="42"/>
      <c r="B1378" s="47"/>
      <c r="C1378" s="46"/>
      <c r="D1378" s="47"/>
      <c r="E1378" s="46"/>
      <c r="F1378" s="47"/>
      <c r="G1378" s="46"/>
      <c r="H1378" s="48"/>
      <c r="I1378" s="49"/>
    </row>
    <row r="1379" ht="22.5" customHeight="1">
      <c r="A1379" s="42"/>
      <c r="B1379" s="47"/>
      <c r="C1379" s="46"/>
      <c r="D1379" s="47"/>
      <c r="E1379" s="46"/>
      <c r="F1379" s="47"/>
      <c r="G1379" s="46"/>
      <c r="H1379" s="50"/>
      <c r="I1379" s="51"/>
    </row>
    <row r="1380" ht="22.5" customHeight="1">
      <c r="A1380" s="42"/>
      <c r="B1380" s="47"/>
      <c r="C1380" s="46"/>
      <c r="D1380" s="47"/>
      <c r="E1380" s="46"/>
      <c r="F1380" s="47"/>
      <c r="G1380" s="46"/>
      <c r="H1380" s="48"/>
      <c r="I1380" s="49"/>
    </row>
    <row r="1381" ht="22.5" customHeight="1">
      <c r="A1381" s="42"/>
      <c r="B1381" s="47"/>
      <c r="C1381" s="46"/>
      <c r="D1381" s="47"/>
      <c r="E1381" s="46"/>
      <c r="F1381" s="47"/>
      <c r="G1381" s="46"/>
      <c r="H1381" s="50"/>
      <c r="I1381" s="51"/>
    </row>
    <row r="1382" ht="22.5" customHeight="1">
      <c r="A1382" s="42"/>
      <c r="B1382" s="47"/>
      <c r="C1382" s="46"/>
      <c r="D1382" s="47"/>
      <c r="E1382" s="46"/>
      <c r="F1382" s="47"/>
      <c r="G1382" s="46"/>
      <c r="H1382" s="48"/>
      <c r="I1382" s="49"/>
    </row>
    <row r="1383" ht="22.5" customHeight="1">
      <c r="A1383" s="42"/>
      <c r="B1383" s="47"/>
      <c r="C1383" s="46"/>
      <c r="D1383" s="47"/>
      <c r="E1383" s="46"/>
      <c r="F1383" s="47"/>
      <c r="G1383" s="46"/>
      <c r="H1383" s="50"/>
      <c r="I1383" s="51"/>
    </row>
    <row r="1384" ht="22.5" customHeight="1">
      <c r="A1384" s="42"/>
      <c r="B1384" s="47"/>
      <c r="C1384" s="46"/>
      <c r="D1384" s="47"/>
      <c r="E1384" s="46"/>
      <c r="F1384" s="47"/>
      <c r="G1384" s="46"/>
      <c r="H1384" s="48"/>
      <c r="I1384" s="49"/>
    </row>
    <row r="1385" ht="22.5" customHeight="1">
      <c r="A1385" s="42"/>
      <c r="B1385" s="47"/>
      <c r="C1385" s="46"/>
      <c r="D1385" s="47"/>
      <c r="E1385" s="46"/>
      <c r="F1385" s="47"/>
      <c r="G1385" s="46"/>
      <c r="H1385" s="50"/>
      <c r="I1385" s="51"/>
    </row>
    <row r="1386" ht="22.5" customHeight="1">
      <c r="A1386" s="42"/>
      <c r="B1386" s="47"/>
      <c r="C1386" s="46"/>
      <c r="D1386" s="47"/>
      <c r="E1386" s="46"/>
      <c r="F1386" s="47"/>
      <c r="G1386" s="46"/>
      <c r="H1386" s="48"/>
      <c r="I1386" s="49"/>
    </row>
    <row r="1387" ht="22.5" customHeight="1">
      <c r="A1387" s="42"/>
      <c r="B1387" s="47"/>
      <c r="C1387" s="46"/>
      <c r="D1387" s="47"/>
      <c r="E1387" s="46"/>
      <c r="F1387" s="47"/>
      <c r="G1387" s="46"/>
      <c r="H1387" s="50"/>
      <c r="I1387" s="51"/>
    </row>
    <row r="1388" ht="22.5" customHeight="1">
      <c r="A1388" s="42"/>
      <c r="B1388" s="47"/>
      <c r="C1388" s="46"/>
      <c r="D1388" s="47"/>
      <c r="E1388" s="46"/>
      <c r="F1388" s="47"/>
      <c r="G1388" s="46"/>
      <c r="H1388" s="48"/>
      <c r="I1388" s="49"/>
    </row>
    <row r="1389" ht="22.5" customHeight="1">
      <c r="A1389" s="42"/>
      <c r="B1389" s="47"/>
      <c r="C1389" s="46"/>
      <c r="D1389" s="47"/>
      <c r="E1389" s="46"/>
      <c r="F1389" s="47"/>
      <c r="G1389" s="46"/>
      <c r="H1389" s="50"/>
      <c r="I1389" s="51"/>
    </row>
    <row r="1390" ht="22.5" customHeight="1">
      <c r="A1390" s="42"/>
      <c r="B1390" s="47"/>
      <c r="C1390" s="46"/>
      <c r="D1390" s="47"/>
      <c r="E1390" s="46"/>
      <c r="F1390" s="47"/>
      <c r="G1390" s="46"/>
      <c r="H1390" s="48"/>
      <c r="I1390" s="49"/>
    </row>
    <row r="1391" ht="22.5" customHeight="1">
      <c r="A1391" s="42"/>
      <c r="B1391" s="47"/>
      <c r="C1391" s="46"/>
      <c r="D1391" s="47"/>
      <c r="E1391" s="46"/>
      <c r="F1391" s="47"/>
      <c r="G1391" s="46"/>
      <c r="H1391" s="50"/>
      <c r="I1391" s="51"/>
    </row>
    <row r="1392" ht="22.5" customHeight="1">
      <c r="A1392" s="42"/>
      <c r="B1392" s="47"/>
      <c r="C1392" s="46"/>
      <c r="D1392" s="47"/>
      <c r="E1392" s="46"/>
      <c r="F1392" s="47"/>
      <c r="G1392" s="46"/>
      <c r="H1392" s="48"/>
      <c r="I1392" s="49"/>
    </row>
    <row r="1393" ht="22.5" customHeight="1">
      <c r="A1393" s="42"/>
      <c r="B1393" s="47"/>
      <c r="C1393" s="46"/>
      <c r="D1393" s="47"/>
      <c r="E1393" s="46"/>
      <c r="F1393" s="47"/>
      <c r="G1393" s="46"/>
      <c r="H1393" s="50"/>
      <c r="I1393" s="51"/>
    </row>
    <row r="1394" ht="22.5" customHeight="1">
      <c r="A1394" s="42"/>
      <c r="B1394" s="47"/>
      <c r="C1394" s="46"/>
      <c r="D1394" s="47"/>
      <c r="E1394" s="46"/>
      <c r="F1394" s="47"/>
      <c r="G1394" s="46"/>
      <c r="H1394" s="48"/>
      <c r="I1394" s="49"/>
    </row>
    <row r="1395" ht="22.5" customHeight="1">
      <c r="A1395" s="42"/>
      <c r="B1395" s="47"/>
      <c r="C1395" s="46"/>
      <c r="D1395" s="47"/>
      <c r="E1395" s="46"/>
      <c r="F1395" s="47"/>
      <c r="G1395" s="46"/>
      <c r="H1395" s="50"/>
      <c r="I1395" s="51"/>
    </row>
    <row r="1396" ht="22.5" customHeight="1">
      <c r="A1396" s="42"/>
      <c r="B1396" s="47"/>
      <c r="C1396" s="46"/>
      <c r="D1396" s="47"/>
      <c r="E1396" s="46"/>
      <c r="F1396" s="47"/>
      <c r="G1396" s="46"/>
      <c r="H1396" s="48"/>
      <c r="I1396" s="49"/>
    </row>
    <row r="1397" ht="22.5" customHeight="1">
      <c r="A1397" s="42"/>
      <c r="B1397" s="47"/>
      <c r="C1397" s="46"/>
      <c r="D1397" s="47"/>
      <c r="E1397" s="46"/>
      <c r="F1397" s="47"/>
      <c r="G1397" s="46"/>
      <c r="H1397" s="50"/>
      <c r="I1397" s="51"/>
    </row>
    <row r="1398" ht="22.5" customHeight="1">
      <c r="A1398" s="42"/>
      <c r="B1398" s="47"/>
      <c r="C1398" s="46"/>
      <c r="D1398" s="47"/>
      <c r="E1398" s="46"/>
      <c r="F1398" s="47"/>
      <c r="G1398" s="46"/>
      <c r="H1398" s="48"/>
      <c r="I1398" s="49"/>
    </row>
    <row r="1399" ht="22.5" customHeight="1">
      <c r="A1399" s="42"/>
      <c r="B1399" s="47"/>
      <c r="C1399" s="46"/>
      <c r="D1399" s="47"/>
      <c r="E1399" s="46"/>
      <c r="F1399" s="47"/>
      <c r="G1399" s="46"/>
      <c r="H1399" s="50"/>
      <c r="I1399" s="51"/>
    </row>
    <row r="1400" ht="22.5" customHeight="1">
      <c r="A1400" s="42"/>
      <c r="B1400" s="47"/>
      <c r="C1400" s="46"/>
      <c r="D1400" s="47"/>
      <c r="E1400" s="46"/>
      <c r="F1400" s="47"/>
      <c r="G1400" s="46"/>
      <c r="H1400" s="48"/>
      <c r="I1400" s="49"/>
    </row>
    <row r="1401" ht="22.5" customHeight="1">
      <c r="A1401" s="42"/>
      <c r="B1401" s="47"/>
      <c r="C1401" s="46"/>
      <c r="D1401" s="47"/>
      <c r="E1401" s="46"/>
      <c r="F1401" s="47"/>
      <c r="G1401" s="46"/>
      <c r="H1401" s="50"/>
      <c r="I1401" s="51"/>
    </row>
    <row r="1402" ht="22.5" customHeight="1">
      <c r="A1402" s="42"/>
      <c r="B1402" s="47"/>
      <c r="C1402" s="46"/>
      <c r="D1402" s="47"/>
      <c r="E1402" s="46"/>
      <c r="F1402" s="47"/>
      <c r="G1402" s="46"/>
      <c r="H1402" s="48"/>
      <c r="I1402" s="49"/>
    </row>
    <row r="1403" ht="22.5" customHeight="1">
      <c r="A1403" s="42"/>
      <c r="B1403" s="47"/>
      <c r="C1403" s="46"/>
      <c r="D1403" s="47"/>
      <c r="E1403" s="46"/>
      <c r="F1403" s="47"/>
      <c r="G1403" s="46"/>
      <c r="H1403" s="50"/>
      <c r="I1403" s="51"/>
    </row>
    <row r="1404" ht="22.5" customHeight="1">
      <c r="A1404" s="42"/>
      <c r="B1404" s="47"/>
      <c r="C1404" s="46"/>
      <c r="D1404" s="47"/>
      <c r="E1404" s="46"/>
      <c r="F1404" s="47"/>
      <c r="G1404" s="46"/>
      <c r="H1404" s="48"/>
      <c r="I1404" s="49"/>
    </row>
    <row r="1405" ht="22.5" customHeight="1">
      <c r="A1405" s="42"/>
      <c r="B1405" s="47"/>
      <c r="C1405" s="46"/>
      <c r="D1405" s="47"/>
      <c r="E1405" s="46"/>
      <c r="F1405" s="47"/>
      <c r="G1405" s="46"/>
      <c r="H1405" s="50"/>
      <c r="I1405" s="51"/>
    </row>
    <row r="1406" ht="22.5" customHeight="1">
      <c r="A1406" s="42"/>
      <c r="B1406" s="47"/>
      <c r="C1406" s="46"/>
      <c r="D1406" s="47"/>
      <c r="E1406" s="46"/>
      <c r="F1406" s="47"/>
      <c r="G1406" s="46"/>
      <c r="H1406" s="48"/>
      <c r="I1406" s="49"/>
    </row>
    <row r="1407" ht="22.5" customHeight="1">
      <c r="A1407" s="42"/>
      <c r="B1407" s="47"/>
      <c r="C1407" s="46"/>
      <c r="D1407" s="47"/>
      <c r="E1407" s="46"/>
      <c r="F1407" s="47"/>
      <c r="G1407" s="46"/>
      <c r="H1407" s="50"/>
      <c r="I1407" s="51"/>
    </row>
    <row r="1408" ht="22.5" customHeight="1">
      <c r="A1408" s="42"/>
      <c r="B1408" s="47"/>
      <c r="C1408" s="46"/>
      <c r="D1408" s="47"/>
      <c r="E1408" s="46"/>
      <c r="F1408" s="47"/>
      <c r="G1408" s="46"/>
      <c r="H1408" s="48"/>
      <c r="I1408" s="49"/>
    </row>
    <row r="1409" ht="22.5" customHeight="1">
      <c r="A1409" s="42"/>
      <c r="B1409" s="47"/>
      <c r="C1409" s="46"/>
      <c r="D1409" s="47"/>
      <c r="E1409" s="46"/>
      <c r="F1409" s="47"/>
      <c r="G1409" s="46"/>
      <c r="H1409" s="50"/>
      <c r="I1409" s="51"/>
    </row>
    <row r="1410" ht="22.5" customHeight="1">
      <c r="A1410" s="42"/>
      <c r="B1410" s="47"/>
      <c r="C1410" s="46"/>
      <c r="D1410" s="47"/>
      <c r="E1410" s="46"/>
      <c r="F1410" s="47"/>
      <c r="G1410" s="46"/>
      <c r="H1410" s="48"/>
      <c r="I1410" s="49"/>
    </row>
    <row r="1411" ht="22.5" customHeight="1">
      <c r="A1411" s="42"/>
      <c r="B1411" s="47"/>
      <c r="C1411" s="46"/>
      <c r="D1411" s="47"/>
      <c r="E1411" s="46"/>
      <c r="F1411" s="47"/>
      <c r="G1411" s="46"/>
      <c r="H1411" s="50"/>
      <c r="I1411" s="51"/>
    </row>
    <row r="1412" ht="22.5" customHeight="1">
      <c r="A1412" s="42"/>
      <c r="B1412" s="47"/>
      <c r="C1412" s="46"/>
      <c r="D1412" s="47"/>
      <c r="E1412" s="46"/>
      <c r="F1412" s="47"/>
      <c r="G1412" s="46"/>
      <c r="H1412" s="48"/>
      <c r="I1412" s="49"/>
    </row>
    <row r="1413" ht="22.5" customHeight="1">
      <c r="A1413" s="42"/>
      <c r="B1413" s="47"/>
      <c r="C1413" s="46"/>
      <c r="D1413" s="47"/>
      <c r="E1413" s="46"/>
      <c r="F1413" s="47"/>
      <c r="G1413" s="46"/>
      <c r="H1413" s="50"/>
      <c r="I1413" s="51"/>
    </row>
    <row r="1414" ht="22.5" customHeight="1">
      <c r="A1414" s="42"/>
      <c r="B1414" s="47"/>
      <c r="C1414" s="46"/>
      <c r="D1414" s="47"/>
      <c r="E1414" s="46"/>
      <c r="F1414" s="47"/>
      <c r="G1414" s="46"/>
      <c r="H1414" s="48"/>
      <c r="I1414" s="49"/>
    </row>
    <row r="1415" ht="22.5" customHeight="1">
      <c r="A1415" s="42"/>
      <c r="B1415" s="47"/>
      <c r="C1415" s="46"/>
      <c r="D1415" s="47"/>
      <c r="E1415" s="46"/>
      <c r="F1415" s="47"/>
      <c r="G1415" s="46"/>
      <c r="H1415" s="50"/>
      <c r="I1415" s="51"/>
    </row>
    <row r="1416" ht="22.5" customHeight="1">
      <c r="A1416" s="42"/>
      <c r="B1416" s="47"/>
      <c r="C1416" s="46"/>
      <c r="D1416" s="47"/>
      <c r="E1416" s="46"/>
      <c r="F1416" s="47"/>
      <c r="G1416" s="46"/>
      <c r="H1416" s="48"/>
      <c r="I1416" s="49"/>
    </row>
    <row r="1417" ht="22.5" customHeight="1">
      <c r="A1417" s="42"/>
      <c r="B1417" s="47"/>
      <c r="C1417" s="46"/>
      <c r="D1417" s="47"/>
      <c r="E1417" s="46"/>
      <c r="F1417" s="47"/>
      <c r="G1417" s="46"/>
      <c r="H1417" s="50"/>
      <c r="I1417" s="51"/>
    </row>
    <row r="1418" ht="22.5" customHeight="1">
      <c r="A1418" s="42"/>
      <c r="B1418" s="47"/>
      <c r="C1418" s="46"/>
      <c r="D1418" s="47"/>
      <c r="E1418" s="46"/>
      <c r="F1418" s="47"/>
      <c r="G1418" s="46"/>
      <c r="H1418" s="48"/>
      <c r="I1418" s="49"/>
    </row>
    <row r="1419" ht="22.5" customHeight="1">
      <c r="A1419" s="42"/>
      <c r="B1419" s="47"/>
      <c r="C1419" s="46"/>
      <c r="D1419" s="47"/>
      <c r="E1419" s="46"/>
      <c r="F1419" s="47"/>
      <c r="G1419" s="46"/>
      <c r="H1419" s="50"/>
      <c r="I1419" s="51"/>
    </row>
    <row r="1420" ht="22.5" customHeight="1">
      <c r="A1420" s="42"/>
      <c r="B1420" s="47"/>
      <c r="C1420" s="46"/>
      <c r="D1420" s="47"/>
      <c r="E1420" s="46"/>
      <c r="F1420" s="47"/>
      <c r="G1420" s="46"/>
      <c r="H1420" s="48"/>
      <c r="I1420" s="49"/>
    </row>
    <row r="1421" ht="22.5" customHeight="1">
      <c r="A1421" s="42"/>
      <c r="B1421" s="47"/>
      <c r="C1421" s="46"/>
      <c r="D1421" s="47"/>
      <c r="E1421" s="46"/>
      <c r="F1421" s="47"/>
      <c r="G1421" s="46"/>
      <c r="H1421" s="50"/>
      <c r="I1421" s="51"/>
    </row>
    <row r="1422" ht="22.5" customHeight="1">
      <c r="A1422" s="42"/>
      <c r="B1422" s="47"/>
      <c r="C1422" s="46"/>
      <c r="D1422" s="47"/>
      <c r="E1422" s="46"/>
      <c r="F1422" s="47"/>
      <c r="G1422" s="46"/>
      <c r="H1422" s="48"/>
      <c r="I1422" s="49"/>
    </row>
    <row r="1423" ht="22.5" customHeight="1">
      <c r="A1423" s="42"/>
      <c r="B1423" s="47"/>
      <c r="C1423" s="46"/>
      <c r="D1423" s="47"/>
      <c r="E1423" s="46"/>
      <c r="F1423" s="47"/>
      <c r="G1423" s="46"/>
      <c r="H1423" s="50"/>
      <c r="I1423" s="51"/>
    </row>
    <row r="1424" ht="22.5" customHeight="1">
      <c r="A1424" s="42"/>
      <c r="B1424" s="47"/>
      <c r="C1424" s="46"/>
      <c r="D1424" s="47"/>
      <c r="E1424" s="46"/>
      <c r="F1424" s="47"/>
      <c r="G1424" s="46"/>
      <c r="H1424" s="48"/>
      <c r="I1424" s="49"/>
    </row>
    <row r="1425" ht="22.5" customHeight="1">
      <c r="A1425" s="42"/>
      <c r="B1425" s="47"/>
      <c r="C1425" s="46"/>
      <c r="D1425" s="47"/>
      <c r="E1425" s="46"/>
      <c r="F1425" s="47"/>
      <c r="G1425" s="46"/>
      <c r="H1425" s="50"/>
      <c r="I1425" s="51"/>
    </row>
    <row r="1426" ht="22.5" customHeight="1">
      <c r="A1426" s="42"/>
      <c r="B1426" s="47"/>
      <c r="C1426" s="46"/>
      <c r="D1426" s="47"/>
      <c r="E1426" s="46"/>
      <c r="F1426" s="47"/>
      <c r="G1426" s="46"/>
      <c r="H1426" s="48"/>
      <c r="I1426" s="49"/>
    </row>
    <row r="1427" ht="22.5" customHeight="1">
      <c r="A1427" s="42"/>
      <c r="B1427" s="47"/>
      <c r="C1427" s="46"/>
      <c r="D1427" s="47"/>
      <c r="E1427" s="46"/>
      <c r="F1427" s="47"/>
      <c r="G1427" s="46"/>
      <c r="H1427" s="50"/>
      <c r="I1427" s="51"/>
    </row>
    <row r="1428" ht="22.5" customHeight="1">
      <c r="A1428" s="42"/>
      <c r="B1428" s="47"/>
      <c r="C1428" s="46"/>
      <c r="D1428" s="47"/>
      <c r="E1428" s="46"/>
      <c r="F1428" s="47"/>
      <c r="G1428" s="46"/>
      <c r="H1428" s="48"/>
      <c r="I1428" s="49"/>
    </row>
    <row r="1429" ht="22.5" customHeight="1">
      <c r="A1429" s="42"/>
      <c r="B1429" s="47"/>
      <c r="C1429" s="46"/>
      <c r="D1429" s="47"/>
      <c r="E1429" s="46"/>
      <c r="F1429" s="47"/>
      <c r="G1429" s="46"/>
      <c r="H1429" s="50"/>
      <c r="I1429" s="51"/>
    </row>
    <row r="1430" ht="22.5" customHeight="1">
      <c r="A1430" s="42"/>
      <c r="B1430" s="47"/>
      <c r="C1430" s="46"/>
      <c r="D1430" s="47"/>
      <c r="E1430" s="46"/>
      <c r="F1430" s="47"/>
      <c r="G1430" s="46"/>
      <c r="H1430" s="48"/>
      <c r="I1430" s="49"/>
    </row>
    <row r="1431" ht="22.5" customHeight="1">
      <c r="A1431" s="42"/>
      <c r="B1431" s="47"/>
      <c r="C1431" s="46"/>
      <c r="D1431" s="47"/>
      <c r="E1431" s="46"/>
      <c r="F1431" s="47"/>
      <c r="G1431" s="46"/>
      <c r="H1431" s="50"/>
      <c r="I1431" s="51"/>
    </row>
    <row r="1432" ht="22.5" customHeight="1">
      <c r="A1432" s="42"/>
      <c r="B1432" s="47"/>
      <c r="C1432" s="46"/>
      <c r="D1432" s="47"/>
      <c r="E1432" s="46"/>
      <c r="F1432" s="47"/>
      <c r="G1432" s="46"/>
      <c r="H1432" s="48"/>
      <c r="I1432" s="49"/>
    </row>
    <row r="1433" ht="22.5" customHeight="1">
      <c r="A1433" s="42"/>
      <c r="B1433" s="47"/>
      <c r="C1433" s="46"/>
      <c r="D1433" s="47"/>
      <c r="E1433" s="46"/>
      <c r="F1433" s="47"/>
      <c r="G1433" s="46"/>
      <c r="H1433" s="50"/>
      <c r="I1433" s="51"/>
    </row>
    <row r="1434" ht="22.5" customHeight="1">
      <c r="A1434" s="42"/>
      <c r="B1434" s="47"/>
      <c r="C1434" s="46"/>
      <c r="D1434" s="47"/>
      <c r="E1434" s="46"/>
      <c r="F1434" s="47"/>
      <c r="G1434" s="46"/>
      <c r="H1434" s="48"/>
      <c r="I1434" s="49"/>
    </row>
    <row r="1435" ht="22.5" customHeight="1">
      <c r="A1435" s="42"/>
      <c r="B1435" s="47"/>
      <c r="C1435" s="46"/>
      <c r="D1435" s="47"/>
      <c r="E1435" s="46"/>
      <c r="F1435" s="47"/>
      <c r="G1435" s="46"/>
      <c r="H1435" s="50"/>
      <c r="I1435" s="51"/>
    </row>
    <row r="1436" ht="22.5" customHeight="1">
      <c r="A1436" s="42"/>
      <c r="B1436" s="47"/>
      <c r="C1436" s="46"/>
      <c r="D1436" s="47"/>
      <c r="E1436" s="46"/>
      <c r="F1436" s="47"/>
      <c r="G1436" s="46"/>
      <c r="H1436" s="48"/>
      <c r="I1436" s="49"/>
    </row>
    <row r="1437" ht="22.5" customHeight="1">
      <c r="A1437" s="42"/>
      <c r="B1437" s="47"/>
      <c r="C1437" s="46"/>
      <c r="D1437" s="47"/>
      <c r="E1437" s="46"/>
      <c r="F1437" s="47"/>
      <c r="G1437" s="46"/>
      <c r="H1437" s="50"/>
      <c r="I1437" s="51"/>
    </row>
    <row r="1438" ht="22.5" customHeight="1">
      <c r="A1438" s="42"/>
      <c r="B1438" s="47"/>
      <c r="C1438" s="46"/>
      <c r="D1438" s="47"/>
      <c r="E1438" s="46"/>
      <c r="F1438" s="47"/>
      <c r="G1438" s="46"/>
      <c r="H1438" s="48"/>
      <c r="I1438" s="49"/>
    </row>
    <row r="1439" ht="22.5" customHeight="1">
      <c r="A1439" s="42"/>
      <c r="B1439" s="47"/>
      <c r="C1439" s="46"/>
      <c r="D1439" s="47"/>
      <c r="E1439" s="46"/>
      <c r="F1439" s="47"/>
      <c r="G1439" s="46"/>
      <c r="H1439" s="50"/>
      <c r="I1439" s="51"/>
    </row>
    <row r="1440" ht="22.5" customHeight="1">
      <c r="A1440" s="42"/>
      <c r="B1440" s="47"/>
      <c r="C1440" s="46"/>
      <c r="D1440" s="47"/>
      <c r="E1440" s="46"/>
      <c r="F1440" s="47"/>
      <c r="G1440" s="46"/>
      <c r="H1440" s="48"/>
      <c r="I1440" s="49"/>
    </row>
    <row r="1441" ht="22.5" customHeight="1">
      <c r="A1441" s="42"/>
      <c r="B1441" s="47"/>
      <c r="C1441" s="46"/>
      <c r="D1441" s="47"/>
      <c r="E1441" s="46"/>
      <c r="F1441" s="47"/>
      <c r="G1441" s="46"/>
      <c r="H1441" s="50"/>
      <c r="I1441" s="51"/>
    </row>
    <row r="1442" ht="22.5" customHeight="1">
      <c r="A1442" s="42"/>
      <c r="B1442" s="47"/>
      <c r="C1442" s="46"/>
      <c r="D1442" s="47"/>
      <c r="E1442" s="46"/>
      <c r="F1442" s="47"/>
      <c r="G1442" s="46"/>
      <c r="H1442" s="48"/>
      <c r="I1442" s="49"/>
    </row>
    <row r="1443" ht="22.5" customHeight="1">
      <c r="A1443" s="42"/>
      <c r="B1443" s="47"/>
      <c r="C1443" s="46"/>
      <c r="D1443" s="47"/>
      <c r="E1443" s="46"/>
      <c r="F1443" s="47"/>
      <c r="G1443" s="46"/>
      <c r="H1443" s="50"/>
      <c r="I1443" s="51"/>
    </row>
    <row r="1444" ht="22.5" customHeight="1">
      <c r="A1444" s="42"/>
      <c r="B1444" s="47"/>
      <c r="C1444" s="46"/>
      <c r="D1444" s="47"/>
      <c r="E1444" s="46"/>
      <c r="F1444" s="47"/>
      <c r="G1444" s="46"/>
      <c r="H1444" s="48"/>
      <c r="I1444" s="49"/>
    </row>
    <row r="1445" ht="22.5" customHeight="1">
      <c r="A1445" s="42"/>
      <c r="B1445" s="47"/>
      <c r="C1445" s="46"/>
      <c r="D1445" s="47"/>
      <c r="E1445" s="46"/>
      <c r="F1445" s="47"/>
      <c r="G1445" s="46"/>
      <c r="H1445" s="50"/>
      <c r="I1445" s="51"/>
    </row>
    <row r="1446" ht="22.5" customHeight="1">
      <c r="A1446" s="42"/>
      <c r="B1446" s="47"/>
      <c r="C1446" s="46"/>
      <c r="D1446" s="47"/>
      <c r="E1446" s="46"/>
      <c r="F1446" s="47"/>
      <c r="G1446" s="46"/>
      <c r="H1446" s="48"/>
      <c r="I1446" s="49"/>
    </row>
    <row r="1447" ht="22.5" customHeight="1">
      <c r="A1447" s="42"/>
      <c r="B1447" s="47"/>
      <c r="C1447" s="46"/>
      <c r="D1447" s="47"/>
      <c r="E1447" s="46"/>
      <c r="F1447" s="47"/>
      <c r="G1447" s="46"/>
      <c r="H1447" s="50"/>
      <c r="I1447" s="51"/>
    </row>
    <row r="1448" ht="22.5" customHeight="1">
      <c r="A1448" s="42"/>
      <c r="B1448" s="47"/>
      <c r="C1448" s="46"/>
      <c r="D1448" s="47"/>
      <c r="E1448" s="46"/>
      <c r="F1448" s="47"/>
      <c r="G1448" s="46"/>
      <c r="H1448" s="48"/>
      <c r="I1448" s="49"/>
    </row>
    <row r="1449" ht="22.5" customHeight="1">
      <c r="A1449" s="42"/>
      <c r="B1449" s="47"/>
      <c r="C1449" s="46"/>
      <c r="D1449" s="47"/>
      <c r="E1449" s="46"/>
      <c r="F1449" s="47"/>
      <c r="G1449" s="46"/>
      <c r="H1449" s="50"/>
      <c r="I1449" s="51"/>
    </row>
    <row r="1450" ht="22.5" customHeight="1">
      <c r="A1450" s="42"/>
      <c r="B1450" s="47"/>
      <c r="C1450" s="46"/>
      <c r="D1450" s="47"/>
      <c r="E1450" s="46"/>
      <c r="F1450" s="47"/>
      <c r="G1450" s="46"/>
      <c r="H1450" s="48"/>
      <c r="I1450" s="49"/>
    </row>
    <row r="1451" ht="22.5" customHeight="1">
      <c r="A1451" s="42"/>
      <c r="B1451" s="47"/>
      <c r="C1451" s="46"/>
      <c r="D1451" s="47"/>
      <c r="E1451" s="46"/>
      <c r="F1451" s="47"/>
      <c r="G1451" s="46"/>
      <c r="H1451" s="50"/>
      <c r="I1451" s="51"/>
    </row>
    <row r="1452" ht="22.5" customHeight="1">
      <c r="A1452" s="42"/>
      <c r="B1452" s="47"/>
      <c r="C1452" s="46"/>
      <c r="D1452" s="47"/>
      <c r="E1452" s="46"/>
      <c r="F1452" s="47"/>
      <c r="G1452" s="46"/>
      <c r="H1452" s="48"/>
      <c r="I1452" s="49"/>
    </row>
    <row r="1453" ht="22.5" customHeight="1">
      <c r="A1453" s="42"/>
      <c r="B1453" s="47"/>
      <c r="C1453" s="46"/>
      <c r="D1453" s="47"/>
      <c r="E1453" s="46"/>
      <c r="F1453" s="47"/>
      <c r="G1453" s="46"/>
      <c r="H1453" s="50"/>
      <c r="I1453" s="51"/>
    </row>
    <row r="1454" ht="22.5" customHeight="1">
      <c r="A1454" s="42"/>
      <c r="B1454" s="47"/>
      <c r="C1454" s="46"/>
      <c r="D1454" s="47"/>
      <c r="E1454" s="46"/>
      <c r="F1454" s="47"/>
      <c r="G1454" s="46"/>
      <c r="H1454" s="48"/>
      <c r="I1454" s="49"/>
    </row>
    <row r="1455" ht="22.5" customHeight="1">
      <c r="A1455" s="42"/>
      <c r="B1455" s="47"/>
      <c r="C1455" s="46"/>
      <c r="D1455" s="47"/>
      <c r="E1455" s="46"/>
      <c r="F1455" s="47"/>
      <c r="G1455" s="46"/>
      <c r="H1455" s="50"/>
      <c r="I1455" s="51"/>
    </row>
    <row r="1456" ht="22.5" customHeight="1">
      <c r="A1456" s="42"/>
      <c r="B1456" s="47"/>
      <c r="C1456" s="46"/>
      <c r="D1456" s="47"/>
      <c r="E1456" s="46"/>
      <c r="F1456" s="47"/>
      <c r="G1456" s="46"/>
      <c r="H1456" s="48"/>
      <c r="I1456" s="49"/>
    </row>
    <row r="1457" ht="22.5" customHeight="1">
      <c r="A1457" s="42"/>
      <c r="B1457" s="47"/>
      <c r="C1457" s="46"/>
      <c r="D1457" s="47"/>
      <c r="E1457" s="46"/>
      <c r="F1457" s="47"/>
      <c r="G1457" s="46"/>
      <c r="H1457" s="50"/>
      <c r="I1457" s="51"/>
    </row>
    <row r="1458" ht="22.5" customHeight="1">
      <c r="A1458" s="42"/>
      <c r="B1458" s="47"/>
      <c r="C1458" s="46"/>
      <c r="D1458" s="47"/>
      <c r="E1458" s="46"/>
      <c r="F1458" s="47"/>
      <c r="G1458" s="46"/>
      <c r="H1458" s="48"/>
      <c r="I1458" s="49"/>
    </row>
    <row r="1459" ht="22.5" customHeight="1">
      <c r="A1459" s="42"/>
      <c r="B1459" s="47"/>
      <c r="C1459" s="46"/>
      <c r="D1459" s="47"/>
      <c r="E1459" s="46"/>
      <c r="F1459" s="47"/>
      <c r="G1459" s="46"/>
      <c r="H1459" s="50"/>
      <c r="I1459" s="51"/>
    </row>
    <row r="1460" ht="22.5" customHeight="1">
      <c r="A1460" s="42"/>
      <c r="B1460" s="47"/>
      <c r="C1460" s="46"/>
      <c r="D1460" s="47"/>
      <c r="E1460" s="46"/>
      <c r="F1460" s="47"/>
      <c r="G1460" s="46"/>
      <c r="H1460" s="48"/>
      <c r="I1460" s="49"/>
    </row>
    <row r="1461" ht="22.5" customHeight="1">
      <c r="A1461" s="42"/>
      <c r="B1461" s="47"/>
      <c r="C1461" s="46"/>
      <c r="D1461" s="47"/>
      <c r="E1461" s="46"/>
      <c r="F1461" s="47"/>
      <c r="G1461" s="46"/>
      <c r="H1461" s="50"/>
      <c r="I1461" s="51"/>
    </row>
    <row r="1462" ht="22.5" customHeight="1">
      <c r="A1462" s="42"/>
      <c r="B1462" s="47"/>
      <c r="C1462" s="46"/>
      <c r="D1462" s="47"/>
      <c r="E1462" s="46"/>
      <c r="F1462" s="47"/>
      <c r="G1462" s="46"/>
      <c r="H1462" s="48"/>
      <c r="I1462" s="49"/>
    </row>
    <row r="1463" ht="22.5" customHeight="1">
      <c r="A1463" s="42"/>
      <c r="B1463" s="47"/>
      <c r="C1463" s="46"/>
      <c r="D1463" s="47"/>
      <c r="E1463" s="46"/>
      <c r="F1463" s="47"/>
      <c r="G1463" s="46"/>
      <c r="H1463" s="50"/>
      <c r="I1463" s="51"/>
    </row>
    <row r="1464" ht="22.5" customHeight="1">
      <c r="A1464" s="42"/>
      <c r="B1464" s="47"/>
      <c r="C1464" s="46"/>
      <c r="D1464" s="47"/>
      <c r="E1464" s="46"/>
      <c r="F1464" s="47"/>
      <c r="G1464" s="46"/>
      <c r="H1464" s="48"/>
      <c r="I1464" s="49"/>
    </row>
    <row r="1465" ht="22.5" customHeight="1">
      <c r="A1465" s="42"/>
      <c r="B1465" s="47"/>
      <c r="C1465" s="46"/>
      <c r="D1465" s="47"/>
      <c r="E1465" s="46"/>
      <c r="F1465" s="47"/>
      <c r="G1465" s="46"/>
      <c r="H1465" s="50"/>
      <c r="I1465" s="51"/>
    </row>
    <row r="1466" ht="22.5" customHeight="1">
      <c r="A1466" s="42"/>
      <c r="B1466" s="47"/>
      <c r="C1466" s="46"/>
      <c r="D1466" s="47"/>
      <c r="E1466" s="46"/>
      <c r="F1466" s="47"/>
      <c r="G1466" s="46"/>
      <c r="H1466" s="48"/>
      <c r="I1466" s="49"/>
    </row>
    <row r="1467" ht="22.5" customHeight="1">
      <c r="A1467" s="42"/>
      <c r="B1467" s="47"/>
      <c r="C1467" s="46"/>
      <c r="D1467" s="47"/>
      <c r="E1467" s="46"/>
      <c r="F1467" s="47"/>
      <c r="G1467" s="46"/>
      <c r="H1467" s="50"/>
      <c r="I1467" s="51"/>
    </row>
    <row r="1468" ht="22.5" customHeight="1">
      <c r="A1468" s="42"/>
      <c r="B1468" s="47"/>
      <c r="C1468" s="46"/>
      <c r="D1468" s="47"/>
      <c r="E1468" s="46"/>
      <c r="F1468" s="47"/>
      <c r="G1468" s="46"/>
      <c r="H1468" s="48"/>
      <c r="I1468" s="49"/>
    </row>
    <row r="1469" ht="22.5" customHeight="1">
      <c r="A1469" s="42"/>
      <c r="B1469" s="47"/>
      <c r="C1469" s="46"/>
      <c r="D1469" s="47"/>
      <c r="E1469" s="46"/>
      <c r="F1469" s="47"/>
      <c r="G1469" s="46"/>
      <c r="H1469" s="50"/>
      <c r="I1469" s="51"/>
    </row>
    <row r="1470" ht="22.5" customHeight="1">
      <c r="A1470" s="42"/>
      <c r="B1470" s="47"/>
      <c r="C1470" s="46"/>
      <c r="D1470" s="47"/>
      <c r="E1470" s="46"/>
      <c r="F1470" s="47"/>
      <c r="G1470" s="46"/>
      <c r="H1470" s="48"/>
      <c r="I1470" s="49"/>
    </row>
    <row r="1471" ht="22.5" customHeight="1">
      <c r="A1471" s="42"/>
      <c r="B1471" s="47"/>
      <c r="C1471" s="46"/>
      <c r="D1471" s="47"/>
      <c r="E1471" s="46"/>
      <c r="F1471" s="47"/>
      <c r="G1471" s="46"/>
      <c r="H1471" s="50"/>
      <c r="I1471" s="51"/>
    </row>
    <row r="1472" ht="22.5" customHeight="1">
      <c r="A1472" s="42"/>
      <c r="B1472" s="47"/>
      <c r="C1472" s="46"/>
      <c r="D1472" s="47"/>
      <c r="E1472" s="46"/>
      <c r="F1472" s="47"/>
      <c r="G1472" s="46"/>
      <c r="H1472" s="48"/>
      <c r="I1472" s="49"/>
    </row>
    <row r="1473" ht="22.5" customHeight="1">
      <c r="A1473" s="42"/>
      <c r="B1473" s="47"/>
      <c r="C1473" s="46"/>
      <c r="D1473" s="47"/>
      <c r="E1473" s="46"/>
      <c r="F1473" s="47"/>
      <c r="G1473" s="46"/>
      <c r="H1473" s="50"/>
      <c r="I1473" s="51"/>
    </row>
    <row r="1474" ht="22.5" customHeight="1">
      <c r="A1474" s="42"/>
      <c r="B1474" s="47"/>
      <c r="C1474" s="46"/>
      <c r="D1474" s="47"/>
      <c r="E1474" s="46"/>
      <c r="F1474" s="47"/>
      <c r="G1474" s="46"/>
      <c r="H1474" s="48"/>
      <c r="I1474" s="49"/>
    </row>
    <row r="1475" ht="22.5" customHeight="1">
      <c r="A1475" s="42"/>
      <c r="B1475" s="47"/>
      <c r="C1475" s="46"/>
      <c r="D1475" s="47"/>
      <c r="E1475" s="46"/>
      <c r="F1475" s="47"/>
      <c r="G1475" s="46"/>
      <c r="H1475" s="50"/>
      <c r="I1475" s="51"/>
    </row>
    <row r="1476" ht="22.5" customHeight="1">
      <c r="A1476" s="42"/>
      <c r="B1476" s="47"/>
      <c r="C1476" s="46"/>
      <c r="D1476" s="47"/>
      <c r="E1476" s="46"/>
      <c r="F1476" s="47"/>
      <c r="G1476" s="46"/>
      <c r="H1476" s="48"/>
      <c r="I1476" s="49"/>
    </row>
    <row r="1477" ht="22.5" customHeight="1">
      <c r="A1477" s="42"/>
      <c r="B1477" s="47"/>
      <c r="C1477" s="46"/>
      <c r="D1477" s="47"/>
      <c r="E1477" s="46"/>
      <c r="F1477" s="47"/>
      <c r="G1477" s="46"/>
      <c r="H1477" s="50"/>
      <c r="I1477" s="51"/>
    </row>
    <row r="1478" ht="22.5" customHeight="1">
      <c r="A1478" s="42"/>
      <c r="B1478" s="47"/>
      <c r="C1478" s="46"/>
      <c r="D1478" s="47"/>
      <c r="E1478" s="46"/>
      <c r="F1478" s="47"/>
      <c r="G1478" s="46"/>
      <c r="H1478" s="48"/>
      <c r="I1478" s="49"/>
    </row>
    <row r="1479" ht="22.5" customHeight="1">
      <c r="A1479" s="42"/>
      <c r="B1479" s="47"/>
      <c r="C1479" s="46"/>
      <c r="D1479" s="47"/>
      <c r="E1479" s="46"/>
      <c r="F1479" s="47"/>
      <c r="G1479" s="46"/>
      <c r="H1479" s="50"/>
      <c r="I1479" s="51"/>
    </row>
    <row r="1480" ht="22.5" customHeight="1">
      <c r="A1480" s="42"/>
      <c r="B1480" s="47"/>
      <c r="C1480" s="46"/>
      <c r="D1480" s="47"/>
      <c r="E1480" s="46"/>
      <c r="F1480" s="47"/>
      <c r="G1480" s="46"/>
      <c r="H1480" s="48"/>
      <c r="I1480" s="49"/>
    </row>
    <row r="1481" ht="22.5" customHeight="1">
      <c r="A1481" s="42"/>
      <c r="B1481" s="47"/>
      <c r="C1481" s="46"/>
      <c r="D1481" s="47"/>
      <c r="E1481" s="46"/>
      <c r="F1481" s="47"/>
      <c r="G1481" s="46"/>
      <c r="H1481" s="50"/>
      <c r="I1481" s="51"/>
    </row>
    <row r="1482" ht="22.5" customHeight="1">
      <c r="A1482" s="42"/>
      <c r="B1482" s="47"/>
      <c r="C1482" s="46"/>
      <c r="D1482" s="47"/>
      <c r="E1482" s="46"/>
      <c r="F1482" s="47"/>
      <c r="G1482" s="46"/>
      <c r="H1482" s="48"/>
      <c r="I1482" s="49"/>
    </row>
    <row r="1483" ht="22.5" customHeight="1">
      <c r="A1483" s="42"/>
      <c r="B1483" s="47"/>
      <c r="C1483" s="46"/>
      <c r="D1483" s="47"/>
      <c r="E1483" s="46"/>
      <c r="F1483" s="47"/>
      <c r="G1483" s="46"/>
      <c r="H1483" s="50"/>
      <c r="I1483" s="51"/>
    </row>
    <row r="1484" ht="22.5" customHeight="1">
      <c r="A1484" s="42"/>
      <c r="B1484" s="47"/>
      <c r="C1484" s="46"/>
      <c r="D1484" s="47"/>
      <c r="E1484" s="46"/>
      <c r="F1484" s="47"/>
      <c r="G1484" s="46"/>
      <c r="H1484" s="48"/>
      <c r="I1484" s="49"/>
    </row>
    <row r="1485" ht="22.5" customHeight="1">
      <c r="A1485" s="42"/>
      <c r="B1485" s="47"/>
      <c r="C1485" s="46"/>
      <c r="D1485" s="47"/>
      <c r="E1485" s="46"/>
      <c r="F1485" s="47"/>
      <c r="G1485" s="46"/>
      <c r="H1485" s="50"/>
      <c r="I1485" s="51"/>
    </row>
    <row r="1486" ht="22.5" customHeight="1">
      <c r="A1486" s="42"/>
      <c r="B1486" s="47"/>
      <c r="C1486" s="46"/>
      <c r="D1486" s="47"/>
      <c r="E1486" s="46"/>
      <c r="F1486" s="47"/>
      <c r="G1486" s="46"/>
      <c r="H1486" s="48"/>
      <c r="I1486" s="49"/>
    </row>
    <row r="1487" ht="22.5" customHeight="1">
      <c r="A1487" s="42"/>
      <c r="B1487" s="47"/>
      <c r="C1487" s="46"/>
      <c r="D1487" s="47"/>
      <c r="E1487" s="46"/>
      <c r="F1487" s="47"/>
      <c r="G1487" s="46"/>
      <c r="H1487" s="50"/>
      <c r="I1487" s="51"/>
    </row>
    <row r="1488" ht="22.5" customHeight="1">
      <c r="A1488" s="42"/>
      <c r="B1488" s="47"/>
      <c r="C1488" s="46"/>
      <c r="D1488" s="47"/>
      <c r="E1488" s="46"/>
      <c r="F1488" s="47"/>
      <c r="G1488" s="46"/>
      <c r="H1488" s="48"/>
      <c r="I1488" s="49"/>
    </row>
    <row r="1489" ht="22.5" customHeight="1">
      <c r="A1489" s="42"/>
      <c r="B1489" s="47"/>
      <c r="C1489" s="46"/>
      <c r="D1489" s="47"/>
      <c r="E1489" s="46"/>
      <c r="F1489" s="47"/>
      <c r="G1489" s="46"/>
      <c r="H1489" s="50"/>
      <c r="I1489" s="51"/>
    </row>
    <row r="1490" ht="22.5" customHeight="1">
      <c r="A1490" s="42"/>
      <c r="B1490" s="47"/>
      <c r="C1490" s="46"/>
      <c r="D1490" s="47"/>
      <c r="E1490" s="46"/>
      <c r="F1490" s="47"/>
      <c r="G1490" s="46"/>
      <c r="H1490" s="48"/>
      <c r="I1490" s="49"/>
    </row>
    <row r="1491" ht="22.5" customHeight="1">
      <c r="A1491" s="42"/>
      <c r="B1491" s="47"/>
      <c r="C1491" s="46"/>
      <c r="D1491" s="47"/>
      <c r="E1491" s="46"/>
      <c r="F1491" s="47"/>
      <c r="G1491" s="46"/>
      <c r="H1491" s="50"/>
      <c r="I1491" s="51"/>
    </row>
    <row r="1492" ht="22.5" customHeight="1">
      <c r="A1492" s="42"/>
      <c r="B1492" s="47"/>
      <c r="C1492" s="46"/>
      <c r="D1492" s="47"/>
      <c r="E1492" s="46"/>
      <c r="F1492" s="47"/>
      <c r="G1492" s="46"/>
      <c r="H1492" s="48"/>
      <c r="I1492" s="49"/>
    </row>
    <row r="1493" ht="22.5" customHeight="1">
      <c r="A1493" s="42"/>
      <c r="B1493" s="47"/>
      <c r="C1493" s="46"/>
      <c r="D1493" s="47"/>
      <c r="E1493" s="46"/>
      <c r="F1493" s="47"/>
      <c r="G1493" s="46"/>
      <c r="H1493" s="50"/>
      <c r="I1493" s="51"/>
    </row>
    <row r="1494" ht="22.5" customHeight="1">
      <c r="A1494" s="42"/>
      <c r="B1494" s="47"/>
      <c r="C1494" s="46"/>
      <c r="D1494" s="47"/>
      <c r="E1494" s="46"/>
      <c r="F1494" s="47"/>
      <c r="G1494" s="46"/>
      <c r="H1494" s="48"/>
      <c r="I1494" s="49"/>
    </row>
    <row r="1495" ht="22.5" customHeight="1">
      <c r="A1495" s="42"/>
      <c r="B1495" s="47"/>
      <c r="C1495" s="46"/>
      <c r="D1495" s="47"/>
      <c r="E1495" s="46"/>
      <c r="F1495" s="47"/>
      <c r="G1495" s="46"/>
      <c r="H1495" s="50"/>
      <c r="I1495" s="51"/>
    </row>
    <row r="1496" ht="22.5" customHeight="1">
      <c r="A1496" s="42"/>
      <c r="B1496" s="47"/>
      <c r="C1496" s="46"/>
      <c r="D1496" s="47"/>
      <c r="E1496" s="46"/>
      <c r="F1496" s="47"/>
      <c r="G1496" s="46"/>
      <c r="H1496" s="48"/>
      <c r="I1496" s="49"/>
    </row>
    <row r="1497" ht="22.5" customHeight="1">
      <c r="A1497" s="42"/>
      <c r="B1497" s="47"/>
      <c r="C1497" s="46"/>
      <c r="D1497" s="47"/>
      <c r="E1497" s="46"/>
      <c r="F1497" s="47"/>
      <c r="G1497" s="46"/>
      <c r="H1497" s="50"/>
      <c r="I1497" s="51"/>
    </row>
    <row r="1498" ht="22.5" customHeight="1">
      <c r="A1498" s="42"/>
      <c r="B1498" s="47"/>
      <c r="C1498" s="46"/>
      <c r="D1498" s="47"/>
      <c r="E1498" s="46"/>
      <c r="F1498" s="47"/>
      <c r="G1498" s="46"/>
      <c r="H1498" s="48"/>
      <c r="I1498" s="49"/>
    </row>
    <row r="1499" ht="22.5" customHeight="1">
      <c r="A1499" s="42"/>
      <c r="B1499" s="47"/>
      <c r="C1499" s="46"/>
      <c r="D1499" s="47"/>
      <c r="E1499" s="46"/>
      <c r="F1499" s="47"/>
      <c r="G1499" s="46"/>
      <c r="H1499" s="50"/>
      <c r="I1499" s="51"/>
    </row>
    <row r="1500" ht="22.5" customHeight="1">
      <c r="A1500" s="42"/>
      <c r="B1500" s="47"/>
      <c r="C1500" s="46"/>
      <c r="D1500" s="47"/>
      <c r="E1500" s="46"/>
      <c r="F1500" s="47"/>
      <c r="G1500" s="46"/>
      <c r="H1500" s="48"/>
      <c r="I1500" s="49"/>
    </row>
    <row r="1501" ht="22.5" customHeight="1">
      <c r="A1501" s="42"/>
      <c r="B1501" s="47"/>
      <c r="C1501" s="46"/>
      <c r="D1501" s="47"/>
      <c r="E1501" s="46"/>
      <c r="F1501" s="47"/>
      <c r="G1501" s="46"/>
      <c r="H1501" s="50"/>
      <c r="I1501" s="51"/>
    </row>
    <row r="1502" ht="22.5" customHeight="1">
      <c r="A1502" s="42"/>
      <c r="B1502" s="47"/>
      <c r="C1502" s="46"/>
      <c r="D1502" s="47"/>
      <c r="E1502" s="46"/>
      <c r="F1502" s="47"/>
      <c r="G1502" s="46"/>
      <c r="H1502" s="48"/>
      <c r="I1502" s="49"/>
    </row>
    <row r="1503" ht="22.5" customHeight="1">
      <c r="A1503" s="42"/>
      <c r="B1503" s="47"/>
      <c r="C1503" s="46"/>
      <c r="D1503" s="47"/>
      <c r="E1503" s="46"/>
      <c r="F1503" s="47"/>
      <c r="G1503" s="46"/>
      <c r="H1503" s="50"/>
      <c r="I1503" s="51"/>
    </row>
    <row r="1504" ht="22.5" customHeight="1">
      <c r="A1504" s="42"/>
      <c r="B1504" s="47"/>
      <c r="C1504" s="46"/>
      <c r="D1504" s="47"/>
      <c r="E1504" s="46"/>
      <c r="F1504" s="47"/>
      <c r="G1504" s="46"/>
      <c r="H1504" s="48"/>
      <c r="I1504" s="49"/>
    </row>
    <row r="1505" ht="22.5" customHeight="1">
      <c r="A1505" s="42"/>
      <c r="B1505" s="47"/>
      <c r="C1505" s="46"/>
      <c r="D1505" s="47"/>
      <c r="E1505" s="46"/>
      <c r="F1505" s="47"/>
      <c r="G1505" s="46"/>
      <c r="H1505" s="50"/>
      <c r="I1505" s="51"/>
    </row>
    <row r="1506" ht="22.5" customHeight="1">
      <c r="A1506" s="42"/>
      <c r="B1506" s="47"/>
      <c r="C1506" s="46"/>
      <c r="D1506" s="47"/>
      <c r="E1506" s="46"/>
      <c r="F1506" s="47"/>
      <c r="G1506" s="46"/>
      <c r="H1506" s="48"/>
      <c r="I1506" s="49"/>
    </row>
    <row r="1507" ht="22.5" customHeight="1">
      <c r="A1507" s="42"/>
      <c r="B1507" s="47"/>
      <c r="C1507" s="46"/>
      <c r="D1507" s="47"/>
      <c r="E1507" s="46"/>
      <c r="F1507" s="47"/>
      <c r="G1507" s="46"/>
      <c r="H1507" s="50"/>
      <c r="I1507" s="51"/>
    </row>
    <row r="1508" ht="22.5" customHeight="1">
      <c r="A1508" s="42"/>
      <c r="B1508" s="47"/>
      <c r="C1508" s="46"/>
      <c r="D1508" s="47"/>
      <c r="E1508" s="46"/>
      <c r="F1508" s="47"/>
      <c r="G1508" s="46"/>
      <c r="H1508" s="48"/>
      <c r="I1508" s="49"/>
    </row>
    <row r="1509" ht="22.5" customHeight="1">
      <c r="A1509" s="42"/>
      <c r="B1509" s="47"/>
      <c r="C1509" s="46"/>
      <c r="D1509" s="47"/>
      <c r="E1509" s="46"/>
      <c r="F1509" s="47"/>
      <c r="G1509" s="46"/>
      <c r="H1509" s="50"/>
      <c r="I1509" s="51"/>
    </row>
    <row r="1510" ht="22.5" customHeight="1">
      <c r="A1510" s="42"/>
      <c r="B1510" s="47"/>
      <c r="C1510" s="46"/>
      <c r="D1510" s="47"/>
      <c r="E1510" s="46"/>
      <c r="F1510" s="47"/>
      <c r="G1510" s="46"/>
      <c r="H1510" s="48"/>
      <c r="I1510" s="49"/>
    </row>
    <row r="1511" ht="22.5" customHeight="1">
      <c r="A1511" s="42"/>
      <c r="B1511" s="47"/>
      <c r="C1511" s="46"/>
      <c r="D1511" s="47"/>
      <c r="E1511" s="46"/>
      <c r="F1511" s="47"/>
      <c r="G1511" s="46"/>
      <c r="H1511" s="50"/>
      <c r="I1511" s="51"/>
    </row>
    <row r="1512" ht="22.5" customHeight="1">
      <c r="A1512" s="42"/>
      <c r="B1512" s="47"/>
      <c r="C1512" s="46"/>
      <c r="D1512" s="47"/>
      <c r="E1512" s="46"/>
      <c r="F1512" s="47"/>
      <c r="G1512" s="46"/>
      <c r="H1512" s="48"/>
      <c r="I1512" s="49"/>
    </row>
    <row r="1513" ht="22.5" customHeight="1">
      <c r="A1513" s="42"/>
      <c r="B1513" s="47"/>
      <c r="C1513" s="46"/>
      <c r="D1513" s="47"/>
      <c r="E1513" s="46"/>
      <c r="F1513" s="47"/>
      <c r="G1513" s="46"/>
      <c r="H1513" s="50"/>
      <c r="I1513" s="51"/>
    </row>
    <row r="1514" ht="22.5" customHeight="1">
      <c r="A1514" s="42"/>
      <c r="B1514" s="47"/>
      <c r="C1514" s="46"/>
      <c r="D1514" s="47"/>
      <c r="E1514" s="46"/>
      <c r="F1514" s="47"/>
      <c r="G1514" s="46"/>
      <c r="H1514" s="48"/>
      <c r="I1514" s="49"/>
    </row>
    <row r="1515" ht="22.5" customHeight="1">
      <c r="A1515" s="42"/>
      <c r="B1515" s="47"/>
      <c r="C1515" s="46"/>
      <c r="D1515" s="47"/>
      <c r="E1515" s="46"/>
      <c r="F1515" s="47"/>
      <c r="G1515" s="46"/>
      <c r="H1515" s="50"/>
      <c r="I1515" s="51"/>
    </row>
    <row r="1516" ht="22.5" customHeight="1">
      <c r="A1516" s="42"/>
      <c r="B1516" s="47"/>
      <c r="C1516" s="46"/>
      <c r="D1516" s="47"/>
      <c r="E1516" s="46"/>
      <c r="F1516" s="47"/>
      <c r="G1516" s="46"/>
      <c r="H1516" s="48"/>
      <c r="I1516" s="49"/>
    </row>
    <row r="1517" ht="22.5" customHeight="1">
      <c r="A1517" s="42"/>
      <c r="B1517" s="47"/>
      <c r="C1517" s="46"/>
      <c r="D1517" s="47"/>
      <c r="E1517" s="46"/>
      <c r="F1517" s="47"/>
      <c r="G1517" s="46"/>
      <c r="H1517" s="50"/>
      <c r="I1517" s="51"/>
    </row>
    <row r="1518" ht="22.5" customHeight="1">
      <c r="A1518" s="42"/>
      <c r="B1518" s="47"/>
      <c r="C1518" s="46"/>
      <c r="D1518" s="47"/>
      <c r="E1518" s="46"/>
      <c r="F1518" s="47"/>
      <c r="G1518" s="46"/>
      <c r="H1518" s="48"/>
      <c r="I1518" s="49"/>
    </row>
    <row r="1519" ht="22.5" customHeight="1">
      <c r="A1519" s="42"/>
      <c r="B1519" s="47"/>
      <c r="C1519" s="46"/>
      <c r="D1519" s="47"/>
      <c r="E1519" s="46"/>
      <c r="F1519" s="47"/>
      <c r="G1519" s="46"/>
      <c r="H1519" s="50"/>
      <c r="I1519" s="51"/>
    </row>
    <row r="1520" ht="22.5" customHeight="1">
      <c r="A1520" s="42"/>
      <c r="B1520" s="47"/>
      <c r="C1520" s="46"/>
      <c r="D1520" s="47"/>
      <c r="E1520" s="46"/>
      <c r="F1520" s="47"/>
      <c r="G1520" s="46"/>
      <c r="H1520" s="48"/>
      <c r="I1520" s="49"/>
    </row>
    <row r="1521" ht="22.5" customHeight="1">
      <c r="A1521" s="42"/>
      <c r="B1521" s="47"/>
      <c r="C1521" s="46"/>
      <c r="D1521" s="47"/>
      <c r="E1521" s="46"/>
      <c r="F1521" s="47"/>
      <c r="G1521" s="46"/>
      <c r="H1521" s="50"/>
      <c r="I1521" s="51"/>
    </row>
    <row r="1522" ht="22.5" customHeight="1">
      <c r="A1522" s="42"/>
      <c r="B1522" s="47"/>
      <c r="C1522" s="46"/>
      <c r="D1522" s="47"/>
      <c r="E1522" s="46"/>
      <c r="F1522" s="47"/>
      <c r="G1522" s="46"/>
      <c r="H1522" s="48"/>
      <c r="I1522" s="49"/>
    </row>
    <row r="1523" ht="22.5" customHeight="1">
      <c r="A1523" s="42"/>
      <c r="B1523" s="47"/>
      <c r="C1523" s="46"/>
      <c r="D1523" s="47"/>
      <c r="E1523" s="46"/>
      <c r="F1523" s="47"/>
      <c r="G1523" s="46"/>
      <c r="H1523" s="50"/>
      <c r="I1523" s="51"/>
    </row>
    <row r="1524" ht="22.5" customHeight="1">
      <c r="A1524" s="42"/>
      <c r="B1524" s="47"/>
      <c r="C1524" s="46"/>
      <c r="D1524" s="47"/>
      <c r="E1524" s="46"/>
      <c r="F1524" s="47"/>
      <c r="G1524" s="46"/>
      <c r="H1524" s="48"/>
      <c r="I1524" s="49"/>
    </row>
    <row r="1525" ht="22.5" customHeight="1">
      <c r="A1525" s="42"/>
      <c r="B1525" s="47"/>
      <c r="C1525" s="46"/>
      <c r="D1525" s="47"/>
      <c r="E1525" s="46"/>
      <c r="F1525" s="47"/>
      <c r="G1525" s="46"/>
      <c r="H1525" s="50"/>
      <c r="I1525" s="51"/>
    </row>
    <row r="1526" ht="22.5" customHeight="1">
      <c r="A1526" s="42"/>
      <c r="B1526" s="47"/>
      <c r="C1526" s="46"/>
      <c r="D1526" s="47"/>
      <c r="E1526" s="46"/>
      <c r="F1526" s="47"/>
      <c r="G1526" s="46"/>
      <c r="H1526" s="48"/>
      <c r="I1526" s="49"/>
    </row>
    <row r="1527" ht="22.5" customHeight="1">
      <c r="A1527" s="42"/>
      <c r="B1527" s="47"/>
      <c r="C1527" s="46"/>
      <c r="D1527" s="47"/>
      <c r="E1527" s="46"/>
      <c r="F1527" s="47"/>
      <c r="G1527" s="46"/>
      <c r="H1527" s="50"/>
      <c r="I1527" s="51"/>
    </row>
    <row r="1528" ht="22.5" customHeight="1">
      <c r="A1528" s="42"/>
      <c r="B1528" s="47"/>
      <c r="C1528" s="46"/>
      <c r="D1528" s="47"/>
      <c r="E1528" s="46"/>
      <c r="F1528" s="47"/>
      <c r="G1528" s="46"/>
      <c r="H1528" s="48"/>
      <c r="I1528" s="49"/>
    </row>
    <row r="1529" ht="22.5" customHeight="1">
      <c r="A1529" s="42"/>
      <c r="B1529" s="47"/>
      <c r="C1529" s="46"/>
      <c r="D1529" s="47"/>
      <c r="E1529" s="46"/>
      <c r="F1529" s="47"/>
      <c r="G1529" s="46"/>
      <c r="H1529" s="50"/>
      <c r="I1529" s="51"/>
    </row>
    <row r="1530" ht="22.5" customHeight="1">
      <c r="A1530" s="42"/>
      <c r="B1530" s="47"/>
      <c r="C1530" s="46"/>
      <c r="D1530" s="47"/>
      <c r="E1530" s="46"/>
      <c r="F1530" s="47"/>
      <c r="G1530" s="46"/>
      <c r="H1530" s="48"/>
      <c r="I1530" s="49"/>
    </row>
    <row r="1531" ht="22.5" customHeight="1">
      <c r="A1531" s="42"/>
      <c r="B1531" s="47"/>
      <c r="C1531" s="46"/>
      <c r="D1531" s="47"/>
      <c r="E1531" s="46"/>
      <c r="F1531" s="47"/>
      <c r="G1531" s="46"/>
      <c r="H1531" s="50"/>
      <c r="I1531" s="51"/>
    </row>
    <row r="1532" ht="22.5" customHeight="1">
      <c r="A1532" s="42"/>
      <c r="B1532" s="47"/>
      <c r="C1532" s="46"/>
      <c r="D1532" s="47"/>
      <c r="E1532" s="46"/>
      <c r="F1532" s="47"/>
      <c r="G1532" s="46"/>
      <c r="H1532" s="48"/>
      <c r="I1532" s="49"/>
    </row>
    <row r="1533" ht="22.5" customHeight="1">
      <c r="A1533" s="42"/>
      <c r="B1533" s="47"/>
      <c r="C1533" s="46"/>
      <c r="D1533" s="47"/>
      <c r="E1533" s="46"/>
      <c r="F1533" s="47"/>
      <c r="G1533" s="46"/>
      <c r="H1533" s="50"/>
      <c r="I1533" s="51"/>
    </row>
    <row r="1534" ht="22.5" customHeight="1">
      <c r="A1534" s="42"/>
      <c r="B1534" s="47"/>
      <c r="C1534" s="46"/>
      <c r="D1534" s="47"/>
      <c r="E1534" s="46"/>
      <c r="F1534" s="47"/>
      <c r="G1534" s="46"/>
      <c r="H1534" s="48"/>
      <c r="I1534" s="49"/>
    </row>
    <row r="1535" ht="22.5" customHeight="1">
      <c r="A1535" s="42"/>
      <c r="B1535" s="47"/>
      <c r="C1535" s="46"/>
      <c r="D1535" s="47"/>
      <c r="E1535" s="46"/>
      <c r="F1535" s="47"/>
      <c r="G1535" s="46"/>
      <c r="H1535" s="50"/>
      <c r="I1535" s="51"/>
    </row>
    <row r="1536" ht="22.5" customHeight="1">
      <c r="A1536" s="42"/>
      <c r="B1536" s="47"/>
      <c r="C1536" s="46"/>
      <c r="D1536" s="47"/>
      <c r="E1536" s="46"/>
      <c r="F1536" s="47"/>
      <c r="G1536" s="46"/>
      <c r="H1536" s="48"/>
      <c r="I1536" s="49"/>
    </row>
    <row r="1537" ht="22.5" customHeight="1">
      <c r="A1537" s="42"/>
      <c r="B1537" s="47"/>
      <c r="C1537" s="46"/>
      <c r="D1537" s="47"/>
      <c r="E1537" s="46"/>
      <c r="F1537" s="47"/>
      <c r="G1537" s="46"/>
      <c r="H1537" s="50"/>
      <c r="I1537" s="51"/>
    </row>
    <row r="1538" ht="22.5" customHeight="1">
      <c r="A1538" s="42"/>
      <c r="B1538" s="47"/>
      <c r="C1538" s="46"/>
      <c r="D1538" s="47"/>
      <c r="E1538" s="46"/>
      <c r="F1538" s="47"/>
      <c r="G1538" s="46"/>
      <c r="H1538" s="48"/>
      <c r="I1538" s="49"/>
    </row>
    <row r="1539" ht="22.5" customHeight="1">
      <c r="A1539" s="42"/>
      <c r="B1539" s="47"/>
      <c r="C1539" s="46"/>
      <c r="D1539" s="47"/>
      <c r="E1539" s="46"/>
      <c r="F1539" s="47"/>
      <c r="G1539" s="46"/>
      <c r="H1539" s="50"/>
      <c r="I1539" s="51"/>
    </row>
    <row r="1540" ht="22.5" customHeight="1">
      <c r="A1540" s="42"/>
      <c r="B1540" s="47"/>
      <c r="C1540" s="46"/>
      <c r="D1540" s="47"/>
      <c r="E1540" s="46"/>
      <c r="F1540" s="47"/>
      <c r="G1540" s="46"/>
      <c r="H1540" s="48"/>
      <c r="I1540" s="49"/>
    </row>
    <row r="1541" ht="22.5" customHeight="1">
      <c r="A1541" s="42"/>
      <c r="B1541" s="47"/>
      <c r="C1541" s="46"/>
      <c r="D1541" s="47"/>
      <c r="E1541" s="46"/>
      <c r="F1541" s="47"/>
      <c r="G1541" s="46"/>
      <c r="H1541" s="50"/>
      <c r="I1541" s="51"/>
    </row>
    <row r="1542" ht="22.5" customHeight="1">
      <c r="A1542" s="42"/>
      <c r="B1542" s="47"/>
      <c r="C1542" s="46"/>
      <c r="D1542" s="47"/>
      <c r="E1542" s="46"/>
      <c r="F1542" s="47"/>
      <c r="G1542" s="46"/>
      <c r="H1542" s="48"/>
      <c r="I1542" s="49"/>
    </row>
    <row r="1543" ht="22.5" customHeight="1">
      <c r="A1543" s="42"/>
      <c r="B1543" s="47"/>
      <c r="C1543" s="46"/>
      <c r="D1543" s="47"/>
      <c r="E1543" s="46"/>
      <c r="F1543" s="47"/>
      <c r="G1543" s="46"/>
      <c r="H1543" s="50"/>
      <c r="I1543" s="51"/>
    </row>
    <row r="1544" ht="22.5" customHeight="1">
      <c r="A1544" s="42"/>
      <c r="B1544" s="47"/>
      <c r="C1544" s="46"/>
      <c r="D1544" s="47"/>
      <c r="E1544" s="46"/>
      <c r="F1544" s="47"/>
      <c r="G1544" s="46"/>
      <c r="H1544" s="48"/>
      <c r="I1544" s="49"/>
    </row>
    <row r="1545" ht="22.5" customHeight="1">
      <c r="A1545" s="42"/>
      <c r="B1545" s="47"/>
      <c r="C1545" s="46"/>
      <c r="D1545" s="47"/>
      <c r="E1545" s="46"/>
      <c r="F1545" s="47"/>
      <c r="G1545" s="46"/>
      <c r="H1545" s="50"/>
      <c r="I1545" s="51"/>
    </row>
    <row r="1546" ht="22.5" customHeight="1">
      <c r="A1546" s="42"/>
      <c r="B1546" s="47"/>
      <c r="C1546" s="46"/>
      <c r="D1546" s="47"/>
      <c r="E1546" s="46"/>
      <c r="F1546" s="47"/>
      <c r="G1546" s="46"/>
      <c r="H1546" s="48"/>
      <c r="I1546" s="49"/>
    </row>
    <row r="1547" ht="22.5" customHeight="1">
      <c r="A1547" s="42"/>
      <c r="B1547" s="47"/>
      <c r="C1547" s="46"/>
      <c r="D1547" s="47"/>
      <c r="E1547" s="46"/>
      <c r="F1547" s="47"/>
      <c r="G1547" s="46"/>
      <c r="H1547" s="50"/>
      <c r="I1547" s="51"/>
    </row>
    <row r="1548" ht="22.5" customHeight="1">
      <c r="A1548" s="42"/>
      <c r="B1548" s="47"/>
      <c r="C1548" s="46"/>
      <c r="D1548" s="47"/>
      <c r="E1548" s="46"/>
      <c r="F1548" s="47"/>
      <c r="G1548" s="46"/>
      <c r="H1548" s="48"/>
      <c r="I1548" s="49"/>
    </row>
    <row r="1549" ht="22.5" customHeight="1">
      <c r="A1549" s="42"/>
      <c r="B1549" s="47"/>
      <c r="C1549" s="46"/>
      <c r="D1549" s="47"/>
      <c r="E1549" s="46"/>
      <c r="F1549" s="47"/>
      <c r="G1549" s="46"/>
      <c r="H1549" s="50"/>
      <c r="I1549" s="51"/>
    </row>
    <row r="1550" ht="22.5" customHeight="1">
      <c r="A1550" s="42"/>
      <c r="B1550" s="47"/>
      <c r="C1550" s="46"/>
      <c r="D1550" s="47"/>
      <c r="E1550" s="46"/>
      <c r="F1550" s="47"/>
      <c r="G1550" s="46"/>
      <c r="H1550" s="48"/>
      <c r="I1550" s="49"/>
    </row>
    <row r="1551" ht="22.5" customHeight="1">
      <c r="A1551" s="42"/>
      <c r="B1551" s="47"/>
      <c r="C1551" s="46"/>
      <c r="D1551" s="47"/>
      <c r="E1551" s="46"/>
      <c r="F1551" s="47"/>
      <c r="G1551" s="46"/>
      <c r="H1551" s="50"/>
      <c r="I1551" s="51"/>
    </row>
    <row r="1552" ht="22.5" customHeight="1">
      <c r="A1552" s="42"/>
      <c r="B1552" s="47"/>
      <c r="C1552" s="46"/>
      <c r="D1552" s="47"/>
      <c r="E1552" s="46"/>
      <c r="F1552" s="47"/>
      <c r="G1552" s="46"/>
      <c r="H1552" s="48"/>
      <c r="I1552" s="49"/>
    </row>
    <row r="1553" ht="22.5" customHeight="1">
      <c r="A1553" s="42"/>
      <c r="B1553" s="47"/>
      <c r="C1553" s="46"/>
      <c r="D1553" s="47"/>
      <c r="E1553" s="46"/>
      <c r="F1553" s="47"/>
      <c r="G1553" s="46"/>
      <c r="H1553" s="50"/>
      <c r="I1553" s="51"/>
    </row>
    <row r="1554" ht="22.5" customHeight="1">
      <c r="A1554" s="42"/>
      <c r="B1554" s="47"/>
      <c r="C1554" s="46"/>
      <c r="D1554" s="47"/>
      <c r="E1554" s="46"/>
      <c r="F1554" s="47"/>
      <c r="G1554" s="46"/>
      <c r="H1554" s="48"/>
      <c r="I1554" s="49"/>
    </row>
    <row r="1555" ht="22.5" customHeight="1">
      <c r="A1555" s="42"/>
      <c r="B1555" s="47"/>
      <c r="C1555" s="46"/>
      <c r="D1555" s="47"/>
      <c r="E1555" s="46"/>
      <c r="F1555" s="47"/>
      <c r="G1555" s="46"/>
      <c r="H1555" s="50"/>
      <c r="I1555" s="51"/>
    </row>
    <row r="1556" ht="22.5" customHeight="1">
      <c r="A1556" s="42"/>
      <c r="B1556" s="47"/>
      <c r="C1556" s="46"/>
      <c r="D1556" s="47"/>
      <c r="E1556" s="46"/>
      <c r="F1556" s="47"/>
      <c r="G1556" s="46"/>
      <c r="H1556" s="48"/>
      <c r="I1556" s="49"/>
    </row>
    <row r="1557" ht="22.5" customHeight="1">
      <c r="A1557" s="42"/>
      <c r="B1557" s="47"/>
      <c r="C1557" s="46"/>
      <c r="D1557" s="47"/>
      <c r="E1557" s="46"/>
      <c r="F1557" s="47"/>
      <c r="G1557" s="46"/>
      <c r="H1557" s="50"/>
      <c r="I1557" s="51"/>
    </row>
    <row r="1558" ht="22.5" customHeight="1">
      <c r="A1558" s="42"/>
      <c r="B1558" s="47"/>
      <c r="C1558" s="46"/>
      <c r="D1558" s="47"/>
      <c r="E1558" s="46"/>
      <c r="F1558" s="47"/>
      <c r="G1558" s="46"/>
      <c r="H1558" s="48"/>
      <c r="I1558" s="49"/>
    </row>
    <row r="1559" ht="22.5" customHeight="1">
      <c r="A1559" s="42"/>
      <c r="B1559" s="47"/>
      <c r="C1559" s="46"/>
      <c r="D1559" s="47"/>
      <c r="E1559" s="46"/>
      <c r="F1559" s="47"/>
      <c r="G1559" s="46"/>
      <c r="H1559" s="50"/>
      <c r="I1559" s="51"/>
    </row>
    <row r="1560" ht="22.5" customHeight="1">
      <c r="A1560" s="42"/>
      <c r="B1560" s="47"/>
      <c r="C1560" s="46"/>
      <c r="D1560" s="47"/>
      <c r="E1560" s="46"/>
      <c r="F1560" s="47"/>
      <c r="G1560" s="46"/>
      <c r="H1560" s="48"/>
      <c r="I1560" s="49"/>
    </row>
    <row r="1561" ht="22.5" customHeight="1">
      <c r="A1561" s="42"/>
      <c r="B1561" s="47"/>
      <c r="C1561" s="46"/>
      <c r="D1561" s="47"/>
      <c r="E1561" s="46"/>
      <c r="F1561" s="47"/>
      <c r="G1561" s="46"/>
      <c r="H1561" s="50"/>
      <c r="I1561" s="51"/>
    </row>
    <row r="1562" ht="22.5" customHeight="1">
      <c r="A1562" s="42"/>
      <c r="B1562" s="47"/>
      <c r="C1562" s="46"/>
      <c r="D1562" s="47"/>
      <c r="E1562" s="46"/>
      <c r="F1562" s="47"/>
      <c r="G1562" s="46"/>
      <c r="H1562" s="48"/>
      <c r="I1562" s="49"/>
    </row>
    <row r="1563" ht="22.5" customHeight="1">
      <c r="A1563" s="42"/>
      <c r="B1563" s="47"/>
      <c r="C1563" s="46"/>
      <c r="D1563" s="47"/>
      <c r="E1563" s="46"/>
      <c r="F1563" s="47"/>
      <c r="G1563" s="46"/>
      <c r="H1563" s="50"/>
      <c r="I1563" s="51"/>
    </row>
    <row r="1564" ht="22.5" customHeight="1">
      <c r="A1564" s="42"/>
      <c r="B1564" s="47"/>
      <c r="C1564" s="46"/>
      <c r="D1564" s="47"/>
      <c r="E1564" s="46"/>
      <c r="F1564" s="47"/>
      <c r="G1564" s="46"/>
      <c r="H1564" s="48"/>
      <c r="I1564" s="49"/>
    </row>
    <row r="1565" ht="22.5" customHeight="1">
      <c r="A1565" s="42"/>
      <c r="B1565" s="47"/>
      <c r="C1565" s="46"/>
      <c r="D1565" s="47"/>
      <c r="E1565" s="46"/>
      <c r="F1565" s="47"/>
      <c r="G1565" s="46"/>
      <c r="H1565" s="50"/>
      <c r="I1565" s="51"/>
    </row>
    <row r="1566" ht="22.5" customHeight="1">
      <c r="A1566" s="42"/>
      <c r="B1566" s="47"/>
      <c r="C1566" s="46"/>
      <c r="D1566" s="47"/>
      <c r="E1566" s="46"/>
      <c r="F1566" s="47"/>
      <c r="G1566" s="46"/>
      <c r="H1566" s="48"/>
      <c r="I1566" s="49"/>
    </row>
    <row r="1567" ht="22.5" customHeight="1">
      <c r="A1567" s="42"/>
      <c r="B1567" s="47"/>
      <c r="C1567" s="46"/>
      <c r="D1567" s="47"/>
      <c r="E1567" s="46"/>
      <c r="F1567" s="47"/>
      <c r="G1567" s="46"/>
      <c r="H1567" s="50"/>
      <c r="I1567" s="51"/>
    </row>
    <row r="1568" ht="22.5" customHeight="1">
      <c r="A1568" s="42"/>
      <c r="B1568" s="47"/>
      <c r="C1568" s="46"/>
      <c r="D1568" s="47"/>
      <c r="E1568" s="46"/>
      <c r="F1568" s="47"/>
      <c r="G1568" s="46"/>
      <c r="H1568" s="48"/>
      <c r="I1568" s="49"/>
    </row>
    <row r="1569" ht="22.5" customHeight="1">
      <c r="A1569" s="42"/>
      <c r="B1569" s="47"/>
      <c r="C1569" s="46"/>
      <c r="D1569" s="47"/>
      <c r="E1569" s="46"/>
      <c r="F1569" s="47"/>
      <c r="G1569" s="46"/>
      <c r="H1569" s="50"/>
      <c r="I1569" s="51"/>
    </row>
    <row r="1570" ht="22.5" customHeight="1">
      <c r="A1570" s="42"/>
      <c r="B1570" s="47"/>
      <c r="C1570" s="46"/>
      <c r="D1570" s="47"/>
      <c r="E1570" s="46"/>
      <c r="F1570" s="47"/>
      <c r="G1570" s="46"/>
      <c r="H1570" s="48"/>
      <c r="I1570" s="49"/>
    </row>
    <row r="1571" ht="22.5" customHeight="1">
      <c r="A1571" s="42"/>
      <c r="B1571" s="47"/>
      <c r="C1571" s="46"/>
      <c r="D1571" s="47"/>
      <c r="E1571" s="46"/>
      <c r="F1571" s="47"/>
      <c r="G1571" s="46"/>
      <c r="H1571" s="50"/>
      <c r="I1571" s="51"/>
    </row>
    <row r="1572" ht="22.5" customHeight="1">
      <c r="A1572" s="42"/>
      <c r="B1572" s="47"/>
      <c r="C1572" s="46"/>
      <c r="D1572" s="47"/>
      <c r="E1572" s="46"/>
      <c r="F1572" s="47"/>
      <c r="G1572" s="46"/>
      <c r="H1572" s="48"/>
      <c r="I1572" s="49"/>
    </row>
    <row r="1573" ht="22.5" customHeight="1">
      <c r="A1573" s="42"/>
      <c r="B1573" s="47"/>
      <c r="C1573" s="46"/>
      <c r="D1573" s="47"/>
      <c r="E1573" s="46"/>
      <c r="F1573" s="47"/>
      <c r="G1573" s="46"/>
      <c r="H1573" s="50"/>
      <c r="I1573" s="51"/>
    </row>
    <row r="1574" ht="22.5" customHeight="1">
      <c r="A1574" s="42"/>
      <c r="B1574" s="47"/>
      <c r="C1574" s="46"/>
      <c r="D1574" s="47"/>
      <c r="E1574" s="46"/>
      <c r="F1574" s="47"/>
      <c r="G1574" s="46"/>
      <c r="H1574" s="48"/>
      <c r="I1574" s="49"/>
    </row>
    <row r="1575" ht="22.5" customHeight="1">
      <c r="A1575" s="42"/>
      <c r="B1575" s="47"/>
      <c r="C1575" s="46"/>
      <c r="D1575" s="47"/>
      <c r="E1575" s="46"/>
      <c r="F1575" s="47"/>
      <c r="G1575" s="46"/>
      <c r="H1575" s="50"/>
      <c r="I1575" s="51"/>
    </row>
    <row r="1576" ht="22.5" customHeight="1">
      <c r="A1576" s="42"/>
      <c r="B1576" s="47"/>
      <c r="C1576" s="46"/>
      <c r="D1576" s="47"/>
      <c r="E1576" s="46"/>
      <c r="F1576" s="47"/>
      <c r="G1576" s="46"/>
      <c r="H1576" s="48"/>
      <c r="I1576" s="49"/>
    </row>
    <row r="1577" ht="22.5" customHeight="1">
      <c r="A1577" s="42"/>
      <c r="B1577" s="47"/>
      <c r="C1577" s="46"/>
      <c r="D1577" s="47"/>
      <c r="E1577" s="46"/>
      <c r="F1577" s="47"/>
      <c r="G1577" s="46"/>
      <c r="H1577" s="50"/>
      <c r="I1577" s="51"/>
    </row>
    <row r="1578" ht="22.5" customHeight="1">
      <c r="A1578" s="42"/>
      <c r="B1578" s="47"/>
      <c r="C1578" s="46"/>
      <c r="D1578" s="47"/>
      <c r="E1578" s="46"/>
      <c r="F1578" s="47"/>
      <c r="G1578" s="46"/>
      <c r="H1578" s="48"/>
      <c r="I1578" s="49"/>
    </row>
    <row r="1579" ht="22.5" customHeight="1">
      <c r="A1579" s="42"/>
      <c r="B1579" s="47"/>
      <c r="C1579" s="46"/>
      <c r="D1579" s="47"/>
      <c r="E1579" s="46"/>
      <c r="F1579" s="47"/>
      <c r="G1579" s="46"/>
      <c r="H1579" s="50"/>
      <c r="I1579" s="51"/>
    </row>
    <row r="1580" ht="22.5" customHeight="1">
      <c r="A1580" s="42"/>
      <c r="B1580" s="47"/>
      <c r="C1580" s="46"/>
      <c r="D1580" s="47"/>
      <c r="E1580" s="46"/>
      <c r="F1580" s="47"/>
      <c r="G1580" s="46"/>
      <c r="H1580" s="48"/>
      <c r="I1580" s="49"/>
    </row>
    <row r="1581" ht="22.5" customHeight="1">
      <c r="A1581" s="42"/>
      <c r="B1581" s="47"/>
      <c r="C1581" s="46"/>
      <c r="D1581" s="47"/>
      <c r="E1581" s="46"/>
      <c r="F1581" s="47"/>
      <c r="G1581" s="46"/>
      <c r="H1581" s="50"/>
      <c r="I1581" s="51"/>
    </row>
    <row r="1582" ht="22.5" customHeight="1">
      <c r="A1582" s="42"/>
      <c r="B1582" s="47"/>
      <c r="C1582" s="46"/>
      <c r="D1582" s="47"/>
      <c r="E1582" s="46"/>
      <c r="F1582" s="47"/>
      <c r="G1582" s="46"/>
      <c r="H1582" s="48"/>
      <c r="I1582" s="49"/>
    </row>
    <row r="1583" ht="22.5" customHeight="1">
      <c r="A1583" s="42"/>
      <c r="B1583" s="47"/>
      <c r="C1583" s="46"/>
      <c r="D1583" s="47"/>
      <c r="E1583" s="46"/>
      <c r="F1583" s="47"/>
      <c r="G1583" s="46"/>
      <c r="H1583" s="50"/>
      <c r="I1583" s="51"/>
    </row>
    <row r="1584" ht="22.5" customHeight="1">
      <c r="A1584" s="42"/>
      <c r="B1584" s="47"/>
      <c r="C1584" s="46"/>
      <c r="D1584" s="47"/>
      <c r="E1584" s="46"/>
      <c r="F1584" s="47"/>
      <c r="G1584" s="46"/>
      <c r="H1584" s="48"/>
      <c r="I1584" s="49"/>
    </row>
    <row r="1585" ht="22.5" customHeight="1">
      <c r="A1585" s="42"/>
      <c r="B1585" s="47"/>
      <c r="C1585" s="46"/>
      <c r="D1585" s="47"/>
      <c r="E1585" s="46"/>
      <c r="F1585" s="47"/>
      <c r="G1585" s="46"/>
      <c r="H1585" s="50"/>
      <c r="I1585" s="51"/>
    </row>
    <row r="1586" ht="22.5" customHeight="1">
      <c r="A1586" s="42"/>
      <c r="B1586" s="47"/>
      <c r="C1586" s="46"/>
      <c r="D1586" s="47"/>
      <c r="E1586" s="46"/>
      <c r="F1586" s="47"/>
      <c r="G1586" s="46"/>
      <c r="H1586" s="48"/>
      <c r="I1586" s="49"/>
    </row>
    <row r="1587" ht="22.5" customHeight="1">
      <c r="A1587" s="42"/>
      <c r="B1587" s="47"/>
      <c r="C1587" s="46"/>
      <c r="D1587" s="47"/>
      <c r="E1587" s="46"/>
      <c r="F1587" s="47"/>
      <c r="G1587" s="46"/>
      <c r="H1587" s="50"/>
      <c r="I1587" s="51"/>
    </row>
    <row r="1588" ht="22.5" customHeight="1">
      <c r="A1588" s="42"/>
      <c r="B1588" s="47"/>
      <c r="C1588" s="46"/>
      <c r="D1588" s="47"/>
      <c r="E1588" s="46"/>
      <c r="F1588" s="47"/>
      <c r="G1588" s="46"/>
      <c r="H1588" s="48"/>
      <c r="I1588" s="49"/>
    </row>
    <row r="1589" ht="22.5" customHeight="1">
      <c r="A1589" s="42"/>
      <c r="B1589" s="47"/>
      <c r="C1589" s="46"/>
      <c r="D1589" s="47"/>
      <c r="E1589" s="46"/>
      <c r="F1589" s="47"/>
      <c r="G1589" s="46"/>
      <c r="H1589" s="50"/>
      <c r="I1589" s="51"/>
    </row>
    <row r="1590" ht="22.5" customHeight="1">
      <c r="A1590" s="42"/>
      <c r="B1590" s="47"/>
      <c r="C1590" s="46"/>
      <c r="D1590" s="47"/>
      <c r="E1590" s="46"/>
      <c r="F1590" s="47"/>
      <c r="G1590" s="46"/>
      <c r="H1590" s="48"/>
      <c r="I1590" s="49"/>
    </row>
    <row r="1591" ht="22.5" customHeight="1">
      <c r="A1591" s="42"/>
      <c r="B1591" s="47"/>
      <c r="C1591" s="46"/>
      <c r="D1591" s="47"/>
      <c r="E1591" s="46"/>
      <c r="F1591" s="47"/>
      <c r="G1591" s="46"/>
      <c r="H1591" s="50"/>
      <c r="I1591" s="51"/>
    </row>
    <row r="1592" ht="22.5" customHeight="1">
      <c r="A1592" s="42"/>
      <c r="B1592" s="47"/>
      <c r="C1592" s="46"/>
      <c r="D1592" s="47"/>
      <c r="E1592" s="46"/>
      <c r="F1592" s="47"/>
      <c r="G1592" s="46"/>
      <c r="H1592" s="48"/>
      <c r="I1592" s="49"/>
    </row>
    <row r="1593" ht="22.5" customHeight="1">
      <c r="A1593" s="42"/>
      <c r="B1593" s="47"/>
      <c r="C1593" s="46"/>
      <c r="D1593" s="47"/>
      <c r="E1593" s="46"/>
      <c r="F1593" s="47"/>
      <c r="G1593" s="46"/>
      <c r="H1593" s="50"/>
      <c r="I1593" s="51"/>
    </row>
    <row r="1594" ht="22.5" customHeight="1">
      <c r="A1594" s="42"/>
      <c r="B1594" s="47"/>
      <c r="C1594" s="46"/>
      <c r="D1594" s="47"/>
      <c r="E1594" s="46"/>
      <c r="F1594" s="47"/>
      <c r="G1594" s="46"/>
      <c r="H1594" s="48"/>
      <c r="I1594" s="49"/>
    </row>
    <row r="1595" ht="22.5" customHeight="1">
      <c r="A1595" s="42"/>
      <c r="B1595" s="47"/>
      <c r="C1595" s="46"/>
      <c r="D1595" s="47"/>
      <c r="E1595" s="46"/>
      <c r="F1595" s="47"/>
      <c r="G1595" s="46"/>
      <c r="H1595" s="50"/>
      <c r="I1595" s="51"/>
    </row>
    <row r="1596" ht="22.5" customHeight="1">
      <c r="A1596" s="42"/>
      <c r="B1596" s="47"/>
      <c r="C1596" s="46"/>
      <c r="D1596" s="47"/>
      <c r="E1596" s="46"/>
      <c r="F1596" s="47"/>
      <c r="G1596" s="46"/>
      <c r="H1596" s="48"/>
      <c r="I1596" s="49"/>
    </row>
    <row r="1597" ht="22.5" customHeight="1">
      <c r="A1597" s="42"/>
      <c r="B1597" s="47"/>
      <c r="C1597" s="46"/>
      <c r="D1597" s="47"/>
      <c r="E1597" s="46"/>
      <c r="F1597" s="47"/>
      <c r="G1597" s="46"/>
      <c r="H1597" s="50"/>
      <c r="I1597" s="51"/>
    </row>
    <row r="1598" ht="22.5" customHeight="1">
      <c r="A1598" s="42"/>
      <c r="B1598" s="47"/>
      <c r="C1598" s="46"/>
      <c r="D1598" s="47"/>
      <c r="E1598" s="46"/>
      <c r="F1598" s="47"/>
      <c r="G1598" s="46"/>
      <c r="H1598" s="48"/>
      <c r="I1598" s="49"/>
    </row>
    <row r="1599" ht="22.5" customHeight="1">
      <c r="A1599" s="42"/>
      <c r="B1599" s="47"/>
      <c r="C1599" s="46"/>
      <c r="D1599" s="47"/>
      <c r="E1599" s="46"/>
      <c r="F1599" s="47"/>
      <c r="G1599" s="46"/>
      <c r="H1599" s="50"/>
      <c r="I1599" s="51"/>
    </row>
    <row r="1600" ht="22.5" customHeight="1">
      <c r="A1600" s="42"/>
      <c r="B1600" s="47"/>
      <c r="C1600" s="46"/>
      <c r="D1600" s="47"/>
      <c r="E1600" s="46"/>
      <c r="F1600" s="47"/>
      <c r="G1600" s="46"/>
      <c r="H1600" s="48"/>
      <c r="I1600" s="49"/>
    </row>
    <row r="1601" ht="22.5" customHeight="1">
      <c r="A1601" s="42"/>
      <c r="B1601" s="47"/>
      <c r="C1601" s="46"/>
      <c r="D1601" s="47"/>
      <c r="E1601" s="46"/>
      <c r="F1601" s="47"/>
      <c r="G1601" s="46"/>
      <c r="H1601" s="50"/>
      <c r="I1601" s="51"/>
    </row>
    <row r="1602" ht="22.5" customHeight="1">
      <c r="A1602" s="42"/>
      <c r="B1602" s="47"/>
      <c r="C1602" s="46"/>
      <c r="D1602" s="47"/>
      <c r="E1602" s="46"/>
      <c r="F1602" s="47"/>
      <c r="G1602" s="46"/>
      <c r="H1602" s="48"/>
      <c r="I1602" s="49"/>
    </row>
    <row r="1603" ht="22.5" customHeight="1">
      <c r="A1603" s="42"/>
      <c r="B1603" s="47"/>
      <c r="C1603" s="46"/>
      <c r="D1603" s="47"/>
      <c r="E1603" s="46"/>
      <c r="F1603" s="47"/>
      <c r="G1603" s="46"/>
      <c r="H1603" s="50"/>
      <c r="I1603" s="51"/>
    </row>
    <row r="1604" ht="22.5" customHeight="1">
      <c r="A1604" s="42"/>
      <c r="B1604" s="47"/>
      <c r="C1604" s="46"/>
      <c r="D1604" s="47"/>
      <c r="E1604" s="46"/>
      <c r="F1604" s="47"/>
      <c r="G1604" s="46"/>
      <c r="H1604" s="48"/>
      <c r="I1604" s="49"/>
    </row>
    <row r="1605" ht="22.5" customHeight="1">
      <c r="A1605" s="42"/>
      <c r="B1605" s="47"/>
      <c r="C1605" s="46"/>
      <c r="D1605" s="47"/>
      <c r="E1605" s="46"/>
      <c r="F1605" s="47"/>
      <c r="G1605" s="46"/>
      <c r="H1605" s="50"/>
      <c r="I1605" s="51"/>
    </row>
    <row r="1606" ht="22.5" customHeight="1">
      <c r="A1606" s="42"/>
      <c r="B1606" s="47"/>
      <c r="C1606" s="46"/>
      <c r="D1606" s="47"/>
      <c r="E1606" s="46"/>
      <c r="F1606" s="47"/>
      <c r="G1606" s="46"/>
      <c r="H1606" s="48"/>
      <c r="I1606" s="49"/>
    </row>
    <row r="1607" ht="22.5" customHeight="1">
      <c r="A1607" s="42"/>
      <c r="B1607" s="47"/>
      <c r="C1607" s="46"/>
      <c r="D1607" s="47"/>
      <c r="E1607" s="46"/>
      <c r="F1607" s="47"/>
      <c r="G1607" s="46"/>
      <c r="H1607" s="50"/>
      <c r="I1607" s="51"/>
    </row>
    <row r="1608" ht="22.5" customHeight="1">
      <c r="A1608" s="42"/>
      <c r="B1608" s="47"/>
      <c r="C1608" s="46"/>
      <c r="D1608" s="47"/>
      <c r="E1608" s="46"/>
      <c r="F1608" s="47"/>
      <c r="G1608" s="46"/>
      <c r="H1608" s="48"/>
      <c r="I1608" s="49"/>
    </row>
    <row r="1609" ht="22.5" customHeight="1">
      <c r="A1609" s="42"/>
      <c r="B1609" s="47"/>
      <c r="C1609" s="46"/>
      <c r="D1609" s="47"/>
      <c r="E1609" s="46"/>
      <c r="F1609" s="47"/>
      <c r="G1609" s="46"/>
      <c r="H1609" s="50"/>
      <c r="I1609" s="51"/>
    </row>
    <row r="1610" ht="22.5" customHeight="1">
      <c r="A1610" s="42"/>
      <c r="B1610" s="47"/>
      <c r="C1610" s="46"/>
      <c r="D1610" s="47"/>
      <c r="E1610" s="46"/>
      <c r="F1610" s="47"/>
      <c r="G1610" s="46"/>
      <c r="H1610" s="48"/>
      <c r="I1610" s="49"/>
    </row>
    <row r="1611" ht="22.5" customHeight="1">
      <c r="A1611" s="42"/>
      <c r="B1611" s="47"/>
      <c r="C1611" s="46"/>
      <c r="D1611" s="47"/>
      <c r="E1611" s="46"/>
      <c r="F1611" s="47"/>
      <c r="G1611" s="46"/>
      <c r="H1611" s="50"/>
      <c r="I1611" s="51"/>
    </row>
    <row r="1612" ht="22.5" customHeight="1">
      <c r="A1612" s="42"/>
      <c r="B1612" s="47"/>
      <c r="C1612" s="46"/>
      <c r="D1612" s="47"/>
      <c r="E1612" s="46"/>
      <c r="F1612" s="47"/>
      <c r="G1612" s="46"/>
      <c r="H1612" s="48"/>
      <c r="I1612" s="49"/>
    </row>
    <row r="1613" ht="22.5" customHeight="1">
      <c r="A1613" s="42"/>
      <c r="B1613" s="47"/>
      <c r="C1613" s="46"/>
      <c r="D1613" s="47"/>
      <c r="E1613" s="46"/>
      <c r="F1613" s="47"/>
      <c r="G1613" s="46"/>
      <c r="H1613" s="50"/>
      <c r="I1613" s="51"/>
    </row>
    <row r="1614" ht="22.5" customHeight="1">
      <c r="A1614" s="42"/>
      <c r="B1614" s="47"/>
      <c r="C1614" s="46"/>
      <c r="D1614" s="47"/>
      <c r="E1614" s="46"/>
      <c r="F1614" s="47"/>
      <c r="G1614" s="46"/>
      <c r="H1614" s="48"/>
      <c r="I1614" s="49"/>
    </row>
    <row r="1615" ht="22.5" customHeight="1">
      <c r="A1615" s="42"/>
      <c r="B1615" s="47"/>
      <c r="C1615" s="46"/>
      <c r="D1615" s="47"/>
      <c r="E1615" s="46"/>
      <c r="F1615" s="47"/>
      <c r="G1615" s="46"/>
      <c r="H1615" s="50"/>
      <c r="I1615" s="51"/>
    </row>
    <row r="1616" ht="22.5" customHeight="1">
      <c r="A1616" s="42"/>
      <c r="B1616" s="47"/>
      <c r="C1616" s="46"/>
      <c r="D1616" s="47"/>
      <c r="E1616" s="46"/>
      <c r="F1616" s="47"/>
      <c r="G1616" s="46"/>
      <c r="H1616" s="48"/>
      <c r="I1616" s="49"/>
    </row>
    <row r="1617" ht="22.5" customHeight="1">
      <c r="A1617" s="42"/>
      <c r="B1617" s="47"/>
      <c r="C1617" s="46"/>
      <c r="D1617" s="47"/>
      <c r="E1617" s="46"/>
      <c r="F1617" s="47"/>
      <c r="G1617" s="46"/>
      <c r="H1617" s="50"/>
      <c r="I1617" s="51"/>
    </row>
    <row r="1618" ht="22.5" customHeight="1">
      <c r="A1618" s="42"/>
      <c r="B1618" s="47"/>
      <c r="C1618" s="46"/>
      <c r="D1618" s="47"/>
      <c r="E1618" s="46"/>
      <c r="F1618" s="47"/>
      <c r="G1618" s="46"/>
      <c r="H1618" s="48"/>
      <c r="I1618" s="49"/>
    </row>
    <row r="1619" ht="22.5" customHeight="1">
      <c r="A1619" s="42"/>
      <c r="B1619" s="47"/>
      <c r="C1619" s="46"/>
      <c r="D1619" s="47"/>
      <c r="E1619" s="46"/>
      <c r="F1619" s="47"/>
      <c r="G1619" s="46"/>
      <c r="H1619" s="50"/>
      <c r="I1619" s="51"/>
    </row>
    <row r="1620" ht="22.5" customHeight="1">
      <c r="A1620" s="42"/>
      <c r="B1620" s="47"/>
      <c r="C1620" s="46"/>
      <c r="D1620" s="47"/>
      <c r="E1620" s="46"/>
      <c r="F1620" s="47"/>
      <c r="G1620" s="46"/>
      <c r="H1620" s="48"/>
      <c r="I1620" s="49"/>
    </row>
    <row r="1621" ht="22.5" customHeight="1">
      <c r="A1621" s="42"/>
      <c r="B1621" s="47"/>
      <c r="C1621" s="46"/>
      <c r="D1621" s="47"/>
      <c r="E1621" s="46"/>
      <c r="F1621" s="47"/>
      <c r="G1621" s="46"/>
      <c r="H1621" s="50"/>
      <c r="I1621" s="51"/>
    </row>
    <row r="1622" ht="22.5" customHeight="1">
      <c r="A1622" s="42"/>
      <c r="B1622" s="47"/>
      <c r="C1622" s="46"/>
      <c r="D1622" s="47"/>
      <c r="E1622" s="46"/>
      <c r="F1622" s="47"/>
      <c r="G1622" s="46"/>
      <c r="H1622" s="48"/>
      <c r="I1622" s="49"/>
    </row>
    <row r="1623" ht="22.5" customHeight="1">
      <c r="A1623" s="42"/>
      <c r="B1623" s="47"/>
      <c r="C1623" s="46"/>
      <c r="D1623" s="47"/>
      <c r="E1623" s="46"/>
      <c r="F1623" s="47"/>
      <c r="G1623" s="46"/>
      <c r="H1623" s="50"/>
      <c r="I1623" s="51"/>
    </row>
    <row r="1624" ht="22.5" customHeight="1">
      <c r="A1624" s="42"/>
      <c r="B1624" s="47"/>
      <c r="C1624" s="46"/>
      <c r="D1624" s="47"/>
      <c r="E1624" s="46"/>
      <c r="F1624" s="47"/>
      <c r="G1624" s="46"/>
      <c r="H1624" s="48"/>
      <c r="I1624" s="49"/>
    </row>
    <row r="1625" ht="22.5" customHeight="1">
      <c r="A1625" s="42"/>
      <c r="B1625" s="47"/>
      <c r="C1625" s="46"/>
      <c r="D1625" s="47"/>
      <c r="E1625" s="46"/>
      <c r="F1625" s="47"/>
      <c r="G1625" s="46"/>
      <c r="H1625" s="50"/>
      <c r="I1625" s="51"/>
    </row>
    <row r="1626" ht="22.5" customHeight="1">
      <c r="A1626" s="42"/>
      <c r="B1626" s="47"/>
      <c r="C1626" s="46"/>
      <c r="D1626" s="47"/>
      <c r="E1626" s="46"/>
      <c r="F1626" s="47"/>
      <c r="G1626" s="46"/>
      <c r="H1626" s="48"/>
      <c r="I1626" s="49"/>
    </row>
    <row r="1627" ht="22.5" customHeight="1">
      <c r="A1627" s="42"/>
      <c r="B1627" s="47"/>
      <c r="C1627" s="46"/>
      <c r="D1627" s="47"/>
      <c r="E1627" s="46"/>
      <c r="F1627" s="47"/>
      <c r="G1627" s="46"/>
      <c r="H1627" s="50"/>
      <c r="I1627" s="51"/>
    </row>
    <row r="1628" ht="22.5" customHeight="1">
      <c r="A1628" s="42"/>
      <c r="B1628" s="47"/>
      <c r="C1628" s="46"/>
      <c r="D1628" s="47"/>
      <c r="E1628" s="46"/>
      <c r="F1628" s="47"/>
      <c r="G1628" s="46"/>
      <c r="H1628" s="48"/>
      <c r="I1628" s="49"/>
    </row>
    <row r="1629" ht="22.5" customHeight="1">
      <c r="A1629" s="42"/>
      <c r="B1629" s="47"/>
      <c r="C1629" s="46"/>
      <c r="D1629" s="47"/>
      <c r="E1629" s="46"/>
      <c r="F1629" s="47"/>
      <c r="G1629" s="46"/>
      <c r="H1629" s="50"/>
      <c r="I1629" s="51"/>
    </row>
    <row r="1630" ht="22.5" customHeight="1">
      <c r="A1630" s="42"/>
      <c r="B1630" s="47"/>
      <c r="C1630" s="46"/>
      <c r="D1630" s="47"/>
      <c r="E1630" s="46"/>
      <c r="F1630" s="47"/>
      <c r="G1630" s="46"/>
      <c r="H1630" s="48"/>
      <c r="I1630" s="49"/>
    </row>
    <row r="1631" ht="22.5" customHeight="1">
      <c r="A1631" s="42"/>
      <c r="B1631" s="47"/>
      <c r="C1631" s="46"/>
      <c r="D1631" s="47"/>
      <c r="E1631" s="46"/>
      <c r="F1631" s="47"/>
      <c r="G1631" s="46"/>
      <c r="H1631" s="50"/>
      <c r="I1631" s="51"/>
    </row>
    <row r="1632" ht="22.5" customHeight="1">
      <c r="A1632" s="42"/>
      <c r="B1632" s="47"/>
      <c r="C1632" s="46"/>
      <c r="D1632" s="47"/>
      <c r="E1632" s="46"/>
      <c r="F1632" s="47"/>
      <c r="G1632" s="46"/>
      <c r="H1632" s="48"/>
      <c r="I1632" s="49"/>
    </row>
    <row r="1633" ht="22.5" customHeight="1">
      <c r="A1633" s="42"/>
      <c r="B1633" s="47"/>
      <c r="C1633" s="46"/>
      <c r="D1633" s="47"/>
      <c r="E1633" s="46"/>
      <c r="F1633" s="47"/>
      <c r="G1633" s="46"/>
      <c r="H1633" s="50"/>
      <c r="I1633" s="51"/>
    </row>
    <row r="1634" ht="22.5" customHeight="1">
      <c r="A1634" s="42"/>
      <c r="B1634" s="47"/>
      <c r="C1634" s="46"/>
      <c r="D1634" s="47"/>
      <c r="E1634" s="46"/>
      <c r="F1634" s="47"/>
      <c r="G1634" s="46"/>
      <c r="H1634" s="48"/>
      <c r="I1634" s="49"/>
    </row>
    <row r="1635" ht="22.5" customHeight="1">
      <c r="A1635" s="42"/>
      <c r="B1635" s="47"/>
      <c r="C1635" s="46"/>
      <c r="D1635" s="47"/>
      <c r="E1635" s="46"/>
      <c r="F1635" s="47"/>
      <c r="G1635" s="46"/>
      <c r="H1635" s="50"/>
      <c r="I1635" s="51"/>
    </row>
    <row r="1636" ht="22.5" customHeight="1">
      <c r="A1636" s="42"/>
      <c r="B1636" s="47"/>
      <c r="C1636" s="46"/>
      <c r="D1636" s="47"/>
      <c r="E1636" s="46"/>
      <c r="F1636" s="47"/>
      <c r="G1636" s="46"/>
      <c r="H1636" s="48"/>
      <c r="I1636" s="49"/>
    </row>
    <row r="1637" ht="22.5" customHeight="1">
      <c r="A1637" s="42"/>
      <c r="B1637" s="47"/>
      <c r="C1637" s="46"/>
      <c r="D1637" s="47"/>
      <c r="E1637" s="46"/>
      <c r="F1637" s="47"/>
      <c r="G1637" s="46"/>
      <c r="H1637" s="50"/>
      <c r="I1637" s="51"/>
    </row>
    <row r="1638" ht="22.5" customHeight="1">
      <c r="A1638" s="42"/>
      <c r="B1638" s="47"/>
      <c r="C1638" s="46"/>
      <c r="D1638" s="47"/>
      <c r="E1638" s="46"/>
      <c r="F1638" s="47"/>
      <c r="G1638" s="46"/>
      <c r="H1638" s="48"/>
      <c r="I1638" s="49"/>
    </row>
    <row r="1639" ht="22.5" customHeight="1">
      <c r="A1639" s="42"/>
      <c r="B1639" s="47"/>
      <c r="C1639" s="46"/>
      <c r="D1639" s="47"/>
      <c r="E1639" s="46"/>
      <c r="F1639" s="47"/>
      <c r="G1639" s="46"/>
      <c r="H1639" s="50"/>
      <c r="I1639" s="51"/>
    </row>
    <row r="1640" ht="22.5" customHeight="1">
      <c r="A1640" s="42"/>
      <c r="B1640" s="47"/>
      <c r="C1640" s="46"/>
      <c r="D1640" s="47"/>
      <c r="E1640" s="46"/>
      <c r="F1640" s="47"/>
      <c r="G1640" s="46"/>
      <c r="H1640" s="48"/>
      <c r="I1640" s="49"/>
    </row>
    <row r="1641" ht="22.5" customHeight="1">
      <c r="A1641" s="42"/>
      <c r="B1641" s="47"/>
      <c r="C1641" s="46"/>
      <c r="D1641" s="47"/>
      <c r="E1641" s="46"/>
      <c r="F1641" s="47"/>
      <c r="G1641" s="46"/>
      <c r="H1641" s="50"/>
      <c r="I1641" s="51"/>
    </row>
    <row r="1642" ht="22.5" customHeight="1">
      <c r="A1642" s="42"/>
      <c r="B1642" s="47"/>
      <c r="C1642" s="46"/>
      <c r="D1642" s="47"/>
      <c r="E1642" s="46"/>
      <c r="F1642" s="47"/>
      <c r="G1642" s="46"/>
      <c r="H1642" s="48"/>
      <c r="I1642" s="49"/>
    </row>
    <row r="1643" ht="22.5" customHeight="1">
      <c r="A1643" s="42"/>
      <c r="B1643" s="47"/>
      <c r="C1643" s="46"/>
      <c r="D1643" s="47"/>
      <c r="E1643" s="46"/>
      <c r="F1643" s="47"/>
      <c r="G1643" s="46"/>
      <c r="H1643" s="50"/>
      <c r="I1643" s="51"/>
    </row>
    <row r="1644" ht="22.5" customHeight="1">
      <c r="A1644" s="42"/>
      <c r="B1644" s="47"/>
      <c r="C1644" s="46"/>
      <c r="D1644" s="47"/>
      <c r="E1644" s="46"/>
      <c r="F1644" s="47"/>
      <c r="G1644" s="46"/>
      <c r="H1644" s="48"/>
      <c r="I1644" s="49"/>
    </row>
    <row r="1645" ht="22.5" customHeight="1">
      <c r="A1645" s="42"/>
      <c r="B1645" s="47"/>
      <c r="C1645" s="46"/>
      <c r="D1645" s="47"/>
      <c r="E1645" s="46"/>
      <c r="F1645" s="47"/>
      <c r="G1645" s="46"/>
      <c r="H1645" s="50"/>
      <c r="I1645" s="51"/>
    </row>
    <row r="1646" ht="22.5" customHeight="1">
      <c r="A1646" s="42"/>
      <c r="B1646" s="47"/>
      <c r="C1646" s="46"/>
      <c r="D1646" s="47"/>
      <c r="E1646" s="46"/>
      <c r="F1646" s="47"/>
      <c r="G1646" s="46"/>
      <c r="H1646" s="48"/>
      <c r="I1646" s="49"/>
    </row>
    <row r="1647" ht="22.5" customHeight="1">
      <c r="A1647" s="42"/>
      <c r="B1647" s="47"/>
      <c r="C1647" s="46"/>
      <c r="D1647" s="47"/>
      <c r="E1647" s="46"/>
      <c r="F1647" s="47"/>
      <c r="G1647" s="46"/>
      <c r="H1647" s="50"/>
      <c r="I1647" s="51"/>
    </row>
    <row r="1648" ht="22.5" customHeight="1">
      <c r="A1648" s="42"/>
      <c r="B1648" s="47"/>
      <c r="C1648" s="46"/>
      <c r="D1648" s="47"/>
      <c r="E1648" s="46"/>
      <c r="F1648" s="47"/>
      <c r="G1648" s="46"/>
      <c r="H1648" s="48"/>
      <c r="I1648" s="49"/>
    </row>
    <row r="1649" ht="22.5" customHeight="1">
      <c r="A1649" s="42"/>
      <c r="B1649" s="47"/>
      <c r="C1649" s="46"/>
      <c r="D1649" s="47"/>
      <c r="E1649" s="46"/>
      <c r="F1649" s="47"/>
      <c r="G1649" s="46"/>
      <c r="H1649" s="50"/>
      <c r="I1649" s="51"/>
    </row>
    <row r="1650" ht="22.5" customHeight="1">
      <c r="A1650" s="42"/>
      <c r="B1650" s="47"/>
      <c r="C1650" s="46"/>
      <c r="D1650" s="47"/>
      <c r="E1650" s="46"/>
      <c r="F1650" s="47"/>
      <c r="G1650" s="46"/>
      <c r="H1650" s="48"/>
      <c r="I1650" s="49"/>
    </row>
    <row r="1651" ht="22.5" customHeight="1">
      <c r="A1651" s="42"/>
      <c r="B1651" s="47"/>
      <c r="C1651" s="46"/>
      <c r="D1651" s="47"/>
      <c r="E1651" s="46"/>
      <c r="F1651" s="47"/>
      <c r="G1651" s="46"/>
      <c r="H1651" s="50"/>
      <c r="I1651" s="51"/>
    </row>
    <row r="1652" ht="22.5" customHeight="1">
      <c r="A1652" s="42"/>
      <c r="B1652" s="47"/>
      <c r="C1652" s="46"/>
      <c r="D1652" s="47"/>
      <c r="E1652" s="46"/>
      <c r="F1652" s="47"/>
      <c r="G1652" s="46"/>
      <c r="H1652" s="48"/>
      <c r="I1652" s="49"/>
    </row>
    <row r="1653" ht="22.5" customHeight="1">
      <c r="A1653" s="42"/>
      <c r="B1653" s="47"/>
      <c r="C1653" s="46"/>
      <c r="D1653" s="47"/>
      <c r="E1653" s="46"/>
      <c r="F1653" s="47"/>
      <c r="G1653" s="46"/>
      <c r="H1653" s="50"/>
      <c r="I1653" s="51"/>
    </row>
    <row r="1654" ht="22.5" customHeight="1">
      <c r="A1654" s="42"/>
      <c r="B1654" s="47"/>
      <c r="C1654" s="46"/>
      <c r="D1654" s="47"/>
      <c r="E1654" s="46"/>
      <c r="F1654" s="47"/>
      <c r="G1654" s="46"/>
      <c r="H1654" s="48"/>
      <c r="I1654" s="49"/>
    </row>
    <row r="1655" ht="22.5" customHeight="1">
      <c r="A1655" s="42"/>
      <c r="B1655" s="47"/>
      <c r="C1655" s="46"/>
      <c r="D1655" s="47"/>
      <c r="E1655" s="46"/>
      <c r="F1655" s="47"/>
      <c r="G1655" s="46"/>
      <c r="H1655" s="50"/>
      <c r="I1655" s="51"/>
    </row>
    <row r="1656" ht="22.5" customHeight="1">
      <c r="A1656" s="42"/>
      <c r="B1656" s="47"/>
      <c r="C1656" s="46"/>
      <c r="D1656" s="47"/>
      <c r="E1656" s="46"/>
      <c r="F1656" s="47"/>
      <c r="G1656" s="46"/>
      <c r="H1656" s="48"/>
      <c r="I1656" s="49"/>
    </row>
    <row r="1657" ht="22.5" customHeight="1">
      <c r="A1657" s="42"/>
      <c r="B1657" s="47"/>
      <c r="C1657" s="46"/>
      <c r="D1657" s="47"/>
      <c r="E1657" s="46"/>
      <c r="F1657" s="47"/>
      <c r="G1657" s="46"/>
      <c r="H1657" s="50"/>
      <c r="I1657" s="51"/>
    </row>
    <row r="1658" ht="22.5" customHeight="1">
      <c r="A1658" s="42"/>
      <c r="B1658" s="47"/>
      <c r="C1658" s="46"/>
      <c r="D1658" s="47"/>
      <c r="E1658" s="46"/>
      <c r="F1658" s="47"/>
      <c r="G1658" s="46"/>
      <c r="H1658" s="48"/>
      <c r="I1658" s="49"/>
    </row>
    <row r="1659" ht="22.5" customHeight="1">
      <c r="A1659" s="42"/>
      <c r="B1659" s="47"/>
      <c r="C1659" s="46"/>
      <c r="D1659" s="47"/>
      <c r="E1659" s="46"/>
      <c r="F1659" s="47"/>
      <c r="G1659" s="46"/>
      <c r="H1659" s="50"/>
      <c r="I1659" s="51"/>
    </row>
    <row r="1660" ht="22.5" customHeight="1">
      <c r="A1660" s="42"/>
      <c r="B1660" s="47"/>
      <c r="C1660" s="46"/>
      <c r="D1660" s="47"/>
      <c r="E1660" s="46"/>
      <c r="F1660" s="47"/>
      <c r="G1660" s="46"/>
      <c r="H1660" s="48"/>
      <c r="I1660" s="49"/>
    </row>
    <row r="1661" ht="22.5" customHeight="1">
      <c r="A1661" s="42"/>
      <c r="B1661" s="47"/>
      <c r="C1661" s="46"/>
      <c r="D1661" s="47"/>
      <c r="E1661" s="46"/>
      <c r="F1661" s="47"/>
      <c r="G1661" s="46"/>
      <c r="H1661" s="50"/>
      <c r="I1661" s="51"/>
    </row>
    <row r="1662" ht="22.5" customHeight="1">
      <c r="A1662" s="42"/>
      <c r="B1662" s="47"/>
      <c r="C1662" s="46"/>
      <c r="D1662" s="47"/>
      <c r="E1662" s="46"/>
      <c r="F1662" s="47"/>
      <c r="G1662" s="46"/>
      <c r="H1662" s="48"/>
      <c r="I1662" s="49"/>
    </row>
    <row r="1663" ht="22.5" customHeight="1">
      <c r="A1663" s="42"/>
      <c r="B1663" s="47"/>
      <c r="C1663" s="46"/>
      <c r="D1663" s="47"/>
      <c r="E1663" s="46"/>
      <c r="F1663" s="47"/>
      <c r="G1663" s="46"/>
      <c r="H1663" s="50"/>
      <c r="I1663" s="51"/>
    </row>
    <row r="1664" ht="22.5" customHeight="1">
      <c r="A1664" s="42"/>
      <c r="B1664" s="47"/>
      <c r="C1664" s="46"/>
      <c r="D1664" s="47"/>
      <c r="E1664" s="46"/>
      <c r="F1664" s="47"/>
      <c r="G1664" s="46"/>
      <c r="H1664" s="48"/>
      <c r="I1664" s="49"/>
    </row>
    <row r="1665" ht="22.5" customHeight="1">
      <c r="A1665" s="42"/>
      <c r="B1665" s="47"/>
      <c r="C1665" s="46"/>
      <c r="D1665" s="47"/>
      <c r="E1665" s="46"/>
      <c r="F1665" s="47"/>
      <c r="G1665" s="46"/>
      <c r="H1665" s="50"/>
      <c r="I1665" s="51"/>
    </row>
    <row r="1666" ht="22.5" customHeight="1">
      <c r="A1666" s="42"/>
      <c r="B1666" s="47"/>
      <c r="C1666" s="46"/>
      <c r="D1666" s="47"/>
      <c r="E1666" s="46"/>
      <c r="F1666" s="47"/>
      <c r="G1666" s="46"/>
      <c r="H1666" s="48"/>
      <c r="I1666" s="49"/>
    </row>
    <row r="1667" ht="22.5" customHeight="1">
      <c r="A1667" s="42"/>
      <c r="B1667" s="47"/>
      <c r="C1667" s="46"/>
      <c r="D1667" s="47"/>
      <c r="E1667" s="46"/>
      <c r="F1667" s="47"/>
      <c r="G1667" s="46"/>
      <c r="H1667" s="50"/>
      <c r="I1667" s="51"/>
    </row>
    <row r="1668" ht="22.5" customHeight="1">
      <c r="A1668" s="42"/>
      <c r="B1668" s="47"/>
      <c r="C1668" s="46"/>
      <c r="D1668" s="47"/>
      <c r="E1668" s="46"/>
      <c r="F1668" s="47"/>
      <c r="G1668" s="46"/>
      <c r="H1668" s="48"/>
      <c r="I1668" s="49"/>
    </row>
    <row r="1669" ht="22.5" customHeight="1">
      <c r="A1669" s="42"/>
      <c r="B1669" s="47"/>
      <c r="C1669" s="46"/>
      <c r="D1669" s="47"/>
      <c r="E1669" s="46"/>
      <c r="F1669" s="47"/>
      <c r="G1669" s="46"/>
      <c r="H1669" s="50"/>
      <c r="I1669" s="51"/>
    </row>
    <row r="1670" ht="22.5" customHeight="1">
      <c r="A1670" s="42"/>
      <c r="B1670" s="47"/>
      <c r="C1670" s="46"/>
      <c r="D1670" s="47"/>
      <c r="E1670" s="46"/>
      <c r="F1670" s="47"/>
      <c r="G1670" s="46"/>
      <c r="H1670" s="48"/>
      <c r="I1670" s="49"/>
    </row>
    <row r="1671" ht="22.5" customHeight="1">
      <c r="A1671" s="42"/>
      <c r="B1671" s="47"/>
      <c r="C1671" s="46"/>
      <c r="D1671" s="47"/>
      <c r="E1671" s="46"/>
      <c r="F1671" s="47"/>
      <c r="G1671" s="46"/>
      <c r="H1671" s="50"/>
      <c r="I1671" s="51"/>
    </row>
    <row r="1672" ht="22.5" customHeight="1">
      <c r="A1672" s="42"/>
      <c r="B1672" s="47"/>
      <c r="C1672" s="46"/>
      <c r="D1672" s="47"/>
      <c r="E1672" s="46"/>
      <c r="F1672" s="47"/>
      <c r="G1672" s="46"/>
      <c r="H1672" s="48"/>
      <c r="I1672" s="49"/>
    </row>
    <row r="1673" ht="22.5" customHeight="1">
      <c r="A1673" s="42"/>
      <c r="B1673" s="47"/>
      <c r="C1673" s="46"/>
      <c r="D1673" s="47"/>
      <c r="E1673" s="46"/>
      <c r="F1673" s="47"/>
      <c r="G1673" s="46"/>
      <c r="H1673" s="50"/>
      <c r="I1673" s="51"/>
    </row>
    <row r="1674" ht="22.5" customHeight="1">
      <c r="A1674" s="42"/>
      <c r="B1674" s="47"/>
      <c r="C1674" s="46"/>
      <c r="D1674" s="47"/>
      <c r="E1674" s="46"/>
      <c r="F1674" s="47"/>
      <c r="G1674" s="46"/>
      <c r="H1674" s="48"/>
      <c r="I1674" s="49"/>
    </row>
    <row r="1675" ht="22.5" customHeight="1">
      <c r="A1675" s="42"/>
      <c r="B1675" s="47"/>
      <c r="C1675" s="46"/>
      <c r="D1675" s="47"/>
      <c r="E1675" s="46"/>
      <c r="F1675" s="47"/>
      <c r="G1675" s="46"/>
      <c r="H1675" s="50"/>
      <c r="I1675" s="51"/>
    </row>
    <row r="1676" ht="22.5" customHeight="1">
      <c r="A1676" s="42"/>
      <c r="B1676" s="47"/>
      <c r="C1676" s="46"/>
      <c r="D1676" s="47"/>
      <c r="E1676" s="46"/>
      <c r="F1676" s="47"/>
      <c r="G1676" s="46"/>
      <c r="H1676" s="48"/>
      <c r="I1676" s="49"/>
    </row>
    <row r="1677" ht="22.5" customHeight="1">
      <c r="A1677" s="42"/>
      <c r="B1677" s="47"/>
      <c r="C1677" s="46"/>
      <c r="D1677" s="47"/>
      <c r="E1677" s="46"/>
      <c r="F1677" s="47"/>
      <c r="G1677" s="46"/>
      <c r="H1677" s="50"/>
      <c r="I1677" s="51"/>
    </row>
    <row r="1678" ht="22.5" customHeight="1">
      <c r="A1678" s="42"/>
      <c r="B1678" s="47"/>
      <c r="C1678" s="46"/>
      <c r="D1678" s="47"/>
      <c r="E1678" s="46"/>
      <c r="F1678" s="47"/>
      <c r="G1678" s="46"/>
      <c r="H1678" s="48"/>
      <c r="I1678" s="49"/>
    </row>
    <row r="1679" ht="22.5" customHeight="1">
      <c r="A1679" s="42"/>
      <c r="B1679" s="47"/>
      <c r="C1679" s="46"/>
      <c r="D1679" s="47"/>
      <c r="E1679" s="46"/>
      <c r="F1679" s="47"/>
      <c r="G1679" s="46"/>
      <c r="H1679" s="50"/>
      <c r="I1679" s="51"/>
    </row>
    <row r="1680" ht="22.5" customHeight="1">
      <c r="A1680" s="42"/>
      <c r="B1680" s="47"/>
      <c r="C1680" s="46"/>
      <c r="D1680" s="47"/>
      <c r="E1680" s="46"/>
      <c r="F1680" s="47"/>
      <c r="G1680" s="46"/>
      <c r="H1680" s="48"/>
      <c r="I1680" s="49"/>
    </row>
    <row r="1681" ht="22.5" customHeight="1">
      <c r="A1681" s="42"/>
      <c r="B1681" s="47"/>
      <c r="C1681" s="46"/>
      <c r="D1681" s="47"/>
      <c r="E1681" s="46"/>
      <c r="F1681" s="47"/>
      <c r="G1681" s="46"/>
      <c r="H1681" s="50"/>
      <c r="I1681" s="51"/>
    </row>
    <row r="1682" ht="22.5" customHeight="1">
      <c r="A1682" s="42"/>
      <c r="B1682" s="47"/>
      <c r="C1682" s="46"/>
      <c r="D1682" s="47"/>
      <c r="E1682" s="46"/>
      <c r="F1682" s="47"/>
      <c r="G1682" s="46"/>
      <c r="H1682" s="48"/>
      <c r="I1682" s="49"/>
    </row>
    <row r="1683" ht="22.5" customHeight="1">
      <c r="A1683" s="42"/>
      <c r="B1683" s="47"/>
      <c r="C1683" s="46"/>
      <c r="D1683" s="47"/>
      <c r="E1683" s="46"/>
      <c r="F1683" s="47"/>
      <c r="G1683" s="46"/>
      <c r="H1683" s="50"/>
      <c r="I1683" s="51"/>
    </row>
    <row r="1684" ht="22.5" customHeight="1">
      <c r="A1684" s="42"/>
      <c r="B1684" s="47"/>
      <c r="C1684" s="46"/>
      <c r="D1684" s="47"/>
      <c r="E1684" s="46"/>
      <c r="F1684" s="47"/>
      <c r="G1684" s="46"/>
      <c r="H1684" s="48"/>
      <c r="I1684" s="49"/>
    </row>
    <row r="1685" ht="22.5" customHeight="1">
      <c r="A1685" s="42"/>
      <c r="B1685" s="47"/>
      <c r="C1685" s="46"/>
      <c r="D1685" s="47"/>
      <c r="E1685" s="46"/>
      <c r="F1685" s="47"/>
      <c r="G1685" s="46"/>
      <c r="H1685" s="50"/>
      <c r="I1685" s="51"/>
    </row>
    <row r="1686" ht="22.5" customHeight="1">
      <c r="A1686" s="42"/>
      <c r="B1686" s="47"/>
      <c r="C1686" s="46"/>
      <c r="D1686" s="47"/>
      <c r="E1686" s="46"/>
      <c r="F1686" s="47"/>
      <c r="G1686" s="46"/>
      <c r="H1686" s="48"/>
      <c r="I1686" s="49"/>
    </row>
    <row r="1687" ht="22.5" customHeight="1">
      <c r="A1687" s="42"/>
      <c r="B1687" s="47"/>
      <c r="C1687" s="46"/>
      <c r="D1687" s="47"/>
      <c r="E1687" s="46"/>
      <c r="F1687" s="47"/>
      <c r="G1687" s="46"/>
      <c r="H1687" s="50"/>
      <c r="I1687" s="51"/>
    </row>
    <row r="1688" ht="22.5" customHeight="1">
      <c r="A1688" s="42"/>
      <c r="B1688" s="47"/>
      <c r="C1688" s="46"/>
      <c r="D1688" s="47"/>
      <c r="E1688" s="46"/>
      <c r="F1688" s="47"/>
      <c r="G1688" s="46"/>
      <c r="H1688" s="48"/>
      <c r="I1688" s="49"/>
    </row>
    <row r="1689" ht="22.5" customHeight="1">
      <c r="A1689" s="42"/>
      <c r="B1689" s="47"/>
      <c r="C1689" s="46"/>
      <c r="D1689" s="47"/>
      <c r="E1689" s="46"/>
      <c r="F1689" s="47"/>
      <c r="G1689" s="46"/>
      <c r="H1689" s="50"/>
      <c r="I1689" s="51"/>
    </row>
    <row r="1690" ht="22.5" customHeight="1">
      <c r="A1690" s="42"/>
      <c r="B1690" s="47"/>
      <c r="C1690" s="46"/>
      <c r="D1690" s="47"/>
      <c r="E1690" s="46"/>
      <c r="F1690" s="47"/>
      <c r="G1690" s="46"/>
      <c r="H1690" s="48"/>
      <c r="I1690" s="49"/>
    </row>
    <row r="1691" ht="22.5" customHeight="1">
      <c r="A1691" s="42"/>
      <c r="B1691" s="47"/>
      <c r="C1691" s="46"/>
      <c r="D1691" s="47"/>
      <c r="E1691" s="46"/>
      <c r="F1691" s="47"/>
      <c r="G1691" s="46"/>
      <c r="H1691" s="50"/>
      <c r="I1691" s="51"/>
    </row>
    <row r="1692" ht="22.5" customHeight="1">
      <c r="A1692" s="42"/>
      <c r="B1692" s="47"/>
      <c r="C1692" s="46"/>
      <c r="D1692" s="47"/>
      <c r="E1692" s="46"/>
      <c r="F1692" s="47"/>
      <c r="G1692" s="46"/>
      <c r="H1692" s="48"/>
      <c r="I1692" s="49"/>
    </row>
    <row r="1693" ht="22.5" customHeight="1">
      <c r="A1693" s="42"/>
      <c r="B1693" s="47"/>
      <c r="C1693" s="46"/>
      <c r="D1693" s="47"/>
      <c r="E1693" s="46"/>
      <c r="F1693" s="47"/>
      <c r="G1693" s="46"/>
      <c r="H1693" s="50"/>
      <c r="I1693" s="51"/>
    </row>
    <row r="1694" ht="22.5" customHeight="1">
      <c r="A1694" s="42"/>
      <c r="B1694" s="47"/>
      <c r="C1694" s="46"/>
      <c r="D1694" s="47"/>
      <c r="E1694" s="46"/>
      <c r="F1694" s="47"/>
      <c r="G1694" s="46"/>
      <c r="H1694" s="48"/>
      <c r="I1694" s="49"/>
    </row>
    <row r="1695" ht="22.5" customHeight="1">
      <c r="A1695" s="42"/>
      <c r="B1695" s="47"/>
      <c r="C1695" s="46"/>
      <c r="D1695" s="47"/>
      <c r="E1695" s="46"/>
      <c r="F1695" s="47"/>
      <c r="G1695" s="46"/>
      <c r="H1695" s="50"/>
      <c r="I1695" s="51"/>
    </row>
    <row r="1696" ht="22.5" customHeight="1">
      <c r="A1696" s="42"/>
      <c r="B1696" s="47"/>
      <c r="C1696" s="46"/>
      <c r="D1696" s="47"/>
      <c r="E1696" s="46"/>
      <c r="F1696" s="47"/>
      <c r="G1696" s="46"/>
      <c r="H1696" s="48"/>
      <c r="I1696" s="49"/>
    </row>
    <row r="1697" ht="22.5" customHeight="1">
      <c r="A1697" s="42"/>
      <c r="B1697" s="47"/>
      <c r="C1697" s="46"/>
      <c r="D1697" s="47"/>
      <c r="E1697" s="46"/>
      <c r="F1697" s="47"/>
      <c r="G1697" s="46"/>
      <c r="H1697" s="50"/>
      <c r="I1697" s="51"/>
    </row>
    <row r="1698" ht="22.5" customHeight="1">
      <c r="A1698" s="42"/>
      <c r="B1698" s="47"/>
      <c r="C1698" s="46"/>
      <c r="D1698" s="47"/>
      <c r="E1698" s="46"/>
      <c r="F1698" s="47"/>
      <c r="G1698" s="46"/>
      <c r="H1698" s="48"/>
      <c r="I1698" s="49"/>
    </row>
    <row r="1699" ht="22.5" customHeight="1">
      <c r="A1699" s="42"/>
      <c r="B1699" s="47"/>
      <c r="C1699" s="46"/>
      <c r="D1699" s="47"/>
      <c r="E1699" s="46"/>
      <c r="F1699" s="47"/>
      <c r="G1699" s="46"/>
      <c r="H1699" s="50"/>
      <c r="I1699" s="51"/>
    </row>
    <row r="1700" ht="22.5" customHeight="1">
      <c r="A1700" s="42"/>
      <c r="B1700" s="47"/>
      <c r="C1700" s="46"/>
      <c r="D1700" s="47"/>
      <c r="E1700" s="46"/>
      <c r="F1700" s="47"/>
      <c r="G1700" s="46"/>
      <c r="H1700" s="48"/>
      <c r="I1700" s="49"/>
    </row>
    <row r="1701" ht="22.5" customHeight="1">
      <c r="A1701" s="42"/>
      <c r="B1701" s="47"/>
      <c r="C1701" s="46"/>
      <c r="D1701" s="47"/>
      <c r="E1701" s="46"/>
      <c r="F1701" s="47"/>
      <c r="G1701" s="46"/>
      <c r="H1701" s="50"/>
      <c r="I1701" s="51"/>
    </row>
    <row r="1702" ht="22.5" customHeight="1">
      <c r="A1702" s="42"/>
      <c r="B1702" s="47"/>
      <c r="C1702" s="46"/>
      <c r="D1702" s="47"/>
      <c r="E1702" s="46"/>
      <c r="F1702" s="47"/>
      <c r="G1702" s="46"/>
      <c r="H1702" s="48"/>
      <c r="I1702" s="49"/>
    </row>
    <row r="1703" ht="22.5" customHeight="1">
      <c r="A1703" s="42"/>
      <c r="B1703" s="47"/>
      <c r="C1703" s="46"/>
      <c r="D1703" s="47"/>
      <c r="E1703" s="46"/>
      <c r="F1703" s="47"/>
      <c r="G1703" s="46"/>
      <c r="H1703" s="50"/>
      <c r="I1703" s="51"/>
    </row>
    <row r="1704" ht="22.5" customHeight="1">
      <c r="A1704" s="42"/>
      <c r="B1704" s="47"/>
      <c r="C1704" s="46"/>
      <c r="D1704" s="47"/>
      <c r="E1704" s="46"/>
      <c r="F1704" s="47"/>
      <c r="G1704" s="46"/>
      <c r="H1704" s="48"/>
      <c r="I1704" s="49"/>
    </row>
    <row r="1705" ht="22.5" customHeight="1">
      <c r="A1705" s="42"/>
      <c r="B1705" s="47"/>
      <c r="C1705" s="46"/>
      <c r="D1705" s="47"/>
      <c r="E1705" s="46"/>
      <c r="F1705" s="47"/>
      <c r="G1705" s="46"/>
      <c r="H1705" s="50"/>
      <c r="I1705" s="51"/>
    </row>
    <row r="1706" ht="22.5" customHeight="1">
      <c r="A1706" s="42"/>
      <c r="B1706" s="47"/>
      <c r="C1706" s="46"/>
      <c r="D1706" s="47"/>
      <c r="E1706" s="46"/>
      <c r="F1706" s="47"/>
      <c r="G1706" s="46"/>
      <c r="H1706" s="48"/>
      <c r="I1706" s="49"/>
    </row>
    <row r="1707" ht="22.5" customHeight="1">
      <c r="A1707" s="42"/>
      <c r="B1707" s="47"/>
      <c r="C1707" s="46"/>
      <c r="D1707" s="47"/>
      <c r="E1707" s="46"/>
      <c r="F1707" s="47"/>
      <c r="G1707" s="46"/>
      <c r="H1707" s="50"/>
      <c r="I1707" s="51"/>
    </row>
    <row r="1708" ht="22.5" customHeight="1">
      <c r="A1708" s="42"/>
      <c r="B1708" s="47"/>
      <c r="C1708" s="46"/>
      <c r="D1708" s="47"/>
      <c r="E1708" s="46"/>
      <c r="F1708" s="47"/>
      <c r="G1708" s="46"/>
      <c r="H1708" s="48"/>
      <c r="I1708" s="49"/>
    </row>
    <row r="1709" ht="22.5" customHeight="1">
      <c r="A1709" s="42"/>
      <c r="B1709" s="47"/>
      <c r="C1709" s="46"/>
      <c r="D1709" s="47"/>
      <c r="E1709" s="46"/>
      <c r="F1709" s="47"/>
      <c r="G1709" s="46"/>
      <c r="H1709" s="50"/>
      <c r="I1709" s="51"/>
    </row>
    <row r="1710" ht="22.5" customHeight="1">
      <c r="A1710" s="42"/>
      <c r="B1710" s="47"/>
      <c r="C1710" s="46"/>
      <c r="D1710" s="47"/>
      <c r="E1710" s="46"/>
      <c r="F1710" s="47"/>
      <c r="G1710" s="46"/>
      <c r="H1710" s="48"/>
      <c r="I1710" s="49"/>
    </row>
    <row r="1711" ht="22.5" customHeight="1">
      <c r="A1711" s="42"/>
      <c r="B1711" s="47"/>
      <c r="C1711" s="46"/>
      <c r="D1711" s="47"/>
      <c r="E1711" s="46"/>
      <c r="F1711" s="47"/>
      <c r="G1711" s="46"/>
      <c r="H1711" s="50"/>
      <c r="I1711" s="51"/>
    </row>
    <row r="1712" ht="22.5" customHeight="1">
      <c r="A1712" s="42"/>
      <c r="B1712" s="47"/>
      <c r="C1712" s="46"/>
      <c r="D1712" s="47"/>
      <c r="E1712" s="46"/>
      <c r="F1712" s="47"/>
      <c r="G1712" s="46"/>
      <c r="H1712" s="48"/>
      <c r="I1712" s="49"/>
    </row>
    <row r="1713" ht="22.5" customHeight="1">
      <c r="A1713" s="42"/>
      <c r="B1713" s="47"/>
      <c r="C1713" s="46"/>
      <c r="D1713" s="47"/>
      <c r="E1713" s="46"/>
      <c r="F1713" s="47"/>
      <c r="G1713" s="46"/>
      <c r="H1713" s="50"/>
      <c r="I1713" s="51"/>
    </row>
    <row r="1714" ht="22.5" customHeight="1">
      <c r="A1714" s="42"/>
      <c r="B1714" s="47"/>
      <c r="C1714" s="46"/>
      <c r="D1714" s="47"/>
      <c r="E1714" s="46"/>
      <c r="F1714" s="47"/>
      <c r="G1714" s="46"/>
      <c r="H1714" s="48"/>
      <c r="I1714" s="49"/>
    </row>
    <row r="1715" ht="22.5" customHeight="1">
      <c r="A1715" s="42"/>
      <c r="B1715" s="47"/>
      <c r="C1715" s="46"/>
      <c r="D1715" s="47"/>
      <c r="E1715" s="46"/>
      <c r="F1715" s="47"/>
      <c r="G1715" s="46"/>
      <c r="H1715" s="50"/>
      <c r="I1715" s="51"/>
    </row>
    <row r="1716" ht="22.5" customHeight="1">
      <c r="A1716" s="42"/>
      <c r="B1716" s="47"/>
      <c r="C1716" s="46"/>
      <c r="D1716" s="47"/>
      <c r="E1716" s="46"/>
      <c r="F1716" s="47"/>
      <c r="G1716" s="46"/>
      <c r="H1716" s="48"/>
      <c r="I1716" s="49"/>
    </row>
    <row r="1717" ht="22.5" customHeight="1">
      <c r="A1717" s="42"/>
      <c r="B1717" s="47"/>
      <c r="C1717" s="46"/>
      <c r="D1717" s="47"/>
      <c r="E1717" s="46"/>
      <c r="F1717" s="47"/>
      <c r="G1717" s="46"/>
      <c r="H1717" s="50"/>
      <c r="I1717" s="51"/>
    </row>
    <row r="1718" ht="22.5" customHeight="1">
      <c r="A1718" s="42"/>
      <c r="B1718" s="47"/>
      <c r="C1718" s="46"/>
      <c r="D1718" s="47"/>
      <c r="E1718" s="46"/>
      <c r="F1718" s="47"/>
      <c r="G1718" s="46"/>
      <c r="H1718" s="48"/>
      <c r="I1718" s="49"/>
    </row>
    <row r="1719" ht="22.5" customHeight="1">
      <c r="A1719" s="42"/>
      <c r="B1719" s="47"/>
      <c r="C1719" s="46"/>
      <c r="D1719" s="47"/>
      <c r="E1719" s="46"/>
      <c r="F1719" s="47"/>
      <c r="G1719" s="46"/>
      <c r="H1719" s="50"/>
      <c r="I1719" s="51"/>
    </row>
    <row r="1720" ht="22.5" customHeight="1">
      <c r="A1720" s="42"/>
      <c r="B1720" s="47"/>
      <c r="C1720" s="46"/>
      <c r="D1720" s="47"/>
      <c r="E1720" s="46"/>
      <c r="F1720" s="47"/>
      <c r="G1720" s="46"/>
      <c r="H1720" s="48"/>
      <c r="I1720" s="49"/>
    </row>
    <row r="1721" ht="22.5" customHeight="1">
      <c r="A1721" s="42"/>
      <c r="B1721" s="47"/>
      <c r="C1721" s="46"/>
      <c r="D1721" s="47"/>
      <c r="E1721" s="46"/>
      <c r="F1721" s="47"/>
      <c r="G1721" s="46"/>
      <c r="H1721" s="50"/>
      <c r="I1721" s="51"/>
    </row>
    <row r="1722" ht="22.5" customHeight="1">
      <c r="A1722" s="42"/>
      <c r="B1722" s="47"/>
      <c r="C1722" s="46"/>
      <c r="D1722" s="47"/>
      <c r="E1722" s="46"/>
      <c r="F1722" s="47"/>
      <c r="G1722" s="46"/>
      <c r="H1722" s="48"/>
      <c r="I1722" s="49"/>
    </row>
    <row r="1723" ht="22.5" customHeight="1">
      <c r="A1723" s="42"/>
      <c r="B1723" s="47"/>
      <c r="C1723" s="46"/>
      <c r="D1723" s="47"/>
      <c r="E1723" s="46"/>
      <c r="F1723" s="47"/>
      <c r="G1723" s="46"/>
      <c r="H1723" s="50"/>
      <c r="I1723" s="51"/>
    </row>
    <row r="1724" ht="22.5" customHeight="1">
      <c r="A1724" s="42"/>
      <c r="B1724" s="47"/>
      <c r="C1724" s="46"/>
      <c r="D1724" s="47"/>
      <c r="E1724" s="46"/>
      <c r="F1724" s="47"/>
      <c r="G1724" s="46"/>
      <c r="H1724" s="48"/>
      <c r="I1724" s="49"/>
    </row>
    <row r="1725" ht="22.5" customHeight="1">
      <c r="A1725" s="42"/>
      <c r="B1725" s="47"/>
      <c r="C1725" s="46"/>
      <c r="D1725" s="47"/>
      <c r="E1725" s="46"/>
      <c r="F1725" s="47"/>
      <c r="G1725" s="46"/>
      <c r="H1725" s="50"/>
      <c r="I1725" s="51"/>
    </row>
    <row r="1726" ht="22.5" customHeight="1">
      <c r="A1726" s="42"/>
      <c r="B1726" s="47"/>
      <c r="C1726" s="46"/>
      <c r="D1726" s="47"/>
      <c r="E1726" s="46"/>
      <c r="F1726" s="47"/>
      <c r="G1726" s="46"/>
      <c r="H1726" s="48"/>
      <c r="I1726" s="49"/>
    </row>
    <row r="1727" ht="22.5" customHeight="1">
      <c r="A1727" s="42"/>
      <c r="B1727" s="47"/>
      <c r="C1727" s="46"/>
      <c r="D1727" s="47"/>
      <c r="E1727" s="46"/>
      <c r="F1727" s="47"/>
      <c r="G1727" s="46"/>
      <c r="H1727" s="50"/>
      <c r="I1727" s="51"/>
    </row>
    <row r="1728" ht="22.5" customHeight="1">
      <c r="A1728" s="42"/>
      <c r="B1728" s="47"/>
      <c r="C1728" s="46"/>
      <c r="D1728" s="47"/>
      <c r="E1728" s="46"/>
      <c r="F1728" s="47"/>
      <c r="G1728" s="46"/>
      <c r="H1728" s="48"/>
      <c r="I1728" s="49"/>
    </row>
    <row r="1729" ht="22.5" customHeight="1">
      <c r="A1729" s="42"/>
      <c r="B1729" s="47"/>
      <c r="C1729" s="46"/>
      <c r="D1729" s="47"/>
      <c r="E1729" s="46"/>
      <c r="F1729" s="47"/>
      <c r="G1729" s="46"/>
      <c r="H1729" s="50"/>
      <c r="I1729" s="51"/>
    </row>
    <row r="1730" ht="22.5" customHeight="1">
      <c r="A1730" s="42"/>
      <c r="B1730" s="47"/>
      <c r="C1730" s="46"/>
      <c r="D1730" s="47"/>
      <c r="E1730" s="46"/>
      <c r="F1730" s="47"/>
      <c r="G1730" s="46"/>
      <c r="H1730" s="48"/>
      <c r="I1730" s="49"/>
    </row>
    <row r="1731" ht="22.5" customHeight="1">
      <c r="A1731" s="42"/>
      <c r="B1731" s="47"/>
      <c r="C1731" s="46"/>
      <c r="D1731" s="47"/>
      <c r="E1731" s="46"/>
      <c r="F1731" s="47"/>
      <c r="G1731" s="46"/>
      <c r="H1731" s="50"/>
      <c r="I1731" s="51"/>
    </row>
    <row r="1732" ht="22.5" customHeight="1">
      <c r="A1732" s="42"/>
      <c r="B1732" s="47"/>
      <c r="C1732" s="46"/>
      <c r="D1732" s="47"/>
      <c r="E1732" s="46"/>
      <c r="F1732" s="47"/>
      <c r="G1732" s="46"/>
      <c r="H1732" s="48"/>
      <c r="I1732" s="49"/>
    </row>
    <row r="1733" ht="22.5" customHeight="1">
      <c r="A1733" s="42"/>
      <c r="B1733" s="47"/>
      <c r="C1733" s="46"/>
      <c r="D1733" s="47"/>
      <c r="E1733" s="46"/>
      <c r="F1733" s="47"/>
      <c r="G1733" s="46"/>
      <c r="H1733" s="50"/>
      <c r="I1733" s="51"/>
    </row>
    <row r="1734" ht="22.5" customHeight="1">
      <c r="A1734" s="42"/>
      <c r="B1734" s="47"/>
      <c r="C1734" s="46"/>
      <c r="D1734" s="47"/>
      <c r="E1734" s="46"/>
      <c r="F1734" s="47"/>
      <c r="G1734" s="46"/>
      <c r="H1734" s="48"/>
      <c r="I1734" s="49"/>
    </row>
    <row r="1735" ht="22.5" customHeight="1">
      <c r="A1735" s="42"/>
      <c r="B1735" s="47"/>
      <c r="C1735" s="46"/>
      <c r="D1735" s="47"/>
      <c r="E1735" s="46"/>
      <c r="F1735" s="47"/>
      <c r="G1735" s="46"/>
      <c r="H1735" s="50"/>
      <c r="I1735" s="51"/>
    </row>
    <row r="1736" ht="22.5" customHeight="1">
      <c r="A1736" s="42"/>
      <c r="B1736" s="47"/>
      <c r="C1736" s="46"/>
      <c r="D1736" s="47"/>
      <c r="E1736" s="46"/>
      <c r="F1736" s="47"/>
      <c r="G1736" s="46"/>
      <c r="H1736" s="48"/>
      <c r="I1736" s="49"/>
    </row>
    <row r="1737" ht="22.5" customHeight="1">
      <c r="A1737" s="42"/>
      <c r="B1737" s="47"/>
      <c r="C1737" s="46"/>
      <c r="D1737" s="47"/>
      <c r="E1737" s="46"/>
      <c r="F1737" s="47"/>
      <c r="G1737" s="46"/>
      <c r="H1737" s="50"/>
      <c r="I1737" s="51"/>
    </row>
    <row r="1738" ht="22.5" customHeight="1">
      <c r="A1738" s="42"/>
      <c r="B1738" s="47"/>
      <c r="C1738" s="46"/>
      <c r="D1738" s="47"/>
      <c r="E1738" s="46"/>
      <c r="F1738" s="47"/>
      <c r="G1738" s="46"/>
      <c r="H1738" s="48"/>
      <c r="I1738" s="49"/>
    </row>
    <row r="1739" ht="22.5" customHeight="1">
      <c r="A1739" s="42"/>
      <c r="B1739" s="47"/>
      <c r="C1739" s="46"/>
      <c r="D1739" s="47"/>
      <c r="E1739" s="46"/>
      <c r="F1739" s="47"/>
      <c r="G1739" s="46"/>
      <c r="H1739" s="50"/>
      <c r="I1739" s="51"/>
    </row>
    <row r="1740" ht="22.5" customHeight="1">
      <c r="A1740" s="42"/>
      <c r="B1740" s="47"/>
      <c r="C1740" s="46"/>
      <c r="D1740" s="47"/>
      <c r="E1740" s="46"/>
      <c r="F1740" s="47"/>
      <c r="G1740" s="46"/>
      <c r="H1740" s="48"/>
      <c r="I1740" s="49"/>
    </row>
    <row r="1741" ht="22.5" customHeight="1">
      <c r="A1741" s="42"/>
      <c r="B1741" s="47"/>
      <c r="C1741" s="46"/>
      <c r="D1741" s="47"/>
      <c r="E1741" s="46"/>
      <c r="F1741" s="47"/>
      <c r="G1741" s="46"/>
      <c r="H1741" s="50"/>
      <c r="I1741" s="51"/>
    </row>
    <row r="1742" ht="22.5" customHeight="1">
      <c r="A1742" s="42"/>
      <c r="B1742" s="47"/>
      <c r="C1742" s="46"/>
      <c r="D1742" s="47"/>
      <c r="E1742" s="46"/>
      <c r="F1742" s="47"/>
      <c r="G1742" s="46"/>
      <c r="H1742" s="48"/>
      <c r="I1742" s="49"/>
    </row>
    <row r="1743" ht="22.5" customHeight="1">
      <c r="A1743" s="42"/>
      <c r="B1743" s="47"/>
      <c r="C1743" s="46"/>
      <c r="D1743" s="47"/>
      <c r="E1743" s="46"/>
      <c r="F1743" s="47"/>
      <c r="G1743" s="46"/>
      <c r="H1743" s="50"/>
      <c r="I1743" s="51"/>
    </row>
    <row r="1744" ht="22.5" customHeight="1">
      <c r="A1744" s="42"/>
      <c r="B1744" s="47"/>
      <c r="C1744" s="46"/>
      <c r="D1744" s="47"/>
      <c r="E1744" s="46"/>
      <c r="F1744" s="47"/>
      <c r="G1744" s="46"/>
      <c r="H1744" s="48"/>
      <c r="I1744" s="49"/>
    </row>
    <row r="1745" ht="22.5" customHeight="1">
      <c r="A1745" s="42"/>
      <c r="B1745" s="47"/>
      <c r="C1745" s="46"/>
      <c r="D1745" s="47"/>
      <c r="E1745" s="46"/>
      <c r="F1745" s="47"/>
      <c r="G1745" s="46"/>
      <c r="H1745" s="50"/>
      <c r="I1745" s="51"/>
    </row>
    <row r="1746" ht="22.5" customHeight="1">
      <c r="A1746" s="42"/>
      <c r="B1746" s="47"/>
      <c r="C1746" s="46"/>
      <c r="D1746" s="47"/>
      <c r="E1746" s="46"/>
      <c r="F1746" s="47"/>
      <c r="G1746" s="46"/>
      <c r="H1746" s="48"/>
      <c r="I1746" s="49"/>
    </row>
    <row r="1747" ht="22.5" customHeight="1">
      <c r="A1747" s="42"/>
      <c r="B1747" s="47"/>
      <c r="C1747" s="46"/>
      <c r="D1747" s="47"/>
      <c r="E1747" s="46"/>
      <c r="F1747" s="47"/>
      <c r="G1747" s="46"/>
      <c r="H1747" s="50"/>
      <c r="I1747" s="51"/>
    </row>
    <row r="1748" ht="22.5" customHeight="1">
      <c r="A1748" s="42"/>
      <c r="B1748" s="47"/>
      <c r="C1748" s="46"/>
      <c r="D1748" s="47"/>
      <c r="E1748" s="46"/>
      <c r="F1748" s="47"/>
      <c r="G1748" s="46"/>
      <c r="H1748" s="48"/>
      <c r="I1748" s="49"/>
    </row>
    <row r="1749" ht="22.5" customHeight="1">
      <c r="A1749" s="42"/>
      <c r="B1749" s="47"/>
      <c r="C1749" s="46"/>
      <c r="D1749" s="47"/>
      <c r="E1749" s="46"/>
      <c r="F1749" s="47"/>
      <c r="G1749" s="46"/>
      <c r="H1749" s="50"/>
      <c r="I1749" s="51"/>
    </row>
    <row r="1750" ht="22.5" customHeight="1">
      <c r="A1750" s="42"/>
      <c r="B1750" s="47"/>
      <c r="C1750" s="46"/>
      <c r="D1750" s="47"/>
      <c r="E1750" s="46"/>
      <c r="F1750" s="47"/>
      <c r="G1750" s="46"/>
      <c r="H1750" s="48"/>
      <c r="I1750" s="49"/>
    </row>
    <row r="1751" ht="22.5" customHeight="1">
      <c r="A1751" s="42"/>
      <c r="B1751" s="47"/>
      <c r="C1751" s="46"/>
      <c r="D1751" s="47"/>
      <c r="E1751" s="46"/>
      <c r="F1751" s="47"/>
      <c r="G1751" s="46"/>
      <c r="H1751" s="50"/>
      <c r="I1751" s="51"/>
    </row>
    <row r="1752" ht="22.5" customHeight="1">
      <c r="A1752" s="42"/>
      <c r="B1752" s="47"/>
      <c r="C1752" s="46"/>
      <c r="D1752" s="47"/>
      <c r="E1752" s="46"/>
      <c r="F1752" s="47"/>
      <c r="G1752" s="46"/>
      <c r="H1752" s="48"/>
      <c r="I1752" s="49"/>
    </row>
    <row r="1753" ht="22.5" customHeight="1">
      <c r="A1753" s="42"/>
      <c r="B1753" s="47"/>
      <c r="C1753" s="46"/>
      <c r="D1753" s="47"/>
      <c r="E1753" s="46"/>
      <c r="F1753" s="47"/>
      <c r="G1753" s="46"/>
      <c r="H1753" s="50"/>
      <c r="I1753" s="51"/>
    </row>
    <row r="1754" ht="22.5" customHeight="1">
      <c r="A1754" s="42"/>
      <c r="B1754" s="47"/>
      <c r="C1754" s="46"/>
      <c r="D1754" s="47"/>
      <c r="E1754" s="46"/>
      <c r="F1754" s="47"/>
      <c r="G1754" s="46"/>
      <c r="H1754" s="48"/>
      <c r="I1754" s="49"/>
    </row>
    <row r="1755" ht="22.5" customHeight="1">
      <c r="A1755" s="42"/>
      <c r="B1755" s="47"/>
      <c r="C1755" s="46"/>
      <c r="D1755" s="47"/>
      <c r="E1755" s="46"/>
      <c r="F1755" s="47"/>
      <c r="G1755" s="46"/>
      <c r="H1755" s="50"/>
      <c r="I1755" s="51"/>
    </row>
    <row r="1756" ht="22.5" customHeight="1">
      <c r="A1756" s="42"/>
      <c r="B1756" s="47"/>
      <c r="C1756" s="46"/>
      <c r="D1756" s="47"/>
      <c r="E1756" s="46"/>
      <c r="F1756" s="47"/>
      <c r="G1756" s="46"/>
      <c r="H1756" s="48"/>
      <c r="I1756" s="49"/>
    </row>
    <row r="1757" ht="22.5" customHeight="1">
      <c r="A1757" s="42"/>
      <c r="B1757" s="47"/>
      <c r="C1757" s="46"/>
      <c r="D1757" s="47"/>
      <c r="E1757" s="46"/>
      <c r="F1757" s="47"/>
      <c r="G1757" s="46"/>
      <c r="H1757" s="50"/>
      <c r="I1757" s="51"/>
    </row>
    <row r="1758" ht="22.5" customHeight="1">
      <c r="A1758" s="42"/>
      <c r="B1758" s="47"/>
      <c r="C1758" s="46"/>
      <c r="D1758" s="47"/>
      <c r="E1758" s="46"/>
      <c r="F1758" s="47"/>
      <c r="G1758" s="46"/>
      <c r="H1758" s="48"/>
      <c r="I1758" s="49"/>
    </row>
    <row r="1759" ht="22.5" customHeight="1">
      <c r="A1759" s="42"/>
      <c r="B1759" s="47"/>
      <c r="C1759" s="46"/>
      <c r="D1759" s="47"/>
      <c r="E1759" s="46"/>
      <c r="F1759" s="47"/>
      <c r="G1759" s="46"/>
      <c r="H1759" s="50"/>
      <c r="I1759" s="51"/>
    </row>
    <row r="1760" ht="22.5" customHeight="1">
      <c r="A1760" s="42"/>
      <c r="B1760" s="47"/>
      <c r="C1760" s="46"/>
      <c r="D1760" s="47"/>
      <c r="E1760" s="46"/>
      <c r="F1760" s="47"/>
      <c r="G1760" s="46"/>
      <c r="H1760" s="48"/>
      <c r="I1760" s="49"/>
    </row>
    <row r="1761" ht="22.5" customHeight="1">
      <c r="A1761" s="42"/>
      <c r="B1761" s="47"/>
      <c r="C1761" s="46"/>
      <c r="D1761" s="47"/>
      <c r="E1761" s="46"/>
      <c r="F1761" s="47"/>
      <c r="G1761" s="46"/>
      <c r="H1761" s="50"/>
      <c r="I1761" s="51"/>
    </row>
    <row r="1762" ht="22.5" customHeight="1">
      <c r="A1762" s="42"/>
      <c r="B1762" s="47"/>
      <c r="C1762" s="46"/>
      <c r="D1762" s="47"/>
      <c r="E1762" s="46"/>
      <c r="F1762" s="47"/>
      <c r="G1762" s="46"/>
      <c r="H1762" s="48"/>
      <c r="I1762" s="49"/>
    </row>
    <row r="1763" ht="22.5" customHeight="1">
      <c r="A1763" s="42"/>
      <c r="B1763" s="47"/>
      <c r="C1763" s="46"/>
      <c r="D1763" s="47"/>
      <c r="E1763" s="46"/>
      <c r="F1763" s="47"/>
      <c r="G1763" s="46"/>
      <c r="H1763" s="50"/>
      <c r="I1763" s="51"/>
    </row>
    <row r="1764" ht="22.5" customHeight="1">
      <c r="A1764" s="42"/>
      <c r="B1764" s="47"/>
      <c r="C1764" s="46"/>
      <c r="D1764" s="47"/>
      <c r="E1764" s="46"/>
      <c r="F1764" s="47"/>
      <c r="G1764" s="46"/>
      <c r="H1764" s="48"/>
      <c r="I1764" s="49"/>
    </row>
    <row r="1765" ht="22.5" customHeight="1">
      <c r="A1765" s="42"/>
      <c r="B1765" s="47"/>
      <c r="C1765" s="46"/>
      <c r="D1765" s="47"/>
      <c r="E1765" s="46"/>
      <c r="F1765" s="47"/>
      <c r="G1765" s="46"/>
      <c r="H1765" s="50"/>
      <c r="I1765" s="51"/>
    </row>
    <row r="1766" ht="22.5" customHeight="1">
      <c r="A1766" s="42"/>
      <c r="B1766" s="47"/>
      <c r="C1766" s="46"/>
      <c r="D1766" s="47"/>
      <c r="E1766" s="46"/>
      <c r="F1766" s="47"/>
      <c r="G1766" s="46"/>
      <c r="H1766" s="48"/>
      <c r="I1766" s="49"/>
    </row>
    <row r="1767" ht="22.5" customHeight="1">
      <c r="A1767" s="42"/>
      <c r="B1767" s="47"/>
      <c r="C1767" s="46"/>
      <c r="D1767" s="47"/>
      <c r="E1767" s="46"/>
      <c r="F1767" s="47"/>
      <c r="G1767" s="46"/>
      <c r="H1767" s="50"/>
      <c r="I1767" s="51"/>
    </row>
    <row r="1768" ht="22.5" customHeight="1">
      <c r="A1768" s="42"/>
      <c r="B1768" s="47"/>
      <c r="C1768" s="46"/>
      <c r="D1768" s="47"/>
      <c r="E1768" s="46"/>
      <c r="F1768" s="47"/>
      <c r="G1768" s="46"/>
      <c r="H1768" s="48"/>
      <c r="I1768" s="49"/>
    </row>
    <row r="1769" ht="22.5" customHeight="1">
      <c r="A1769" s="42"/>
      <c r="B1769" s="47"/>
      <c r="C1769" s="46"/>
      <c r="D1769" s="47"/>
      <c r="E1769" s="46"/>
      <c r="F1769" s="47"/>
      <c r="G1769" s="46"/>
      <c r="H1769" s="50"/>
      <c r="I1769" s="51"/>
    </row>
    <row r="1770" ht="22.5" customHeight="1">
      <c r="A1770" s="42"/>
      <c r="B1770" s="47"/>
      <c r="C1770" s="46"/>
      <c r="D1770" s="47"/>
      <c r="E1770" s="46"/>
      <c r="F1770" s="47"/>
      <c r="G1770" s="46"/>
      <c r="H1770" s="48"/>
      <c r="I1770" s="49"/>
    </row>
    <row r="1771" ht="22.5" customHeight="1">
      <c r="A1771" s="42"/>
      <c r="B1771" s="47"/>
      <c r="C1771" s="46"/>
      <c r="D1771" s="47"/>
      <c r="E1771" s="46"/>
      <c r="F1771" s="47"/>
      <c r="G1771" s="46"/>
      <c r="H1771" s="50"/>
      <c r="I1771" s="51"/>
    </row>
    <row r="1772" ht="22.5" customHeight="1">
      <c r="A1772" s="42"/>
      <c r="B1772" s="47"/>
      <c r="C1772" s="46"/>
      <c r="D1772" s="47"/>
      <c r="E1772" s="46"/>
      <c r="F1772" s="47"/>
      <c r="G1772" s="46"/>
      <c r="H1772" s="48"/>
      <c r="I1772" s="49"/>
    </row>
    <row r="1773" ht="22.5" customHeight="1">
      <c r="A1773" s="42"/>
      <c r="B1773" s="47"/>
      <c r="C1773" s="46"/>
      <c r="D1773" s="47"/>
      <c r="E1773" s="46"/>
      <c r="F1773" s="47"/>
      <c r="G1773" s="46"/>
      <c r="H1773" s="50"/>
      <c r="I1773" s="51"/>
    </row>
    <row r="1774" ht="22.5" customHeight="1">
      <c r="A1774" s="42"/>
      <c r="B1774" s="47"/>
      <c r="C1774" s="46"/>
      <c r="D1774" s="47"/>
      <c r="E1774" s="46"/>
      <c r="F1774" s="47"/>
      <c r="G1774" s="46"/>
      <c r="H1774" s="48"/>
      <c r="I1774" s="49"/>
    </row>
    <row r="1775" ht="22.5" customHeight="1">
      <c r="A1775" s="42"/>
      <c r="B1775" s="47"/>
      <c r="C1775" s="46"/>
      <c r="D1775" s="47"/>
      <c r="E1775" s="46"/>
      <c r="F1775" s="47"/>
      <c r="G1775" s="46"/>
      <c r="H1775" s="50"/>
      <c r="I1775" s="51"/>
    </row>
    <row r="1776" ht="22.5" customHeight="1">
      <c r="A1776" s="42"/>
      <c r="B1776" s="47"/>
      <c r="C1776" s="46"/>
      <c r="D1776" s="47"/>
      <c r="E1776" s="46"/>
      <c r="F1776" s="47"/>
      <c r="G1776" s="46"/>
      <c r="H1776" s="48"/>
      <c r="I1776" s="49"/>
    </row>
    <row r="1777" ht="22.5" customHeight="1">
      <c r="A1777" s="42"/>
      <c r="B1777" s="47"/>
      <c r="C1777" s="46"/>
      <c r="D1777" s="47"/>
      <c r="E1777" s="46"/>
      <c r="F1777" s="47"/>
      <c r="G1777" s="46"/>
      <c r="H1777" s="50"/>
      <c r="I1777" s="51"/>
    </row>
    <row r="1778" ht="22.5" customHeight="1">
      <c r="A1778" s="42"/>
      <c r="B1778" s="47"/>
      <c r="C1778" s="46"/>
      <c r="D1778" s="47"/>
      <c r="E1778" s="46"/>
      <c r="F1778" s="47"/>
      <c r="G1778" s="46"/>
      <c r="H1778" s="48"/>
      <c r="I1778" s="49"/>
    </row>
    <row r="1779" ht="22.5" customHeight="1">
      <c r="A1779" s="42"/>
      <c r="B1779" s="47"/>
      <c r="C1779" s="46"/>
      <c r="D1779" s="47"/>
      <c r="E1779" s="46"/>
      <c r="F1779" s="47"/>
      <c r="G1779" s="46"/>
      <c r="H1779" s="50"/>
      <c r="I1779" s="51"/>
    </row>
    <row r="1780" ht="22.5" customHeight="1">
      <c r="A1780" s="42"/>
      <c r="B1780" s="47"/>
      <c r="C1780" s="46"/>
      <c r="D1780" s="47"/>
      <c r="E1780" s="46"/>
      <c r="F1780" s="47"/>
      <c r="G1780" s="46"/>
      <c r="H1780" s="48"/>
      <c r="I1780" s="49"/>
    </row>
    <row r="1781" ht="22.5" customHeight="1">
      <c r="A1781" s="42"/>
      <c r="B1781" s="47"/>
      <c r="C1781" s="46"/>
      <c r="D1781" s="47"/>
      <c r="E1781" s="46"/>
      <c r="F1781" s="47"/>
      <c r="G1781" s="46"/>
      <c r="H1781" s="50"/>
      <c r="I1781" s="51"/>
    </row>
    <row r="1782" ht="22.5" customHeight="1">
      <c r="A1782" s="42"/>
      <c r="B1782" s="47"/>
      <c r="C1782" s="46"/>
      <c r="D1782" s="47"/>
      <c r="E1782" s="46"/>
      <c r="F1782" s="47"/>
      <c r="G1782" s="46"/>
      <c r="H1782" s="48"/>
      <c r="I1782" s="49"/>
    </row>
    <row r="1783" ht="22.5" customHeight="1">
      <c r="A1783" s="42"/>
      <c r="B1783" s="47"/>
      <c r="C1783" s="46"/>
      <c r="D1783" s="47"/>
      <c r="E1783" s="46"/>
      <c r="F1783" s="47"/>
      <c r="G1783" s="46"/>
      <c r="H1783" s="50"/>
      <c r="I1783" s="51"/>
    </row>
    <row r="1784" ht="22.5" customHeight="1">
      <c r="A1784" s="42"/>
      <c r="B1784" s="47"/>
      <c r="C1784" s="46"/>
      <c r="D1784" s="47"/>
      <c r="E1784" s="46"/>
      <c r="F1784" s="47"/>
      <c r="G1784" s="46"/>
      <c r="H1784" s="48"/>
      <c r="I1784" s="49"/>
    </row>
    <row r="1785" ht="22.5" customHeight="1">
      <c r="A1785" s="42"/>
      <c r="B1785" s="47"/>
      <c r="C1785" s="46"/>
      <c r="D1785" s="47"/>
      <c r="E1785" s="46"/>
      <c r="F1785" s="47"/>
      <c r="G1785" s="46"/>
      <c r="H1785" s="50"/>
      <c r="I1785" s="51"/>
    </row>
    <row r="1786" ht="22.5" customHeight="1">
      <c r="A1786" s="42"/>
      <c r="B1786" s="47"/>
      <c r="C1786" s="46"/>
      <c r="D1786" s="47"/>
      <c r="E1786" s="46"/>
      <c r="F1786" s="47"/>
      <c r="G1786" s="46"/>
      <c r="H1786" s="48"/>
      <c r="I1786" s="49"/>
    </row>
    <row r="1787" ht="22.5" customHeight="1">
      <c r="A1787" s="42"/>
      <c r="B1787" s="47"/>
      <c r="C1787" s="46"/>
      <c r="D1787" s="47"/>
      <c r="E1787" s="46"/>
      <c r="F1787" s="47"/>
      <c r="G1787" s="46"/>
      <c r="H1787" s="50"/>
      <c r="I1787" s="51"/>
    </row>
    <row r="1788" ht="22.5" customHeight="1">
      <c r="A1788" s="42"/>
      <c r="B1788" s="47"/>
      <c r="C1788" s="46"/>
      <c r="D1788" s="47"/>
      <c r="E1788" s="46"/>
      <c r="F1788" s="47"/>
      <c r="G1788" s="46"/>
      <c r="H1788" s="48"/>
      <c r="I1788" s="49"/>
    </row>
    <row r="1789" ht="22.5" customHeight="1">
      <c r="A1789" s="42"/>
      <c r="B1789" s="47"/>
      <c r="C1789" s="46"/>
      <c r="D1789" s="47"/>
      <c r="E1789" s="46"/>
      <c r="F1789" s="47"/>
      <c r="G1789" s="46"/>
      <c r="H1789" s="50"/>
      <c r="I1789" s="51"/>
    </row>
    <row r="1790" ht="22.5" customHeight="1">
      <c r="A1790" s="42"/>
      <c r="B1790" s="47"/>
      <c r="C1790" s="46"/>
      <c r="D1790" s="47"/>
      <c r="E1790" s="46"/>
      <c r="F1790" s="47"/>
      <c r="G1790" s="46"/>
      <c r="H1790" s="48"/>
      <c r="I1790" s="49"/>
    </row>
    <row r="1791" ht="22.5" customHeight="1">
      <c r="A1791" s="42"/>
      <c r="B1791" s="47"/>
      <c r="C1791" s="46"/>
      <c r="D1791" s="47"/>
      <c r="E1791" s="46"/>
      <c r="F1791" s="47"/>
      <c r="G1791" s="46"/>
      <c r="H1791" s="50"/>
      <c r="I1791" s="51"/>
    </row>
    <row r="1792" ht="22.5" customHeight="1">
      <c r="A1792" s="42"/>
      <c r="B1792" s="47"/>
      <c r="C1792" s="46"/>
      <c r="D1792" s="47"/>
      <c r="E1792" s="46"/>
      <c r="F1792" s="47"/>
      <c r="G1792" s="46"/>
      <c r="H1792" s="48"/>
      <c r="I1792" s="49"/>
    </row>
    <row r="1793" ht="22.5" customHeight="1">
      <c r="A1793" s="42"/>
      <c r="B1793" s="47"/>
      <c r="C1793" s="46"/>
      <c r="D1793" s="47"/>
      <c r="E1793" s="46"/>
      <c r="F1793" s="47"/>
      <c r="G1793" s="46"/>
      <c r="H1793" s="50"/>
      <c r="I1793" s="51"/>
    </row>
    <row r="1794" ht="22.5" customHeight="1">
      <c r="A1794" s="42"/>
      <c r="B1794" s="47"/>
      <c r="C1794" s="46"/>
      <c r="D1794" s="47"/>
      <c r="E1794" s="46"/>
      <c r="F1794" s="47"/>
      <c r="G1794" s="46"/>
      <c r="H1794" s="48"/>
      <c r="I1794" s="49"/>
    </row>
    <row r="1795" ht="22.5" customHeight="1">
      <c r="A1795" s="42"/>
      <c r="B1795" s="47"/>
      <c r="C1795" s="46"/>
      <c r="D1795" s="47"/>
      <c r="E1795" s="46"/>
      <c r="F1795" s="47"/>
      <c r="G1795" s="46"/>
      <c r="H1795" s="50"/>
      <c r="I1795" s="51"/>
    </row>
    <row r="1796" ht="22.5" customHeight="1">
      <c r="A1796" s="42"/>
      <c r="B1796" s="47"/>
      <c r="C1796" s="46"/>
      <c r="D1796" s="47"/>
      <c r="E1796" s="46"/>
      <c r="F1796" s="47"/>
      <c r="G1796" s="46"/>
      <c r="H1796" s="48"/>
      <c r="I1796" s="49"/>
    </row>
    <row r="1797" ht="22.5" customHeight="1">
      <c r="A1797" s="42"/>
      <c r="B1797" s="47"/>
      <c r="C1797" s="46"/>
      <c r="D1797" s="47"/>
      <c r="E1797" s="46"/>
      <c r="F1797" s="47"/>
      <c r="G1797" s="46"/>
      <c r="H1797" s="50"/>
      <c r="I1797" s="51"/>
    </row>
    <row r="1798" ht="22.5" customHeight="1">
      <c r="A1798" s="42"/>
      <c r="B1798" s="47"/>
      <c r="C1798" s="46"/>
      <c r="D1798" s="47"/>
      <c r="E1798" s="46"/>
      <c r="F1798" s="47"/>
      <c r="G1798" s="46"/>
      <c r="H1798" s="48"/>
      <c r="I1798" s="49"/>
    </row>
    <row r="1799" ht="22.5" customHeight="1">
      <c r="A1799" s="42"/>
      <c r="B1799" s="47"/>
      <c r="C1799" s="46"/>
      <c r="D1799" s="47"/>
      <c r="E1799" s="46"/>
      <c r="F1799" s="47"/>
      <c r="G1799" s="46"/>
      <c r="H1799" s="50"/>
      <c r="I1799" s="51"/>
    </row>
    <row r="1800" ht="22.5" customHeight="1">
      <c r="A1800" s="42"/>
      <c r="B1800" s="47"/>
      <c r="C1800" s="46"/>
      <c r="D1800" s="47"/>
      <c r="E1800" s="46"/>
      <c r="F1800" s="47"/>
      <c r="G1800" s="46"/>
      <c r="H1800" s="48"/>
      <c r="I1800" s="49"/>
    </row>
    <row r="1801" ht="22.5" customHeight="1">
      <c r="A1801" s="42"/>
      <c r="B1801" s="47"/>
      <c r="C1801" s="46"/>
      <c r="D1801" s="47"/>
      <c r="E1801" s="46"/>
      <c r="F1801" s="47"/>
      <c r="G1801" s="46"/>
      <c r="H1801" s="50"/>
      <c r="I1801" s="51"/>
    </row>
    <row r="1802" ht="22.5" customHeight="1">
      <c r="A1802" s="42"/>
      <c r="B1802" s="47"/>
      <c r="C1802" s="46"/>
      <c r="D1802" s="47"/>
      <c r="E1802" s="46"/>
      <c r="F1802" s="47"/>
      <c r="G1802" s="46"/>
      <c r="H1802" s="48"/>
      <c r="I1802" s="49"/>
    </row>
    <row r="1803" ht="22.5" customHeight="1">
      <c r="A1803" s="42"/>
      <c r="B1803" s="47"/>
      <c r="C1803" s="46"/>
      <c r="D1803" s="47"/>
      <c r="E1803" s="46"/>
      <c r="F1803" s="47"/>
      <c r="G1803" s="46"/>
      <c r="H1803" s="50"/>
      <c r="I1803" s="51"/>
    </row>
    <row r="1804" ht="22.5" customHeight="1">
      <c r="A1804" s="42"/>
      <c r="B1804" s="47"/>
      <c r="C1804" s="46"/>
      <c r="D1804" s="47"/>
      <c r="E1804" s="46"/>
      <c r="F1804" s="47"/>
      <c r="G1804" s="46"/>
      <c r="H1804" s="48"/>
      <c r="I1804" s="49"/>
    </row>
    <row r="1805" ht="22.5" customHeight="1">
      <c r="A1805" s="42"/>
      <c r="B1805" s="47"/>
      <c r="C1805" s="46"/>
      <c r="D1805" s="47"/>
      <c r="E1805" s="46"/>
      <c r="F1805" s="47"/>
      <c r="G1805" s="46"/>
      <c r="H1805" s="50"/>
      <c r="I1805" s="51"/>
    </row>
    <row r="1806" ht="22.5" customHeight="1">
      <c r="A1806" s="42"/>
      <c r="B1806" s="47"/>
      <c r="C1806" s="46"/>
      <c r="D1806" s="47"/>
      <c r="E1806" s="46"/>
      <c r="F1806" s="47"/>
      <c r="G1806" s="46"/>
      <c r="H1806" s="48"/>
      <c r="I1806" s="49"/>
    </row>
    <row r="1807" ht="22.5" customHeight="1">
      <c r="A1807" s="42"/>
      <c r="B1807" s="47"/>
      <c r="C1807" s="46"/>
      <c r="D1807" s="47"/>
      <c r="E1807" s="46"/>
      <c r="F1807" s="47"/>
      <c r="G1807" s="46"/>
      <c r="H1807" s="50"/>
      <c r="I1807" s="51"/>
    </row>
    <row r="1808" ht="22.5" customHeight="1">
      <c r="A1808" s="42"/>
      <c r="B1808" s="47"/>
      <c r="C1808" s="46"/>
      <c r="D1808" s="47"/>
      <c r="E1808" s="46"/>
      <c r="F1808" s="47"/>
      <c r="G1808" s="46"/>
      <c r="H1808" s="48"/>
      <c r="I1808" s="49"/>
    </row>
    <row r="1809" ht="22.5" customHeight="1">
      <c r="A1809" s="42"/>
      <c r="B1809" s="47"/>
      <c r="C1809" s="46"/>
      <c r="D1809" s="47"/>
      <c r="E1809" s="46"/>
      <c r="F1809" s="47"/>
      <c r="G1809" s="46"/>
      <c r="H1809" s="50"/>
      <c r="I1809" s="51"/>
    </row>
    <row r="1810" ht="22.5" customHeight="1">
      <c r="A1810" s="42"/>
      <c r="B1810" s="47"/>
      <c r="C1810" s="46"/>
      <c r="D1810" s="47"/>
      <c r="E1810" s="46"/>
      <c r="F1810" s="47"/>
      <c r="G1810" s="46"/>
      <c r="H1810" s="48"/>
      <c r="I1810" s="49"/>
    </row>
    <row r="1811" ht="22.5" customHeight="1">
      <c r="A1811" s="42"/>
      <c r="B1811" s="47"/>
      <c r="C1811" s="46"/>
      <c r="D1811" s="47"/>
      <c r="E1811" s="46"/>
      <c r="F1811" s="47"/>
      <c r="G1811" s="46"/>
      <c r="H1811" s="50"/>
      <c r="I1811" s="51"/>
    </row>
    <row r="1812" ht="22.5" customHeight="1">
      <c r="A1812" s="42"/>
      <c r="B1812" s="47"/>
      <c r="C1812" s="46"/>
      <c r="D1812" s="47"/>
      <c r="E1812" s="46"/>
      <c r="F1812" s="47"/>
      <c r="G1812" s="46"/>
      <c r="H1812" s="48"/>
      <c r="I1812" s="49"/>
    </row>
    <row r="1813" ht="22.5" customHeight="1">
      <c r="A1813" s="42"/>
      <c r="B1813" s="47"/>
      <c r="C1813" s="46"/>
      <c r="D1813" s="47"/>
      <c r="E1813" s="46"/>
      <c r="F1813" s="47"/>
      <c r="G1813" s="46"/>
      <c r="H1813" s="50"/>
      <c r="I1813" s="51"/>
    </row>
    <row r="1814" ht="22.5" customHeight="1">
      <c r="A1814" s="42"/>
      <c r="B1814" s="47"/>
      <c r="C1814" s="46"/>
      <c r="D1814" s="47"/>
      <c r="E1814" s="46"/>
      <c r="F1814" s="47"/>
      <c r="G1814" s="46"/>
      <c r="H1814" s="48"/>
      <c r="I1814" s="49"/>
    </row>
    <row r="1815" ht="22.5" customHeight="1">
      <c r="A1815" s="42"/>
      <c r="B1815" s="47"/>
      <c r="C1815" s="46"/>
      <c r="D1815" s="47"/>
      <c r="E1815" s="46"/>
      <c r="F1815" s="47"/>
      <c r="G1815" s="46"/>
      <c r="H1815" s="50"/>
      <c r="I1815" s="51"/>
    </row>
    <row r="1816" ht="22.5" customHeight="1">
      <c r="A1816" s="42"/>
      <c r="B1816" s="47"/>
      <c r="C1816" s="46"/>
      <c r="D1816" s="47"/>
      <c r="E1816" s="46"/>
      <c r="F1816" s="47"/>
      <c r="G1816" s="46"/>
      <c r="H1816" s="48"/>
      <c r="I1816" s="49"/>
    </row>
    <row r="1817" ht="22.5" customHeight="1">
      <c r="A1817" s="42"/>
      <c r="B1817" s="47"/>
      <c r="C1817" s="46"/>
      <c r="D1817" s="47"/>
      <c r="E1817" s="46"/>
      <c r="F1817" s="47"/>
      <c r="G1817" s="46"/>
      <c r="H1817" s="50"/>
      <c r="I1817" s="51"/>
    </row>
    <row r="1818" ht="22.5" customHeight="1">
      <c r="A1818" s="42"/>
      <c r="B1818" s="47"/>
      <c r="C1818" s="46"/>
      <c r="D1818" s="47"/>
      <c r="E1818" s="46"/>
      <c r="F1818" s="47"/>
      <c r="G1818" s="46"/>
      <c r="H1818" s="48"/>
      <c r="I1818" s="49"/>
    </row>
    <row r="1819" ht="22.5" customHeight="1">
      <c r="A1819" s="42"/>
      <c r="B1819" s="47"/>
      <c r="C1819" s="46"/>
      <c r="D1819" s="47"/>
      <c r="E1819" s="46"/>
      <c r="F1819" s="47"/>
      <c r="G1819" s="46"/>
      <c r="H1819" s="50"/>
      <c r="I1819" s="51"/>
    </row>
    <row r="1820" ht="22.5" customHeight="1">
      <c r="A1820" s="42"/>
      <c r="B1820" s="47"/>
      <c r="C1820" s="46"/>
      <c r="D1820" s="47"/>
      <c r="E1820" s="46"/>
      <c r="F1820" s="47"/>
      <c r="G1820" s="46"/>
      <c r="H1820" s="48"/>
      <c r="I1820" s="49"/>
    </row>
    <row r="1821" ht="22.5" customHeight="1">
      <c r="A1821" s="42"/>
      <c r="B1821" s="47"/>
      <c r="C1821" s="46"/>
      <c r="D1821" s="47"/>
      <c r="E1821" s="46"/>
      <c r="F1821" s="47"/>
      <c r="G1821" s="46"/>
      <c r="H1821" s="50"/>
      <c r="I1821" s="51"/>
    </row>
    <row r="1822" ht="22.5" customHeight="1">
      <c r="A1822" s="42"/>
      <c r="B1822" s="47"/>
      <c r="C1822" s="46"/>
      <c r="D1822" s="47"/>
      <c r="E1822" s="46"/>
      <c r="F1822" s="47"/>
      <c r="G1822" s="46"/>
      <c r="H1822" s="48"/>
      <c r="I1822" s="49"/>
    </row>
    <row r="1823" ht="22.5" customHeight="1">
      <c r="A1823" s="42"/>
      <c r="B1823" s="47"/>
      <c r="C1823" s="46"/>
      <c r="D1823" s="47"/>
      <c r="E1823" s="46"/>
      <c r="F1823" s="47"/>
      <c r="G1823" s="46"/>
      <c r="H1823" s="50"/>
      <c r="I1823" s="51"/>
    </row>
    <row r="1824" ht="22.5" customHeight="1">
      <c r="A1824" s="42"/>
      <c r="B1824" s="47"/>
      <c r="C1824" s="46"/>
      <c r="D1824" s="47"/>
      <c r="E1824" s="46"/>
      <c r="F1824" s="47"/>
      <c r="G1824" s="46"/>
      <c r="H1824" s="48"/>
      <c r="I1824" s="49"/>
    </row>
    <row r="1825" ht="22.5" customHeight="1">
      <c r="A1825" s="42"/>
      <c r="B1825" s="47"/>
      <c r="C1825" s="46"/>
      <c r="D1825" s="47"/>
      <c r="E1825" s="46"/>
      <c r="F1825" s="47"/>
      <c r="G1825" s="46"/>
      <c r="H1825" s="50"/>
      <c r="I1825" s="51"/>
    </row>
    <row r="1826" ht="22.5" customHeight="1">
      <c r="A1826" s="42"/>
      <c r="B1826" s="47"/>
      <c r="C1826" s="46"/>
      <c r="D1826" s="47"/>
      <c r="E1826" s="46"/>
      <c r="F1826" s="47"/>
      <c r="G1826" s="46"/>
      <c r="H1826" s="48"/>
      <c r="I1826" s="49"/>
    </row>
    <row r="1827" ht="22.5" customHeight="1">
      <c r="A1827" s="42"/>
      <c r="B1827" s="47"/>
      <c r="C1827" s="46"/>
      <c r="D1827" s="47"/>
      <c r="E1827" s="46"/>
      <c r="F1827" s="47"/>
      <c r="G1827" s="46"/>
      <c r="H1827" s="50"/>
      <c r="I1827" s="51"/>
    </row>
    <row r="1828" ht="22.5" customHeight="1">
      <c r="A1828" s="42"/>
      <c r="B1828" s="47"/>
      <c r="C1828" s="46"/>
      <c r="D1828" s="47"/>
      <c r="E1828" s="46"/>
      <c r="F1828" s="47"/>
      <c r="G1828" s="46"/>
      <c r="H1828" s="48"/>
      <c r="I1828" s="49"/>
    </row>
    <row r="1829" ht="22.5" customHeight="1">
      <c r="A1829" s="42"/>
      <c r="B1829" s="47"/>
      <c r="C1829" s="46"/>
      <c r="D1829" s="47"/>
      <c r="E1829" s="46"/>
      <c r="F1829" s="47"/>
      <c r="G1829" s="46"/>
      <c r="H1829" s="50"/>
      <c r="I1829" s="51"/>
    </row>
    <row r="1830" ht="22.5" customHeight="1">
      <c r="A1830" s="42"/>
      <c r="B1830" s="47"/>
      <c r="C1830" s="46"/>
      <c r="D1830" s="47"/>
      <c r="E1830" s="46"/>
      <c r="F1830" s="47"/>
      <c r="G1830" s="46"/>
      <c r="H1830" s="48"/>
      <c r="I1830" s="49"/>
    </row>
    <row r="1831" ht="22.5" customHeight="1">
      <c r="A1831" s="42"/>
      <c r="B1831" s="47"/>
      <c r="C1831" s="46"/>
      <c r="D1831" s="47"/>
      <c r="E1831" s="46"/>
      <c r="F1831" s="47"/>
      <c r="G1831" s="46"/>
      <c r="H1831" s="50"/>
      <c r="I1831" s="51"/>
    </row>
    <row r="1832" ht="22.5" customHeight="1">
      <c r="A1832" s="42"/>
      <c r="B1832" s="47"/>
      <c r="C1832" s="46"/>
      <c r="D1832" s="47"/>
      <c r="E1832" s="46"/>
      <c r="F1832" s="47"/>
      <c r="G1832" s="46"/>
      <c r="H1832" s="48"/>
      <c r="I1832" s="49"/>
    </row>
    <row r="1833" ht="22.5" customHeight="1">
      <c r="A1833" s="42"/>
      <c r="B1833" s="47"/>
      <c r="C1833" s="46"/>
      <c r="D1833" s="47"/>
      <c r="E1833" s="46"/>
      <c r="F1833" s="47"/>
      <c r="G1833" s="46"/>
      <c r="H1833" s="50"/>
      <c r="I1833" s="51"/>
    </row>
    <row r="1834" ht="22.5" customHeight="1">
      <c r="A1834" s="42"/>
      <c r="B1834" s="47"/>
      <c r="C1834" s="46"/>
      <c r="D1834" s="47"/>
      <c r="E1834" s="46"/>
      <c r="F1834" s="47"/>
      <c r="G1834" s="46"/>
      <c r="H1834" s="48"/>
      <c r="I1834" s="49"/>
    </row>
    <row r="1835" ht="22.5" customHeight="1">
      <c r="A1835" s="42"/>
      <c r="B1835" s="47"/>
      <c r="C1835" s="46"/>
      <c r="D1835" s="47"/>
      <c r="E1835" s="46"/>
      <c r="F1835" s="47"/>
      <c r="G1835" s="46"/>
      <c r="H1835" s="50"/>
      <c r="I1835" s="51"/>
    </row>
    <row r="1836" ht="22.5" customHeight="1">
      <c r="A1836" s="42"/>
      <c r="B1836" s="47"/>
      <c r="C1836" s="46"/>
      <c r="D1836" s="47"/>
      <c r="E1836" s="46"/>
      <c r="F1836" s="47"/>
      <c r="G1836" s="46"/>
      <c r="H1836" s="48"/>
      <c r="I1836" s="49"/>
    </row>
    <row r="1837" ht="22.5" customHeight="1">
      <c r="A1837" s="42"/>
      <c r="B1837" s="47"/>
      <c r="C1837" s="46"/>
      <c r="D1837" s="47"/>
      <c r="E1837" s="46"/>
      <c r="F1837" s="47"/>
      <c r="G1837" s="46"/>
      <c r="H1837" s="50"/>
      <c r="I1837" s="51"/>
    </row>
    <row r="1838" ht="22.5" customHeight="1">
      <c r="A1838" s="42"/>
      <c r="B1838" s="47"/>
      <c r="C1838" s="46"/>
      <c r="D1838" s="47"/>
      <c r="E1838" s="46"/>
      <c r="F1838" s="47"/>
      <c r="G1838" s="46"/>
      <c r="H1838" s="48"/>
      <c r="I1838" s="49"/>
    </row>
    <row r="1839" ht="22.5" customHeight="1">
      <c r="A1839" s="42"/>
      <c r="B1839" s="47"/>
      <c r="C1839" s="46"/>
      <c r="D1839" s="47"/>
      <c r="E1839" s="46"/>
      <c r="F1839" s="47"/>
      <c r="G1839" s="46"/>
      <c r="H1839" s="50"/>
      <c r="I1839" s="51"/>
    </row>
    <row r="1840" ht="22.5" customHeight="1">
      <c r="A1840" s="42"/>
      <c r="B1840" s="47"/>
      <c r="C1840" s="46"/>
      <c r="D1840" s="47"/>
      <c r="E1840" s="46"/>
      <c r="F1840" s="47"/>
      <c r="G1840" s="46"/>
      <c r="H1840" s="48"/>
      <c r="I1840" s="49"/>
    </row>
    <row r="1841" ht="22.5" customHeight="1">
      <c r="A1841" s="42"/>
      <c r="B1841" s="47"/>
      <c r="C1841" s="46"/>
      <c r="D1841" s="47"/>
      <c r="E1841" s="46"/>
      <c r="F1841" s="47"/>
      <c r="G1841" s="46"/>
      <c r="H1841" s="50"/>
      <c r="I1841" s="51"/>
    </row>
    <row r="1842" ht="22.5" customHeight="1">
      <c r="A1842" s="42"/>
      <c r="B1842" s="47"/>
      <c r="C1842" s="46"/>
      <c r="D1842" s="47"/>
      <c r="E1842" s="46"/>
      <c r="F1842" s="47"/>
      <c r="G1842" s="46"/>
      <c r="H1842" s="48"/>
      <c r="I1842" s="49"/>
    </row>
    <row r="1843" ht="22.5" customHeight="1">
      <c r="A1843" s="42"/>
      <c r="B1843" s="47"/>
      <c r="C1843" s="46"/>
      <c r="D1843" s="47"/>
      <c r="E1843" s="46"/>
      <c r="F1843" s="47"/>
      <c r="G1843" s="46"/>
      <c r="H1843" s="50"/>
      <c r="I1843" s="51"/>
    </row>
    <row r="1844" ht="22.5" customHeight="1">
      <c r="A1844" s="42"/>
      <c r="B1844" s="47"/>
      <c r="C1844" s="46"/>
      <c r="D1844" s="47"/>
      <c r="E1844" s="46"/>
      <c r="F1844" s="47"/>
      <c r="G1844" s="46"/>
      <c r="H1844" s="48"/>
      <c r="I1844" s="49"/>
    </row>
    <row r="1845" ht="22.5" customHeight="1">
      <c r="A1845" s="42"/>
      <c r="B1845" s="47"/>
      <c r="C1845" s="46"/>
      <c r="D1845" s="47"/>
      <c r="E1845" s="46"/>
      <c r="F1845" s="47"/>
      <c r="G1845" s="46"/>
      <c r="H1845" s="50"/>
      <c r="I1845" s="51"/>
    </row>
    <row r="1846" ht="22.5" customHeight="1">
      <c r="A1846" s="42"/>
      <c r="B1846" s="47"/>
      <c r="C1846" s="46"/>
      <c r="D1846" s="47"/>
      <c r="E1846" s="46"/>
      <c r="F1846" s="47"/>
      <c r="G1846" s="46"/>
      <c r="H1846" s="48"/>
      <c r="I1846" s="49"/>
    </row>
    <row r="1847" ht="22.5" customHeight="1">
      <c r="A1847" s="42"/>
      <c r="B1847" s="47"/>
      <c r="C1847" s="46"/>
      <c r="D1847" s="47"/>
      <c r="E1847" s="46"/>
      <c r="F1847" s="47"/>
      <c r="G1847" s="46"/>
      <c r="H1847" s="50"/>
      <c r="I1847" s="51"/>
    </row>
    <row r="1848" ht="22.5" customHeight="1">
      <c r="A1848" s="42"/>
      <c r="B1848" s="47"/>
      <c r="C1848" s="46"/>
      <c r="D1848" s="47"/>
      <c r="E1848" s="46"/>
      <c r="F1848" s="47"/>
      <c r="G1848" s="46"/>
      <c r="H1848" s="48"/>
      <c r="I1848" s="49"/>
    </row>
    <row r="1849" ht="22.5" customHeight="1">
      <c r="A1849" s="42"/>
      <c r="B1849" s="47"/>
      <c r="C1849" s="46"/>
      <c r="D1849" s="47"/>
      <c r="E1849" s="46"/>
      <c r="F1849" s="47"/>
      <c r="G1849" s="46"/>
      <c r="H1849" s="50"/>
      <c r="I1849" s="51"/>
    </row>
    <row r="1850" ht="22.5" customHeight="1">
      <c r="A1850" s="42"/>
      <c r="B1850" s="47"/>
      <c r="C1850" s="46"/>
      <c r="D1850" s="47"/>
      <c r="E1850" s="46"/>
      <c r="F1850" s="47"/>
      <c r="G1850" s="46"/>
      <c r="H1850" s="48"/>
      <c r="I1850" s="49"/>
    </row>
    <row r="1851" ht="22.5" customHeight="1">
      <c r="A1851" s="42"/>
      <c r="B1851" s="47"/>
      <c r="C1851" s="46"/>
      <c r="D1851" s="47"/>
      <c r="E1851" s="46"/>
      <c r="F1851" s="47"/>
      <c r="G1851" s="46"/>
      <c r="H1851" s="50"/>
      <c r="I1851" s="51"/>
    </row>
    <row r="1852" ht="22.5" customHeight="1">
      <c r="A1852" s="42"/>
      <c r="B1852" s="47"/>
      <c r="C1852" s="46"/>
      <c r="D1852" s="47"/>
      <c r="E1852" s="46"/>
      <c r="F1852" s="47"/>
      <c r="G1852" s="46"/>
      <c r="H1852" s="48"/>
      <c r="I1852" s="49"/>
    </row>
    <row r="1853" ht="22.5" customHeight="1">
      <c r="A1853" s="42"/>
      <c r="B1853" s="47"/>
      <c r="C1853" s="46"/>
      <c r="D1853" s="47"/>
      <c r="E1853" s="46"/>
      <c r="F1853" s="47"/>
      <c r="G1853" s="46"/>
      <c r="H1853" s="50"/>
      <c r="I1853" s="51"/>
    </row>
    <row r="1854" ht="22.5" customHeight="1">
      <c r="A1854" s="42"/>
      <c r="B1854" s="47"/>
      <c r="C1854" s="46"/>
      <c r="D1854" s="47"/>
      <c r="E1854" s="46"/>
      <c r="F1854" s="47"/>
      <c r="G1854" s="46"/>
      <c r="H1854" s="48"/>
      <c r="I1854" s="49"/>
    </row>
    <row r="1855" ht="22.5" customHeight="1">
      <c r="A1855" s="42"/>
      <c r="B1855" s="47"/>
      <c r="C1855" s="46"/>
      <c r="D1855" s="47"/>
      <c r="E1855" s="46"/>
      <c r="F1855" s="47"/>
      <c r="G1855" s="46"/>
      <c r="H1855" s="50"/>
      <c r="I1855" s="51"/>
    </row>
    <row r="1856" ht="22.5" customHeight="1">
      <c r="A1856" s="42"/>
      <c r="B1856" s="47"/>
      <c r="C1856" s="46"/>
      <c r="D1856" s="47"/>
      <c r="E1856" s="46"/>
      <c r="F1856" s="47"/>
      <c r="G1856" s="46"/>
      <c r="H1856" s="48"/>
      <c r="I1856" s="49"/>
    </row>
    <row r="1857" ht="22.5" customHeight="1">
      <c r="A1857" s="42"/>
      <c r="B1857" s="47"/>
      <c r="C1857" s="46"/>
      <c r="D1857" s="47"/>
      <c r="E1857" s="46"/>
      <c r="F1857" s="47"/>
      <c r="G1857" s="46"/>
      <c r="H1857" s="50"/>
      <c r="I1857" s="51"/>
    </row>
    <row r="1858" ht="22.5" customHeight="1">
      <c r="A1858" s="42"/>
      <c r="B1858" s="47"/>
      <c r="C1858" s="46"/>
      <c r="D1858" s="47"/>
      <c r="E1858" s="46"/>
      <c r="F1858" s="47"/>
      <c r="G1858" s="46"/>
      <c r="H1858" s="48"/>
      <c r="I1858" s="49"/>
    </row>
    <row r="1859" ht="22.5" customHeight="1">
      <c r="A1859" s="42"/>
      <c r="B1859" s="47"/>
      <c r="C1859" s="46"/>
      <c r="D1859" s="47"/>
      <c r="E1859" s="46"/>
      <c r="F1859" s="47"/>
      <c r="G1859" s="46"/>
      <c r="H1859" s="50"/>
      <c r="I1859" s="51"/>
    </row>
    <row r="1860" ht="22.5" customHeight="1">
      <c r="A1860" s="42"/>
      <c r="B1860" s="47"/>
      <c r="C1860" s="46"/>
      <c r="D1860" s="47"/>
      <c r="E1860" s="46"/>
      <c r="F1860" s="47"/>
      <c r="G1860" s="46"/>
      <c r="H1860" s="48"/>
      <c r="I1860" s="49"/>
    </row>
    <row r="1861" ht="22.5" customHeight="1">
      <c r="A1861" s="42"/>
      <c r="B1861" s="47"/>
      <c r="C1861" s="46"/>
      <c r="D1861" s="47"/>
      <c r="E1861" s="46"/>
      <c r="F1861" s="47"/>
      <c r="G1861" s="46"/>
      <c r="H1861" s="50"/>
      <c r="I1861" s="51"/>
    </row>
    <row r="1862" ht="22.5" customHeight="1">
      <c r="A1862" s="42"/>
      <c r="B1862" s="47"/>
      <c r="C1862" s="46"/>
      <c r="D1862" s="47"/>
      <c r="E1862" s="46"/>
      <c r="F1862" s="47"/>
      <c r="G1862" s="46"/>
      <c r="H1862" s="48"/>
      <c r="I1862" s="49"/>
    </row>
    <row r="1863" ht="22.5" customHeight="1">
      <c r="A1863" s="42"/>
      <c r="B1863" s="47"/>
      <c r="C1863" s="46"/>
      <c r="D1863" s="47"/>
      <c r="E1863" s="46"/>
      <c r="F1863" s="47"/>
      <c r="G1863" s="46"/>
      <c r="H1863" s="50"/>
      <c r="I1863" s="51"/>
    </row>
    <row r="1864" ht="22.5" customHeight="1">
      <c r="A1864" s="42"/>
      <c r="B1864" s="47"/>
      <c r="C1864" s="46"/>
      <c r="D1864" s="47"/>
      <c r="E1864" s="46"/>
      <c r="F1864" s="47"/>
      <c r="G1864" s="46"/>
      <c r="H1864" s="48"/>
      <c r="I1864" s="49"/>
    </row>
    <row r="1865" ht="22.5" customHeight="1">
      <c r="A1865" s="42"/>
      <c r="B1865" s="47"/>
      <c r="C1865" s="46"/>
      <c r="D1865" s="47"/>
      <c r="E1865" s="46"/>
      <c r="F1865" s="47"/>
      <c r="G1865" s="46"/>
      <c r="H1865" s="50"/>
      <c r="I1865" s="51"/>
    </row>
    <row r="1866" ht="22.5" customHeight="1">
      <c r="A1866" s="42"/>
      <c r="B1866" s="47"/>
      <c r="C1866" s="46"/>
      <c r="D1866" s="47"/>
      <c r="E1866" s="46"/>
      <c r="F1866" s="47"/>
      <c r="G1866" s="46"/>
      <c r="H1866" s="48"/>
      <c r="I1866" s="49"/>
    </row>
    <row r="1867" ht="22.5" customHeight="1">
      <c r="A1867" s="42"/>
      <c r="B1867" s="47"/>
      <c r="C1867" s="46"/>
      <c r="D1867" s="47"/>
      <c r="E1867" s="46"/>
      <c r="F1867" s="47"/>
      <c r="G1867" s="46"/>
      <c r="H1867" s="50"/>
      <c r="I1867" s="51"/>
    </row>
    <row r="1868" ht="22.5" customHeight="1">
      <c r="A1868" s="42"/>
      <c r="B1868" s="47"/>
      <c r="C1868" s="46"/>
      <c r="D1868" s="47"/>
      <c r="E1868" s="46"/>
      <c r="F1868" s="47"/>
      <c r="G1868" s="46"/>
      <c r="H1868" s="48"/>
      <c r="I1868" s="49"/>
    </row>
    <row r="1869" ht="22.5" customHeight="1">
      <c r="A1869" s="42"/>
      <c r="B1869" s="47"/>
      <c r="C1869" s="46"/>
      <c r="D1869" s="47"/>
      <c r="E1869" s="46"/>
      <c r="F1869" s="47"/>
      <c r="G1869" s="46"/>
      <c r="H1869" s="50"/>
      <c r="I1869" s="51"/>
    </row>
    <row r="1870" ht="22.5" customHeight="1">
      <c r="A1870" s="42"/>
      <c r="B1870" s="47"/>
      <c r="C1870" s="46"/>
      <c r="D1870" s="47"/>
      <c r="E1870" s="46"/>
      <c r="F1870" s="47"/>
      <c r="G1870" s="46"/>
      <c r="H1870" s="48"/>
      <c r="I1870" s="49"/>
    </row>
    <row r="1871" ht="22.5" customHeight="1">
      <c r="A1871" s="42"/>
      <c r="B1871" s="47"/>
      <c r="C1871" s="46"/>
      <c r="D1871" s="47"/>
      <c r="E1871" s="46"/>
      <c r="F1871" s="47"/>
      <c r="G1871" s="46"/>
      <c r="H1871" s="50"/>
      <c r="I1871" s="51"/>
    </row>
    <row r="1872" ht="22.5" customHeight="1">
      <c r="A1872" s="42"/>
      <c r="B1872" s="47"/>
      <c r="C1872" s="46"/>
      <c r="D1872" s="47"/>
      <c r="E1872" s="46"/>
      <c r="F1872" s="47"/>
      <c r="G1872" s="46"/>
      <c r="H1872" s="48"/>
      <c r="I1872" s="49"/>
    </row>
    <row r="1873" ht="22.5" customHeight="1">
      <c r="A1873" s="42"/>
      <c r="B1873" s="47"/>
      <c r="C1873" s="46"/>
      <c r="D1873" s="47"/>
      <c r="E1873" s="46"/>
      <c r="F1873" s="47"/>
      <c r="G1873" s="46"/>
      <c r="H1873" s="50"/>
      <c r="I1873" s="51"/>
    </row>
    <row r="1874" ht="22.5" customHeight="1">
      <c r="A1874" s="42"/>
      <c r="B1874" s="47"/>
      <c r="C1874" s="46"/>
      <c r="D1874" s="47"/>
      <c r="E1874" s="46"/>
      <c r="F1874" s="47"/>
      <c r="G1874" s="46"/>
      <c r="H1874" s="48"/>
      <c r="I1874" s="49"/>
    </row>
    <row r="1875" ht="22.5" customHeight="1">
      <c r="A1875" s="42"/>
      <c r="B1875" s="47"/>
      <c r="C1875" s="46"/>
      <c r="D1875" s="47"/>
      <c r="E1875" s="46"/>
      <c r="F1875" s="47"/>
      <c r="G1875" s="46"/>
      <c r="H1875" s="50"/>
      <c r="I1875" s="51"/>
    </row>
    <row r="1876" ht="22.5" customHeight="1">
      <c r="A1876" s="42"/>
      <c r="B1876" s="47"/>
      <c r="C1876" s="46"/>
      <c r="D1876" s="47"/>
      <c r="E1876" s="46"/>
      <c r="F1876" s="47"/>
      <c r="G1876" s="46"/>
      <c r="H1876" s="48"/>
      <c r="I1876" s="49"/>
    </row>
    <row r="1877" ht="22.5" customHeight="1">
      <c r="A1877" s="42"/>
      <c r="B1877" s="47"/>
      <c r="C1877" s="46"/>
      <c r="D1877" s="47"/>
      <c r="E1877" s="46"/>
      <c r="F1877" s="47"/>
      <c r="G1877" s="46"/>
      <c r="H1877" s="50"/>
      <c r="I1877" s="51"/>
    </row>
    <row r="1878" ht="22.5" customHeight="1">
      <c r="A1878" s="42"/>
      <c r="B1878" s="47"/>
      <c r="C1878" s="46"/>
      <c r="D1878" s="47"/>
      <c r="E1878" s="46"/>
      <c r="F1878" s="47"/>
      <c r="G1878" s="46"/>
      <c r="H1878" s="48"/>
      <c r="I1878" s="49"/>
    </row>
    <row r="1879" ht="22.5" customHeight="1">
      <c r="A1879" s="42"/>
      <c r="B1879" s="47"/>
      <c r="C1879" s="46"/>
      <c r="D1879" s="47"/>
      <c r="E1879" s="46"/>
      <c r="F1879" s="47"/>
      <c r="G1879" s="46"/>
      <c r="H1879" s="50"/>
      <c r="I1879" s="51"/>
    </row>
    <row r="1880" ht="22.5" customHeight="1">
      <c r="A1880" s="42"/>
      <c r="B1880" s="47"/>
      <c r="C1880" s="46"/>
      <c r="D1880" s="47"/>
      <c r="E1880" s="46"/>
      <c r="F1880" s="47"/>
      <c r="G1880" s="46"/>
      <c r="H1880" s="48"/>
      <c r="I1880" s="49"/>
    </row>
    <row r="1881" ht="22.5" customHeight="1">
      <c r="A1881" s="42"/>
      <c r="B1881" s="47"/>
      <c r="C1881" s="46"/>
      <c r="D1881" s="47"/>
      <c r="E1881" s="46"/>
      <c r="F1881" s="47"/>
      <c r="G1881" s="46"/>
      <c r="H1881" s="50"/>
      <c r="I1881" s="51"/>
    </row>
    <row r="1882" ht="22.5" customHeight="1">
      <c r="A1882" s="42"/>
      <c r="B1882" s="47"/>
      <c r="C1882" s="46"/>
      <c r="D1882" s="47"/>
      <c r="E1882" s="46"/>
      <c r="F1882" s="47"/>
      <c r="G1882" s="46"/>
      <c r="H1882" s="48"/>
      <c r="I1882" s="49"/>
    </row>
    <row r="1883" ht="22.5" customHeight="1">
      <c r="A1883" s="42"/>
      <c r="B1883" s="47"/>
      <c r="C1883" s="46"/>
      <c r="D1883" s="47"/>
      <c r="E1883" s="46"/>
      <c r="F1883" s="47"/>
      <c r="G1883" s="46"/>
      <c r="H1883" s="50"/>
      <c r="I1883" s="51"/>
    </row>
    <row r="1884" ht="22.5" customHeight="1">
      <c r="A1884" s="42"/>
      <c r="B1884" s="47"/>
      <c r="C1884" s="46"/>
      <c r="D1884" s="47"/>
      <c r="E1884" s="46"/>
      <c r="F1884" s="47"/>
      <c r="G1884" s="46"/>
      <c r="H1884" s="48"/>
      <c r="I1884" s="49"/>
    </row>
    <row r="1885" ht="22.5" customHeight="1">
      <c r="A1885" s="42"/>
      <c r="B1885" s="47"/>
      <c r="C1885" s="46"/>
      <c r="D1885" s="47"/>
      <c r="E1885" s="46"/>
      <c r="F1885" s="47"/>
      <c r="G1885" s="46"/>
      <c r="H1885" s="50"/>
      <c r="I1885" s="51"/>
    </row>
    <row r="1886" ht="22.5" customHeight="1">
      <c r="A1886" s="42"/>
      <c r="B1886" s="47"/>
      <c r="C1886" s="46"/>
      <c r="D1886" s="47"/>
      <c r="E1886" s="46"/>
      <c r="F1886" s="47"/>
      <c r="G1886" s="46"/>
      <c r="H1886" s="48"/>
      <c r="I1886" s="49"/>
    </row>
    <row r="1887" ht="22.5" customHeight="1">
      <c r="A1887" s="42"/>
      <c r="B1887" s="47"/>
      <c r="C1887" s="46"/>
      <c r="D1887" s="47"/>
      <c r="E1887" s="46"/>
      <c r="F1887" s="47"/>
      <c r="G1887" s="46"/>
      <c r="H1887" s="50"/>
      <c r="I1887" s="51"/>
    </row>
    <row r="1888" ht="22.5" customHeight="1">
      <c r="A1888" s="42"/>
      <c r="B1888" s="47"/>
      <c r="C1888" s="46"/>
      <c r="D1888" s="47"/>
      <c r="E1888" s="46"/>
      <c r="F1888" s="47"/>
      <c r="G1888" s="46"/>
      <c r="H1888" s="48"/>
      <c r="I1888" s="49"/>
    </row>
    <row r="1889" ht="22.5" customHeight="1">
      <c r="A1889" s="42"/>
      <c r="B1889" s="47"/>
      <c r="C1889" s="46"/>
      <c r="D1889" s="47"/>
      <c r="E1889" s="46"/>
      <c r="F1889" s="47"/>
      <c r="G1889" s="46"/>
      <c r="H1889" s="50"/>
      <c r="I1889" s="51"/>
    </row>
    <row r="1890" ht="22.5" customHeight="1">
      <c r="A1890" s="42"/>
      <c r="B1890" s="47"/>
      <c r="C1890" s="46"/>
      <c r="D1890" s="47"/>
      <c r="E1890" s="46"/>
      <c r="F1890" s="47"/>
      <c r="G1890" s="46"/>
      <c r="H1890" s="48"/>
      <c r="I1890" s="49"/>
    </row>
    <row r="1891" ht="22.5" customHeight="1">
      <c r="A1891" s="42"/>
      <c r="B1891" s="47"/>
      <c r="C1891" s="46"/>
      <c r="D1891" s="47"/>
      <c r="E1891" s="46"/>
      <c r="F1891" s="47"/>
      <c r="G1891" s="46"/>
      <c r="H1891" s="50"/>
      <c r="I1891" s="51"/>
    </row>
    <row r="1892" ht="22.5" customHeight="1">
      <c r="A1892" s="42"/>
      <c r="B1892" s="47"/>
      <c r="C1892" s="46"/>
      <c r="D1892" s="47"/>
      <c r="E1892" s="46"/>
      <c r="F1892" s="47"/>
      <c r="G1892" s="46"/>
      <c r="H1892" s="48"/>
      <c r="I1892" s="49"/>
    </row>
    <row r="1893" ht="22.5" customHeight="1">
      <c r="A1893" s="42"/>
      <c r="B1893" s="47"/>
      <c r="C1893" s="46"/>
      <c r="D1893" s="47"/>
      <c r="E1893" s="46"/>
      <c r="F1893" s="47"/>
      <c r="G1893" s="46"/>
      <c r="H1893" s="50"/>
      <c r="I1893" s="51"/>
    </row>
    <row r="1894" ht="22.5" customHeight="1">
      <c r="A1894" s="42"/>
      <c r="B1894" s="47"/>
      <c r="C1894" s="46"/>
      <c r="D1894" s="47"/>
      <c r="E1894" s="46"/>
      <c r="F1894" s="47"/>
      <c r="G1894" s="46"/>
      <c r="H1894" s="48"/>
      <c r="I1894" s="49"/>
    </row>
    <row r="1895" ht="22.5" customHeight="1">
      <c r="A1895" s="42"/>
      <c r="B1895" s="47"/>
      <c r="C1895" s="46"/>
      <c r="D1895" s="47"/>
      <c r="E1895" s="46"/>
      <c r="F1895" s="47"/>
      <c r="G1895" s="46"/>
      <c r="H1895" s="50"/>
      <c r="I1895" s="51"/>
    </row>
    <row r="1896" ht="22.5" customHeight="1">
      <c r="A1896" s="42"/>
      <c r="B1896" s="47"/>
      <c r="C1896" s="46"/>
      <c r="D1896" s="47"/>
      <c r="E1896" s="46"/>
      <c r="F1896" s="47"/>
      <c r="G1896" s="46"/>
      <c r="H1896" s="48"/>
      <c r="I1896" s="49"/>
    </row>
    <row r="1897" ht="22.5" customHeight="1">
      <c r="A1897" s="42"/>
      <c r="B1897" s="47"/>
      <c r="C1897" s="46"/>
      <c r="D1897" s="47"/>
      <c r="E1897" s="46"/>
      <c r="F1897" s="47"/>
      <c r="G1897" s="46"/>
      <c r="H1897" s="50"/>
      <c r="I1897" s="51"/>
    </row>
    <row r="1898" ht="22.5" customHeight="1">
      <c r="A1898" s="42"/>
      <c r="B1898" s="47"/>
      <c r="C1898" s="46"/>
      <c r="D1898" s="47"/>
      <c r="E1898" s="46"/>
      <c r="F1898" s="47"/>
      <c r="G1898" s="46"/>
      <c r="H1898" s="48"/>
      <c r="I1898" s="49"/>
    </row>
    <row r="1899" ht="22.5" customHeight="1">
      <c r="A1899" s="42"/>
      <c r="B1899" s="47"/>
      <c r="C1899" s="46"/>
      <c r="D1899" s="47"/>
      <c r="E1899" s="46"/>
      <c r="F1899" s="47"/>
      <c r="G1899" s="46"/>
      <c r="H1899" s="50"/>
      <c r="I1899" s="51"/>
    </row>
    <row r="1900" ht="22.5" customHeight="1">
      <c r="A1900" s="42"/>
      <c r="B1900" s="47"/>
      <c r="C1900" s="46"/>
      <c r="D1900" s="47"/>
      <c r="E1900" s="46"/>
      <c r="F1900" s="47"/>
      <c r="G1900" s="46"/>
      <c r="H1900" s="48"/>
      <c r="I1900" s="49"/>
    </row>
    <row r="1901" ht="22.5" customHeight="1">
      <c r="A1901" s="42"/>
      <c r="B1901" s="47"/>
      <c r="C1901" s="46"/>
      <c r="D1901" s="47"/>
      <c r="E1901" s="46"/>
      <c r="F1901" s="47"/>
      <c r="G1901" s="46"/>
      <c r="H1901" s="50"/>
      <c r="I1901" s="51"/>
    </row>
    <row r="1902" ht="22.5" customHeight="1">
      <c r="A1902" s="42"/>
      <c r="B1902" s="47"/>
      <c r="C1902" s="46"/>
      <c r="D1902" s="47"/>
      <c r="E1902" s="46"/>
      <c r="F1902" s="47"/>
      <c r="G1902" s="46"/>
      <c r="H1902" s="48"/>
      <c r="I1902" s="49"/>
    </row>
    <row r="1903" ht="22.5" customHeight="1">
      <c r="A1903" s="42"/>
      <c r="B1903" s="47"/>
      <c r="C1903" s="46"/>
      <c r="D1903" s="47"/>
      <c r="E1903" s="46"/>
      <c r="F1903" s="47"/>
      <c r="G1903" s="46"/>
      <c r="H1903" s="50"/>
      <c r="I1903" s="51"/>
    </row>
    <row r="1904" ht="22.5" customHeight="1">
      <c r="A1904" s="42"/>
      <c r="B1904" s="47"/>
      <c r="C1904" s="46"/>
      <c r="D1904" s="47"/>
      <c r="E1904" s="46"/>
      <c r="F1904" s="47"/>
      <c r="G1904" s="46"/>
      <c r="H1904" s="48"/>
      <c r="I1904" s="49"/>
    </row>
    <row r="1905" ht="22.5" customHeight="1">
      <c r="A1905" s="42"/>
      <c r="B1905" s="47"/>
      <c r="C1905" s="46"/>
      <c r="D1905" s="47"/>
      <c r="E1905" s="46"/>
      <c r="F1905" s="47"/>
      <c r="G1905" s="46"/>
      <c r="H1905" s="50"/>
      <c r="I1905" s="51"/>
    </row>
    <row r="1906" ht="22.5" customHeight="1">
      <c r="A1906" s="42"/>
      <c r="B1906" s="47"/>
      <c r="C1906" s="46"/>
      <c r="D1906" s="47"/>
      <c r="E1906" s="46"/>
      <c r="F1906" s="47"/>
      <c r="G1906" s="46"/>
      <c r="H1906" s="48"/>
      <c r="I1906" s="49"/>
    </row>
    <row r="1907" ht="22.5" customHeight="1">
      <c r="A1907" s="42"/>
      <c r="B1907" s="47"/>
      <c r="C1907" s="46"/>
      <c r="D1907" s="47"/>
      <c r="E1907" s="46"/>
      <c r="F1907" s="47"/>
      <c r="G1907" s="46"/>
      <c r="H1907" s="50"/>
      <c r="I1907" s="51"/>
    </row>
    <row r="1908" ht="22.5" customHeight="1">
      <c r="A1908" s="42"/>
      <c r="B1908" s="47"/>
      <c r="C1908" s="46"/>
      <c r="D1908" s="47"/>
      <c r="E1908" s="46"/>
      <c r="F1908" s="47"/>
      <c r="G1908" s="46"/>
      <c r="H1908" s="48"/>
      <c r="I1908" s="49"/>
    </row>
    <row r="1909" ht="22.5" customHeight="1">
      <c r="A1909" s="42"/>
      <c r="B1909" s="47"/>
      <c r="C1909" s="46"/>
      <c r="D1909" s="47"/>
      <c r="E1909" s="46"/>
      <c r="F1909" s="47"/>
      <c r="G1909" s="46"/>
      <c r="H1909" s="50"/>
      <c r="I1909" s="51"/>
    </row>
    <row r="1910" ht="22.5" customHeight="1">
      <c r="A1910" s="42"/>
      <c r="B1910" s="47"/>
      <c r="C1910" s="46"/>
      <c r="D1910" s="47"/>
      <c r="E1910" s="46"/>
      <c r="F1910" s="47"/>
      <c r="G1910" s="46"/>
      <c r="H1910" s="48"/>
      <c r="I1910" s="49"/>
    </row>
    <row r="1911" ht="22.5" customHeight="1">
      <c r="A1911" s="42"/>
      <c r="B1911" s="47"/>
      <c r="C1911" s="46"/>
      <c r="D1911" s="47"/>
      <c r="E1911" s="46"/>
      <c r="F1911" s="47"/>
      <c r="G1911" s="46"/>
      <c r="H1911" s="50"/>
      <c r="I1911" s="51"/>
    </row>
    <row r="1912" ht="22.5" customHeight="1">
      <c r="A1912" s="42"/>
      <c r="B1912" s="47"/>
      <c r="C1912" s="46"/>
      <c r="D1912" s="47"/>
      <c r="E1912" s="46"/>
      <c r="F1912" s="47"/>
      <c r="G1912" s="46"/>
      <c r="H1912" s="48"/>
      <c r="I1912" s="49"/>
    </row>
    <row r="1913" ht="22.5" customHeight="1">
      <c r="A1913" s="42"/>
      <c r="B1913" s="47"/>
      <c r="C1913" s="46"/>
      <c r="D1913" s="47"/>
      <c r="E1913" s="46"/>
      <c r="F1913" s="47"/>
      <c r="G1913" s="46"/>
      <c r="H1913" s="50"/>
      <c r="I1913" s="51"/>
    </row>
    <row r="1914" ht="22.5" customHeight="1">
      <c r="A1914" s="42"/>
      <c r="B1914" s="47"/>
      <c r="C1914" s="46"/>
      <c r="D1914" s="47"/>
      <c r="E1914" s="46"/>
      <c r="F1914" s="47"/>
      <c r="G1914" s="46"/>
      <c r="H1914" s="48"/>
      <c r="I1914" s="49"/>
    </row>
    <row r="1915" ht="22.5" customHeight="1">
      <c r="A1915" s="42"/>
      <c r="B1915" s="47"/>
      <c r="C1915" s="46"/>
      <c r="D1915" s="47"/>
      <c r="E1915" s="46"/>
      <c r="F1915" s="47"/>
      <c r="G1915" s="46"/>
      <c r="H1915" s="50"/>
      <c r="I1915" s="51"/>
    </row>
    <row r="1916" ht="22.5" customHeight="1">
      <c r="A1916" s="42"/>
      <c r="B1916" s="47"/>
      <c r="C1916" s="46"/>
      <c r="D1916" s="47"/>
      <c r="E1916" s="46"/>
      <c r="F1916" s="47"/>
      <c r="G1916" s="46"/>
      <c r="H1916" s="48"/>
      <c r="I1916" s="49"/>
    </row>
    <row r="1917" ht="22.5" customHeight="1">
      <c r="A1917" s="42"/>
      <c r="B1917" s="47"/>
      <c r="C1917" s="46"/>
      <c r="D1917" s="47"/>
      <c r="E1917" s="46"/>
      <c r="F1917" s="47"/>
      <c r="G1917" s="46"/>
      <c r="H1917" s="50"/>
      <c r="I1917" s="51"/>
    </row>
    <row r="1918" ht="22.5" customHeight="1">
      <c r="A1918" s="42"/>
      <c r="B1918" s="47"/>
      <c r="C1918" s="46"/>
      <c r="D1918" s="47"/>
      <c r="E1918" s="46"/>
      <c r="F1918" s="47"/>
      <c r="G1918" s="46"/>
      <c r="H1918" s="48"/>
      <c r="I1918" s="49"/>
    </row>
    <row r="1919" ht="22.5" customHeight="1">
      <c r="A1919" s="42"/>
      <c r="B1919" s="47"/>
      <c r="C1919" s="46"/>
      <c r="D1919" s="47"/>
      <c r="E1919" s="46"/>
      <c r="F1919" s="47"/>
      <c r="G1919" s="46"/>
      <c r="H1919" s="50"/>
      <c r="I1919" s="51"/>
    </row>
    <row r="1920" ht="22.5" customHeight="1">
      <c r="A1920" s="42"/>
      <c r="B1920" s="47"/>
      <c r="C1920" s="46"/>
      <c r="D1920" s="47"/>
      <c r="E1920" s="46"/>
      <c r="F1920" s="47"/>
      <c r="G1920" s="46"/>
      <c r="H1920" s="48"/>
      <c r="I1920" s="49"/>
    </row>
    <row r="1921" ht="22.5" customHeight="1">
      <c r="A1921" s="42"/>
      <c r="B1921" s="47"/>
      <c r="C1921" s="46"/>
      <c r="D1921" s="47"/>
      <c r="E1921" s="46"/>
      <c r="F1921" s="47"/>
      <c r="G1921" s="46"/>
      <c r="H1921" s="50"/>
      <c r="I1921" s="51"/>
    </row>
    <row r="1922" ht="22.5" customHeight="1">
      <c r="A1922" s="42"/>
      <c r="B1922" s="47"/>
      <c r="C1922" s="46"/>
      <c r="D1922" s="47"/>
      <c r="E1922" s="46"/>
      <c r="F1922" s="47"/>
      <c r="G1922" s="46"/>
      <c r="H1922" s="48"/>
      <c r="I1922" s="49"/>
    </row>
    <row r="1923" ht="22.5" customHeight="1">
      <c r="A1923" s="42"/>
      <c r="B1923" s="47"/>
      <c r="C1923" s="46"/>
      <c r="D1923" s="47"/>
      <c r="E1923" s="46"/>
      <c r="F1923" s="47"/>
      <c r="G1923" s="46"/>
      <c r="H1923" s="50"/>
      <c r="I1923" s="51"/>
    </row>
    <row r="1924" ht="22.5" customHeight="1">
      <c r="A1924" s="42"/>
      <c r="B1924" s="47"/>
      <c r="C1924" s="46"/>
      <c r="D1924" s="47"/>
      <c r="E1924" s="46"/>
      <c r="F1924" s="47"/>
      <c r="G1924" s="46"/>
      <c r="H1924" s="48"/>
      <c r="I1924" s="49"/>
    </row>
    <row r="1925" ht="22.5" customHeight="1">
      <c r="A1925" s="42"/>
      <c r="B1925" s="47"/>
      <c r="C1925" s="46"/>
      <c r="D1925" s="47"/>
      <c r="E1925" s="46"/>
      <c r="F1925" s="47"/>
      <c r="G1925" s="46"/>
      <c r="H1925" s="50"/>
      <c r="I1925" s="51"/>
    </row>
    <row r="1926" ht="22.5" customHeight="1">
      <c r="A1926" s="42"/>
      <c r="B1926" s="47"/>
      <c r="C1926" s="46"/>
      <c r="D1926" s="47"/>
      <c r="E1926" s="46"/>
      <c r="F1926" s="47"/>
      <c r="G1926" s="46"/>
      <c r="H1926" s="48"/>
      <c r="I1926" s="49"/>
    </row>
    <row r="1927" ht="22.5" customHeight="1">
      <c r="A1927" s="42"/>
      <c r="B1927" s="47"/>
      <c r="C1927" s="46"/>
      <c r="D1927" s="47"/>
      <c r="E1927" s="46"/>
      <c r="F1927" s="47"/>
      <c r="G1927" s="46"/>
      <c r="H1927" s="50"/>
      <c r="I1927" s="51"/>
    </row>
    <row r="1928" ht="22.5" customHeight="1">
      <c r="A1928" s="42"/>
      <c r="B1928" s="47"/>
      <c r="C1928" s="46"/>
      <c r="D1928" s="47"/>
      <c r="E1928" s="46"/>
      <c r="F1928" s="47"/>
      <c r="G1928" s="46"/>
      <c r="H1928" s="48"/>
      <c r="I1928" s="49"/>
    </row>
    <row r="1929" ht="22.5" customHeight="1">
      <c r="A1929" s="42"/>
      <c r="B1929" s="47"/>
      <c r="C1929" s="46"/>
      <c r="D1929" s="47"/>
      <c r="E1929" s="46"/>
      <c r="F1929" s="47"/>
      <c r="G1929" s="46"/>
      <c r="H1929" s="50"/>
      <c r="I1929" s="51"/>
    </row>
    <row r="1930" ht="22.5" customHeight="1">
      <c r="A1930" s="42"/>
      <c r="B1930" s="47"/>
      <c r="C1930" s="46"/>
      <c r="D1930" s="47"/>
      <c r="E1930" s="46"/>
      <c r="F1930" s="47"/>
      <c r="G1930" s="46"/>
      <c r="H1930" s="48"/>
      <c r="I1930" s="49"/>
    </row>
    <row r="1931" ht="22.5" customHeight="1">
      <c r="A1931" s="42"/>
      <c r="B1931" s="47"/>
      <c r="C1931" s="46"/>
      <c r="D1931" s="47"/>
      <c r="E1931" s="46"/>
      <c r="F1931" s="47"/>
      <c r="G1931" s="46"/>
      <c r="H1931" s="50"/>
      <c r="I1931" s="51"/>
    </row>
    <row r="1932" ht="22.5" customHeight="1">
      <c r="A1932" s="42"/>
      <c r="B1932" s="47"/>
      <c r="C1932" s="46"/>
      <c r="D1932" s="47"/>
      <c r="E1932" s="46"/>
      <c r="F1932" s="47"/>
      <c r="G1932" s="46"/>
      <c r="H1932" s="48"/>
      <c r="I1932" s="49"/>
    </row>
    <row r="1933" ht="22.5" customHeight="1">
      <c r="A1933" s="42"/>
      <c r="B1933" s="47"/>
      <c r="C1933" s="46"/>
      <c r="D1933" s="47"/>
      <c r="E1933" s="46"/>
      <c r="F1933" s="47"/>
      <c r="G1933" s="46"/>
      <c r="H1933" s="50"/>
      <c r="I1933" s="51"/>
    </row>
    <row r="1934" ht="22.5" customHeight="1">
      <c r="A1934" s="42"/>
      <c r="B1934" s="47"/>
      <c r="C1934" s="46"/>
      <c r="D1934" s="47"/>
      <c r="E1934" s="46"/>
      <c r="F1934" s="47"/>
      <c r="G1934" s="46"/>
      <c r="H1934" s="48"/>
      <c r="I1934" s="49"/>
    </row>
    <row r="1935" ht="22.5" customHeight="1">
      <c r="A1935" s="42"/>
      <c r="B1935" s="47"/>
      <c r="C1935" s="46"/>
      <c r="D1935" s="47"/>
      <c r="E1935" s="46"/>
      <c r="F1935" s="47"/>
      <c r="G1935" s="46"/>
      <c r="H1935" s="50"/>
      <c r="I1935" s="51"/>
    </row>
    <row r="1936" ht="22.5" customHeight="1">
      <c r="A1936" s="42"/>
      <c r="B1936" s="47"/>
      <c r="C1936" s="46"/>
      <c r="D1936" s="47"/>
      <c r="E1936" s="46"/>
      <c r="F1936" s="47"/>
      <c r="G1936" s="46"/>
      <c r="H1936" s="48"/>
      <c r="I1936" s="49"/>
    </row>
    <row r="1937" ht="22.5" customHeight="1">
      <c r="A1937" s="42"/>
      <c r="B1937" s="47"/>
      <c r="C1937" s="46"/>
      <c r="D1937" s="47"/>
      <c r="E1937" s="46"/>
      <c r="F1937" s="47"/>
      <c r="G1937" s="46"/>
      <c r="H1937" s="50"/>
      <c r="I1937" s="51"/>
    </row>
    <row r="1938" ht="22.5" customHeight="1">
      <c r="A1938" s="42"/>
      <c r="B1938" s="47"/>
      <c r="C1938" s="46"/>
      <c r="D1938" s="47"/>
      <c r="E1938" s="46"/>
      <c r="F1938" s="47"/>
      <c r="G1938" s="46"/>
      <c r="H1938" s="48"/>
      <c r="I1938" s="49"/>
    </row>
    <row r="1939" ht="22.5" customHeight="1">
      <c r="A1939" s="42"/>
      <c r="B1939" s="47"/>
      <c r="C1939" s="46"/>
      <c r="D1939" s="47"/>
      <c r="E1939" s="46"/>
      <c r="F1939" s="47"/>
      <c r="G1939" s="46"/>
      <c r="H1939" s="50"/>
      <c r="I1939" s="51"/>
    </row>
    <row r="1940" ht="22.5" customHeight="1">
      <c r="A1940" s="42"/>
      <c r="B1940" s="47"/>
      <c r="C1940" s="46"/>
      <c r="D1940" s="47"/>
      <c r="E1940" s="46"/>
      <c r="F1940" s="47"/>
      <c r="G1940" s="46"/>
      <c r="H1940" s="48"/>
      <c r="I1940" s="49"/>
    </row>
    <row r="1941" ht="22.5" customHeight="1">
      <c r="A1941" s="42"/>
      <c r="B1941" s="47"/>
      <c r="C1941" s="46"/>
      <c r="D1941" s="47"/>
      <c r="E1941" s="46"/>
      <c r="F1941" s="47"/>
      <c r="G1941" s="46"/>
      <c r="H1941" s="50"/>
      <c r="I1941" s="51"/>
    </row>
    <row r="1942" ht="22.5" customHeight="1">
      <c r="A1942" s="42"/>
      <c r="B1942" s="47"/>
      <c r="C1942" s="46"/>
      <c r="D1942" s="47"/>
      <c r="E1942" s="46"/>
      <c r="F1942" s="47"/>
      <c r="G1942" s="46"/>
      <c r="H1942" s="48"/>
      <c r="I1942" s="49"/>
    </row>
    <row r="1943" ht="22.5" customHeight="1">
      <c r="A1943" s="42"/>
      <c r="B1943" s="47"/>
      <c r="C1943" s="46"/>
      <c r="D1943" s="47"/>
      <c r="E1943" s="46"/>
      <c r="F1943" s="47"/>
      <c r="G1943" s="46"/>
      <c r="H1943" s="50"/>
      <c r="I1943" s="51"/>
    </row>
    <row r="1944" ht="22.5" customHeight="1">
      <c r="A1944" s="42"/>
      <c r="B1944" s="47"/>
      <c r="C1944" s="46"/>
      <c r="D1944" s="47"/>
      <c r="E1944" s="46"/>
      <c r="F1944" s="47"/>
      <c r="G1944" s="46"/>
      <c r="H1944" s="48"/>
      <c r="I1944" s="49"/>
    </row>
    <row r="1945" ht="22.5" customHeight="1">
      <c r="A1945" s="42"/>
      <c r="B1945" s="47"/>
      <c r="C1945" s="46"/>
      <c r="D1945" s="47"/>
      <c r="E1945" s="46"/>
      <c r="F1945" s="47"/>
      <c r="G1945" s="46"/>
      <c r="H1945" s="50"/>
      <c r="I1945" s="51"/>
    </row>
    <row r="1946" ht="22.5" customHeight="1">
      <c r="A1946" s="42"/>
      <c r="B1946" s="47"/>
      <c r="C1946" s="46"/>
      <c r="D1946" s="47"/>
      <c r="E1946" s="46"/>
      <c r="F1946" s="47"/>
      <c r="G1946" s="46"/>
      <c r="H1946" s="48"/>
      <c r="I1946" s="49"/>
    </row>
    <row r="1947" ht="22.5" customHeight="1">
      <c r="A1947" s="42"/>
      <c r="B1947" s="47"/>
      <c r="C1947" s="46"/>
      <c r="D1947" s="47"/>
      <c r="E1947" s="46"/>
      <c r="F1947" s="47"/>
      <c r="G1947" s="46"/>
      <c r="H1947" s="50"/>
      <c r="I1947" s="51"/>
    </row>
    <row r="1948" ht="22.5" customHeight="1">
      <c r="A1948" s="42"/>
      <c r="B1948" s="47"/>
      <c r="C1948" s="46"/>
      <c r="D1948" s="47"/>
      <c r="E1948" s="46"/>
      <c r="F1948" s="47"/>
      <c r="G1948" s="46"/>
      <c r="H1948" s="48"/>
      <c r="I1948" s="49"/>
    </row>
    <row r="1949" ht="22.5" customHeight="1">
      <c r="A1949" s="42"/>
      <c r="B1949" s="47"/>
      <c r="C1949" s="46"/>
      <c r="D1949" s="47"/>
      <c r="E1949" s="46"/>
      <c r="F1949" s="47"/>
      <c r="G1949" s="46"/>
      <c r="H1949" s="50"/>
      <c r="I1949" s="51"/>
    </row>
    <row r="1950" ht="22.5" customHeight="1">
      <c r="A1950" s="42"/>
      <c r="B1950" s="47"/>
      <c r="C1950" s="46"/>
      <c r="D1950" s="47"/>
      <c r="E1950" s="46"/>
      <c r="F1950" s="47"/>
      <c r="G1950" s="46"/>
      <c r="H1950" s="48"/>
      <c r="I1950" s="49"/>
    </row>
    <row r="1951" ht="22.5" customHeight="1">
      <c r="A1951" s="42"/>
      <c r="B1951" s="47"/>
      <c r="C1951" s="46"/>
      <c r="D1951" s="47"/>
      <c r="E1951" s="46"/>
      <c r="F1951" s="47"/>
      <c r="G1951" s="46"/>
      <c r="H1951" s="50"/>
      <c r="I1951" s="51"/>
    </row>
    <row r="1952" ht="22.5" customHeight="1">
      <c r="A1952" s="42"/>
      <c r="B1952" s="47"/>
      <c r="C1952" s="46"/>
      <c r="D1952" s="47"/>
      <c r="E1952" s="46"/>
      <c r="F1952" s="47"/>
      <c r="G1952" s="46"/>
      <c r="H1952" s="48"/>
      <c r="I1952" s="49"/>
    </row>
    <row r="1953" ht="22.5" customHeight="1">
      <c r="A1953" s="42"/>
      <c r="B1953" s="47"/>
      <c r="C1953" s="46"/>
      <c r="D1953" s="47"/>
      <c r="E1953" s="46"/>
      <c r="F1953" s="47"/>
      <c r="G1953" s="46"/>
      <c r="H1953" s="50"/>
      <c r="I1953" s="51"/>
    </row>
    <row r="1954" ht="22.5" customHeight="1">
      <c r="A1954" s="42"/>
      <c r="B1954" s="47"/>
      <c r="C1954" s="46"/>
      <c r="D1954" s="47"/>
      <c r="E1954" s="46"/>
      <c r="F1954" s="47"/>
      <c r="G1954" s="46"/>
      <c r="H1954" s="48"/>
      <c r="I1954" s="49"/>
    </row>
    <row r="1955" ht="22.5" customHeight="1">
      <c r="A1955" s="42"/>
      <c r="B1955" s="47"/>
      <c r="C1955" s="46"/>
      <c r="D1955" s="47"/>
      <c r="E1955" s="46"/>
      <c r="F1955" s="47"/>
      <c r="G1955" s="46"/>
      <c r="H1955" s="50"/>
      <c r="I1955" s="51"/>
    </row>
    <row r="1956" ht="22.5" customHeight="1">
      <c r="A1956" s="42"/>
      <c r="B1956" s="47"/>
      <c r="C1956" s="46"/>
      <c r="D1956" s="47"/>
      <c r="E1956" s="46"/>
      <c r="F1956" s="47"/>
      <c r="G1956" s="46"/>
      <c r="H1956" s="48"/>
      <c r="I1956" s="49"/>
    </row>
    <row r="1957" ht="22.5" customHeight="1">
      <c r="A1957" s="42"/>
      <c r="B1957" s="47"/>
      <c r="C1957" s="46"/>
      <c r="D1957" s="47"/>
      <c r="E1957" s="46"/>
      <c r="F1957" s="47"/>
      <c r="G1957" s="46"/>
      <c r="H1957" s="50"/>
      <c r="I1957" s="51"/>
    </row>
    <row r="1958" ht="22.5" customHeight="1">
      <c r="A1958" s="42"/>
      <c r="B1958" s="47"/>
      <c r="C1958" s="46"/>
      <c r="D1958" s="47"/>
      <c r="E1958" s="46"/>
      <c r="F1958" s="47"/>
      <c r="G1958" s="46"/>
      <c r="H1958" s="48"/>
      <c r="I1958" s="49"/>
    </row>
    <row r="1959" ht="22.5" customHeight="1">
      <c r="A1959" s="42"/>
      <c r="B1959" s="47"/>
      <c r="C1959" s="46"/>
      <c r="D1959" s="47"/>
      <c r="E1959" s="46"/>
      <c r="F1959" s="47"/>
      <c r="G1959" s="46"/>
      <c r="H1959" s="50"/>
      <c r="I1959" s="51"/>
    </row>
    <row r="1960" ht="22.5" customHeight="1">
      <c r="A1960" s="42"/>
      <c r="B1960" s="47"/>
      <c r="C1960" s="46"/>
      <c r="D1960" s="47"/>
      <c r="E1960" s="46"/>
      <c r="F1960" s="47"/>
      <c r="G1960" s="46"/>
      <c r="H1960" s="48"/>
      <c r="I1960" s="49"/>
    </row>
    <row r="1961" ht="22.5" customHeight="1">
      <c r="A1961" s="42"/>
      <c r="B1961" s="47"/>
      <c r="C1961" s="46"/>
      <c r="D1961" s="47"/>
      <c r="E1961" s="46"/>
      <c r="F1961" s="47"/>
      <c r="G1961" s="46"/>
      <c r="H1961" s="50"/>
      <c r="I1961" s="51"/>
    </row>
    <row r="1962" ht="22.5" customHeight="1">
      <c r="A1962" s="42"/>
      <c r="B1962" s="47"/>
      <c r="C1962" s="46"/>
      <c r="D1962" s="47"/>
      <c r="E1962" s="46"/>
      <c r="F1962" s="47"/>
      <c r="G1962" s="46"/>
      <c r="H1962" s="48"/>
      <c r="I1962" s="49"/>
    </row>
    <row r="1963" ht="22.5" customHeight="1">
      <c r="A1963" s="42"/>
      <c r="B1963" s="47"/>
      <c r="C1963" s="46"/>
      <c r="D1963" s="47"/>
      <c r="E1963" s="46"/>
      <c r="F1963" s="47"/>
      <c r="G1963" s="46"/>
      <c r="H1963" s="50"/>
      <c r="I1963" s="51"/>
    </row>
    <row r="1964" ht="22.5" customHeight="1">
      <c r="A1964" s="42"/>
      <c r="B1964" s="47"/>
      <c r="C1964" s="46"/>
      <c r="D1964" s="47"/>
      <c r="E1964" s="46"/>
      <c r="F1964" s="47"/>
      <c r="G1964" s="46"/>
      <c r="H1964" s="48"/>
      <c r="I1964" s="49"/>
    </row>
    <row r="1965" ht="22.5" customHeight="1">
      <c r="A1965" s="42"/>
      <c r="B1965" s="47"/>
      <c r="C1965" s="46"/>
      <c r="D1965" s="47"/>
      <c r="E1965" s="46"/>
      <c r="F1965" s="47"/>
      <c r="G1965" s="46"/>
      <c r="H1965" s="50"/>
      <c r="I1965" s="51"/>
    </row>
    <row r="1966" ht="22.5" customHeight="1">
      <c r="A1966" s="42"/>
      <c r="B1966" s="47"/>
      <c r="C1966" s="46"/>
      <c r="D1966" s="47"/>
      <c r="E1966" s="46"/>
      <c r="F1966" s="47"/>
      <c r="G1966" s="46"/>
      <c r="H1966" s="48"/>
      <c r="I1966" s="49"/>
    </row>
    <row r="1967" ht="22.5" customHeight="1">
      <c r="A1967" s="42"/>
      <c r="B1967" s="47"/>
      <c r="C1967" s="46"/>
      <c r="D1967" s="47"/>
      <c r="E1967" s="46"/>
      <c r="F1967" s="47"/>
      <c r="G1967" s="46"/>
      <c r="H1967" s="50"/>
      <c r="I1967" s="51"/>
    </row>
    <row r="1968" ht="22.5" customHeight="1">
      <c r="A1968" s="42"/>
      <c r="B1968" s="47"/>
      <c r="C1968" s="46"/>
      <c r="D1968" s="47"/>
      <c r="E1968" s="46"/>
      <c r="F1968" s="47"/>
      <c r="G1968" s="46"/>
      <c r="H1968" s="48"/>
      <c r="I1968" s="49"/>
    </row>
    <row r="1969" ht="22.5" customHeight="1">
      <c r="A1969" s="42"/>
      <c r="B1969" s="47"/>
      <c r="C1969" s="46"/>
      <c r="D1969" s="47"/>
      <c r="E1969" s="46"/>
      <c r="F1969" s="47"/>
      <c r="G1969" s="46"/>
      <c r="H1969" s="50"/>
      <c r="I1969" s="51"/>
    </row>
    <row r="1970" ht="22.5" customHeight="1">
      <c r="A1970" s="42"/>
      <c r="B1970" s="47"/>
      <c r="C1970" s="46"/>
      <c r="D1970" s="47"/>
      <c r="E1970" s="46"/>
      <c r="F1970" s="47"/>
      <c r="G1970" s="46"/>
      <c r="H1970" s="48"/>
      <c r="I1970" s="49"/>
    </row>
    <row r="1971" ht="22.5" customHeight="1">
      <c r="A1971" s="42"/>
      <c r="B1971" s="47"/>
      <c r="C1971" s="46"/>
      <c r="D1971" s="47"/>
      <c r="E1971" s="46"/>
      <c r="F1971" s="47"/>
      <c r="G1971" s="46"/>
      <c r="H1971" s="50"/>
      <c r="I1971" s="51"/>
    </row>
    <row r="1972" ht="22.5" customHeight="1">
      <c r="A1972" s="42"/>
      <c r="B1972" s="47"/>
      <c r="C1972" s="46"/>
      <c r="D1972" s="47"/>
      <c r="E1972" s="46"/>
      <c r="F1972" s="47"/>
      <c r="G1972" s="46"/>
      <c r="H1972" s="48"/>
      <c r="I1972" s="49"/>
    </row>
    <row r="1973" ht="22.5" customHeight="1">
      <c r="A1973" s="42"/>
      <c r="B1973" s="47"/>
      <c r="C1973" s="46"/>
      <c r="D1973" s="47"/>
      <c r="E1973" s="46"/>
      <c r="F1973" s="47"/>
      <c r="G1973" s="46"/>
      <c r="H1973" s="50"/>
      <c r="I1973" s="51"/>
    </row>
    <row r="1974" ht="22.5" customHeight="1">
      <c r="A1974" s="42"/>
      <c r="B1974" s="47"/>
      <c r="C1974" s="46"/>
      <c r="D1974" s="47"/>
      <c r="E1974" s="46"/>
      <c r="F1974" s="47"/>
      <c r="G1974" s="46"/>
      <c r="H1974" s="48"/>
      <c r="I1974" s="49"/>
    </row>
    <row r="1975" ht="22.5" customHeight="1">
      <c r="A1975" s="42"/>
      <c r="B1975" s="47"/>
      <c r="C1975" s="46"/>
      <c r="D1975" s="47"/>
      <c r="E1975" s="46"/>
      <c r="F1975" s="47"/>
      <c r="G1975" s="46"/>
      <c r="H1975" s="50"/>
      <c r="I1975" s="51"/>
    </row>
    <row r="1976" ht="22.5" customHeight="1">
      <c r="A1976" s="42"/>
      <c r="B1976" s="47"/>
      <c r="C1976" s="46"/>
      <c r="D1976" s="47"/>
      <c r="E1976" s="46"/>
      <c r="F1976" s="47"/>
      <c r="G1976" s="46"/>
      <c r="H1976" s="48"/>
      <c r="I1976" s="49"/>
    </row>
    <row r="1977" ht="22.5" customHeight="1">
      <c r="A1977" s="42"/>
      <c r="B1977" s="47"/>
      <c r="C1977" s="46"/>
      <c r="D1977" s="47"/>
      <c r="E1977" s="46"/>
      <c r="F1977" s="47"/>
      <c r="G1977" s="46"/>
      <c r="H1977" s="50"/>
      <c r="I1977" s="51"/>
    </row>
    <row r="1978" ht="22.5" customHeight="1">
      <c r="A1978" s="42"/>
      <c r="B1978" s="47"/>
      <c r="C1978" s="46"/>
      <c r="D1978" s="47"/>
      <c r="E1978" s="46"/>
      <c r="F1978" s="47"/>
      <c r="G1978" s="46"/>
      <c r="H1978" s="48"/>
      <c r="I1978" s="49"/>
    </row>
    <row r="1979" ht="22.5" customHeight="1">
      <c r="A1979" s="42"/>
      <c r="B1979" s="47"/>
      <c r="C1979" s="46"/>
      <c r="D1979" s="47"/>
      <c r="E1979" s="46"/>
      <c r="F1979" s="47"/>
      <c r="G1979" s="46"/>
      <c r="H1979" s="50"/>
      <c r="I1979" s="51"/>
    </row>
    <row r="1980" ht="22.5" customHeight="1">
      <c r="A1980" s="42"/>
      <c r="B1980" s="47"/>
      <c r="C1980" s="46"/>
      <c r="D1980" s="47"/>
      <c r="E1980" s="46"/>
      <c r="F1980" s="47"/>
      <c r="G1980" s="46"/>
      <c r="H1980" s="48"/>
      <c r="I1980" s="49"/>
    </row>
    <row r="1981" ht="22.5" customHeight="1">
      <c r="A1981" s="42"/>
      <c r="B1981" s="47"/>
      <c r="C1981" s="46"/>
      <c r="D1981" s="47"/>
      <c r="E1981" s="46"/>
      <c r="F1981" s="47"/>
      <c r="G1981" s="46"/>
      <c r="H1981" s="50"/>
      <c r="I1981" s="51"/>
    </row>
    <row r="1982" ht="22.5" customHeight="1">
      <c r="A1982" s="42"/>
      <c r="B1982" s="47"/>
      <c r="C1982" s="46"/>
      <c r="D1982" s="47"/>
      <c r="E1982" s="46"/>
      <c r="F1982" s="47"/>
      <c r="G1982" s="46"/>
      <c r="H1982" s="48"/>
      <c r="I1982" s="49"/>
    </row>
    <row r="1983" ht="22.5" customHeight="1">
      <c r="A1983" s="42"/>
      <c r="B1983" s="47"/>
      <c r="C1983" s="46"/>
      <c r="D1983" s="47"/>
      <c r="E1983" s="46"/>
      <c r="F1983" s="47"/>
      <c r="G1983" s="46"/>
      <c r="H1983" s="50"/>
      <c r="I1983" s="51"/>
    </row>
    <row r="1984" ht="22.5" customHeight="1">
      <c r="A1984" s="42"/>
      <c r="B1984" s="47"/>
      <c r="C1984" s="46"/>
      <c r="D1984" s="47"/>
      <c r="E1984" s="46"/>
      <c r="F1984" s="47"/>
      <c r="G1984" s="46"/>
      <c r="H1984" s="48"/>
      <c r="I1984" s="49"/>
    </row>
    <row r="1985" ht="22.5" customHeight="1">
      <c r="A1985" s="42"/>
      <c r="B1985" s="47"/>
      <c r="C1985" s="46"/>
      <c r="D1985" s="47"/>
      <c r="E1985" s="46"/>
      <c r="F1985" s="47"/>
      <c r="G1985" s="46"/>
      <c r="H1985" s="50"/>
      <c r="I1985" s="51"/>
    </row>
    <row r="1986" ht="22.5" customHeight="1">
      <c r="A1986" s="42"/>
      <c r="B1986" s="47"/>
      <c r="C1986" s="46"/>
      <c r="D1986" s="47"/>
      <c r="E1986" s="46"/>
      <c r="F1986" s="47"/>
      <c r="G1986" s="46"/>
      <c r="H1986" s="48"/>
      <c r="I1986" s="49"/>
    </row>
    <row r="1987" ht="22.5" customHeight="1">
      <c r="A1987" s="42"/>
      <c r="B1987" s="47"/>
      <c r="C1987" s="46"/>
      <c r="D1987" s="47"/>
      <c r="E1987" s="46"/>
      <c r="F1987" s="47"/>
      <c r="G1987" s="46"/>
      <c r="H1987" s="50"/>
      <c r="I1987" s="51"/>
    </row>
    <row r="1988" ht="22.5" customHeight="1">
      <c r="A1988" s="42"/>
      <c r="B1988" s="47"/>
      <c r="C1988" s="46"/>
      <c r="D1988" s="47"/>
      <c r="E1988" s="46"/>
      <c r="F1988" s="47"/>
      <c r="G1988" s="46"/>
      <c r="H1988" s="48"/>
      <c r="I1988" s="49"/>
    </row>
    <row r="1989" ht="22.5" customHeight="1">
      <c r="A1989" s="42"/>
      <c r="B1989" s="47"/>
      <c r="C1989" s="46"/>
      <c r="D1989" s="47"/>
      <c r="E1989" s="46"/>
      <c r="F1989" s="47"/>
      <c r="G1989" s="46"/>
      <c r="H1989" s="50"/>
      <c r="I1989" s="51"/>
    </row>
    <row r="1990" ht="22.5" customHeight="1">
      <c r="A1990" s="42"/>
      <c r="B1990" s="47"/>
      <c r="C1990" s="46"/>
      <c r="D1990" s="47"/>
      <c r="E1990" s="46"/>
      <c r="F1990" s="47"/>
      <c r="G1990" s="46"/>
      <c r="H1990" s="48"/>
      <c r="I1990" s="49"/>
    </row>
    <row r="1991" ht="22.5" customHeight="1">
      <c r="A1991" s="42"/>
      <c r="B1991" s="47"/>
      <c r="C1991" s="46"/>
      <c r="D1991" s="47"/>
      <c r="E1991" s="46"/>
      <c r="F1991" s="47"/>
      <c r="G1991" s="46"/>
      <c r="H1991" s="50"/>
      <c r="I1991" s="51"/>
    </row>
    <row r="1992" ht="22.5" customHeight="1">
      <c r="A1992" s="42"/>
      <c r="B1992" s="47"/>
      <c r="C1992" s="46"/>
      <c r="D1992" s="47"/>
      <c r="E1992" s="46"/>
      <c r="F1992" s="47"/>
      <c r="G1992" s="46"/>
      <c r="H1992" s="48"/>
      <c r="I1992" s="49"/>
    </row>
    <row r="1993" ht="22.5" customHeight="1">
      <c r="A1993" s="42"/>
      <c r="B1993" s="47"/>
      <c r="C1993" s="46"/>
      <c r="D1993" s="47"/>
      <c r="E1993" s="46"/>
      <c r="F1993" s="47"/>
      <c r="G1993" s="46"/>
      <c r="H1993" s="50"/>
      <c r="I1993" s="51"/>
    </row>
    <row r="1994" ht="22.5" customHeight="1">
      <c r="A1994" s="42"/>
      <c r="B1994" s="47"/>
      <c r="C1994" s="46"/>
      <c r="D1994" s="47"/>
      <c r="E1994" s="46"/>
      <c r="F1994" s="47"/>
      <c r="G1994" s="46"/>
      <c r="H1994" s="48"/>
      <c r="I1994" s="49"/>
    </row>
    <row r="1995" ht="22.5" customHeight="1">
      <c r="A1995" s="42"/>
      <c r="B1995" s="47"/>
      <c r="C1995" s="46"/>
      <c r="D1995" s="47"/>
      <c r="E1995" s="46"/>
      <c r="F1995" s="47"/>
      <c r="G1995" s="46"/>
      <c r="H1995" s="50"/>
      <c r="I1995" s="51"/>
    </row>
    <row r="1996" ht="22.5" customHeight="1">
      <c r="A1996" s="42"/>
      <c r="B1996" s="47"/>
      <c r="C1996" s="46"/>
      <c r="D1996" s="47"/>
      <c r="E1996" s="46"/>
      <c r="F1996" s="47"/>
      <c r="G1996" s="46"/>
      <c r="H1996" s="48"/>
      <c r="I1996" s="49"/>
    </row>
    <row r="1997" ht="22.5" customHeight="1">
      <c r="A1997" s="42"/>
      <c r="B1997" s="47"/>
      <c r="C1997" s="46"/>
      <c r="D1997" s="47"/>
      <c r="E1997" s="46"/>
      <c r="F1997" s="47"/>
      <c r="G1997" s="46"/>
      <c r="H1997" s="50"/>
      <c r="I1997" s="51"/>
    </row>
    <row r="1998" ht="22.5" customHeight="1">
      <c r="A1998" s="42"/>
      <c r="B1998" s="47"/>
      <c r="C1998" s="46"/>
      <c r="D1998" s="47"/>
      <c r="E1998" s="46"/>
      <c r="F1998" s="47"/>
      <c r="G1998" s="46"/>
      <c r="H1998" s="48"/>
      <c r="I1998" s="49"/>
    </row>
    <row r="1999" ht="22.5" customHeight="1">
      <c r="A1999" s="42"/>
      <c r="B1999" s="47"/>
      <c r="C1999" s="46"/>
      <c r="D1999" s="47"/>
      <c r="E1999" s="46"/>
      <c r="F1999" s="47"/>
      <c r="G1999" s="46"/>
      <c r="H1999" s="50"/>
      <c r="I1999" s="51"/>
    </row>
    <row r="2000" ht="22.5" customHeight="1">
      <c r="A2000" s="42"/>
      <c r="B2000" s="47"/>
      <c r="C2000" s="46"/>
      <c r="D2000" s="47"/>
      <c r="E2000" s="46"/>
      <c r="F2000" s="47"/>
      <c r="G2000" s="46"/>
      <c r="H2000" s="48"/>
      <c r="I2000" s="49"/>
    </row>
    <row r="2001" ht="22.5" customHeight="1">
      <c r="A2001" s="42"/>
      <c r="B2001" s="47"/>
      <c r="C2001" s="46"/>
      <c r="D2001" s="47"/>
      <c r="E2001" s="46"/>
      <c r="F2001" s="47"/>
      <c r="G2001" s="46"/>
      <c r="H2001" s="50"/>
      <c r="I2001" s="51"/>
    </row>
    <row r="2002" ht="22.5" customHeight="1">
      <c r="A2002" s="42"/>
      <c r="B2002" s="47"/>
      <c r="C2002" s="46"/>
      <c r="D2002" s="47"/>
      <c r="E2002" s="46"/>
      <c r="F2002" s="47"/>
      <c r="G2002" s="46"/>
      <c r="H2002" s="48"/>
      <c r="I2002" s="49"/>
    </row>
    <row r="2003" ht="22.5" customHeight="1">
      <c r="A2003" s="42"/>
      <c r="B2003" s="47"/>
      <c r="C2003" s="46"/>
      <c r="D2003" s="47"/>
      <c r="E2003" s="46"/>
      <c r="F2003" s="47"/>
      <c r="G2003" s="46"/>
      <c r="H2003" s="50"/>
      <c r="I2003" s="51"/>
    </row>
    <row r="2004" ht="22.5" customHeight="1">
      <c r="A2004" s="42"/>
      <c r="B2004" s="47"/>
      <c r="C2004" s="46"/>
      <c r="D2004" s="47"/>
      <c r="E2004" s="46"/>
      <c r="F2004" s="47"/>
      <c r="G2004" s="46"/>
      <c r="H2004" s="48"/>
      <c r="I2004" s="49"/>
    </row>
    <row r="2005" ht="22.5" customHeight="1">
      <c r="A2005" s="42"/>
      <c r="B2005" s="47"/>
      <c r="C2005" s="46"/>
      <c r="D2005" s="47"/>
      <c r="E2005" s="46"/>
      <c r="F2005" s="47"/>
      <c r="G2005" s="46"/>
      <c r="H2005" s="50"/>
      <c r="I2005" s="51"/>
    </row>
    <row r="2006" ht="22.5" customHeight="1">
      <c r="A2006" s="42"/>
      <c r="B2006" s="47"/>
      <c r="C2006" s="46"/>
      <c r="D2006" s="47"/>
      <c r="E2006" s="46"/>
      <c r="F2006" s="47"/>
      <c r="G2006" s="46"/>
      <c r="H2006" s="48"/>
      <c r="I2006" s="49"/>
    </row>
    <row r="2007" ht="22.5" customHeight="1">
      <c r="A2007" s="42"/>
      <c r="B2007" s="47"/>
      <c r="C2007" s="46"/>
      <c r="D2007" s="47"/>
      <c r="E2007" s="46"/>
      <c r="F2007" s="47"/>
      <c r="G2007" s="46"/>
      <c r="H2007" s="50"/>
      <c r="I2007" s="51"/>
    </row>
    <row r="2008" ht="22.5" customHeight="1">
      <c r="A2008" s="42"/>
      <c r="B2008" s="47"/>
      <c r="C2008" s="46"/>
      <c r="D2008" s="47"/>
      <c r="E2008" s="46"/>
      <c r="F2008" s="47"/>
      <c r="G2008" s="46"/>
      <c r="H2008" s="48"/>
      <c r="I2008" s="49"/>
    </row>
    <row r="2009" ht="22.5" customHeight="1">
      <c r="A2009" s="42"/>
      <c r="B2009" s="47"/>
      <c r="C2009" s="46"/>
      <c r="D2009" s="47"/>
      <c r="E2009" s="46"/>
      <c r="F2009" s="47"/>
      <c r="G2009" s="46"/>
      <c r="H2009" s="50"/>
      <c r="I2009" s="51"/>
    </row>
    <row r="2010" ht="22.5" customHeight="1">
      <c r="A2010" s="42"/>
      <c r="B2010" s="47"/>
      <c r="C2010" s="46"/>
      <c r="D2010" s="47"/>
      <c r="E2010" s="46"/>
      <c r="F2010" s="47"/>
      <c r="G2010" s="46"/>
      <c r="H2010" s="48"/>
      <c r="I2010" s="49"/>
    </row>
    <row r="2011" ht="22.5" customHeight="1">
      <c r="A2011" s="42"/>
      <c r="B2011" s="47"/>
      <c r="C2011" s="46"/>
      <c r="D2011" s="47"/>
      <c r="E2011" s="46"/>
      <c r="F2011" s="47"/>
      <c r="G2011" s="46"/>
      <c r="H2011" s="50"/>
      <c r="I2011" s="51"/>
    </row>
    <row r="2012" ht="22.5" customHeight="1">
      <c r="A2012" s="42"/>
      <c r="B2012" s="47"/>
      <c r="C2012" s="46"/>
      <c r="D2012" s="47"/>
      <c r="E2012" s="46"/>
      <c r="F2012" s="47"/>
      <c r="G2012" s="46"/>
      <c r="H2012" s="48"/>
      <c r="I2012" s="49"/>
    </row>
    <row r="2013" ht="22.5" customHeight="1">
      <c r="A2013" s="42"/>
      <c r="B2013" s="47"/>
      <c r="C2013" s="46"/>
      <c r="D2013" s="47"/>
      <c r="E2013" s="46"/>
      <c r="F2013" s="47"/>
      <c r="G2013" s="46"/>
      <c r="H2013" s="50"/>
      <c r="I2013" s="51"/>
    </row>
    <row r="2014" ht="22.5" customHeight="1">
      <c r="A2014" s="42"/>
      <c r="B2014" s="47"/>
      <c r="C2014" s="46"/>
      <c r="D2014" s="47"/>
      <c r="E2014" s="46"/>
      <c r="F2014" s="47"/>
      <c r="G2014" s="46"/>
      <c r="H2014" s="48"/>
      <c r="I2014" s="49"/>
    </row>
    <row r="2015" ht="22.5" customHeight="1">
      <c r="A2015" s="42"/>
      <c r="B2015" s="47"/>
      <c r="C2015" s="46"/>
      <c r="D2015" s="47"/>
      <c r="E2015" s="46"/>
      <c r="F2015" s="47"/>
      <c r="G2015" s="46"/>
      <c r="H2015" s="50"/>
      <c r="I2015" s="51"/>
    </row>
    <row r="2016" ht="22.5" customHeight="1">
      <c r="A2016" s="42"/>
      <c r="B2016" s="47"/>
      <c r="C2016" s="46"/>
      <c r="D2016" s="47"/>
      <c r="E2016" s="46"/>
      <c r="F2016" s="47"/>
      <c r="G2016" s="46"/>
      <c r="H2016" s="48"/>
      <c r="I2016" s="49"/>
    </row>
    <row r="2017" ht="22.5" customHeight="1">
      <c r="A2017" s="42"/>
      <c r="B2017" s="47"/>
      <c r="C2017" s="46"/>
      <c r="D2017" s="47"/>
      <c r="E2017" s="46"/>
      <c r="F2017" s="47"/>
      <c r="G2017" s="46"/>
      <c r="H2017" s="50"/>
      <c r="I2017" s="51"/>
    </row>
    <row r="2018" ht="22.5" customHeight="1">
      <c r="A2018" s="42"/>
      <c r="B2018" s="47"/>
      <c r="C2018" s="46"/>
      <c r="D2018" s="47"/>
      <c r="E2018" s="46"/>
      <c r="F2018" s="47"/>
      <c r="G2018" s="46"/>
      <c r="H2018" s="48"/>
      <c r="I2018" s="49"/>
    </row>
    <row r="2019" ht="22.5" customHeight="1">
      <c r="A2019" s="42"/>
      <c r="B2019" s="47"/>
      <c r="C2019" s="46"/>
      <c r="D2019" s="47"/>
      <c r="E2019" s="46"/>
      <c r="F2019" s="47"/>
      <c r="G2019" s="46"/>
      <c r="H2019" s="50"/>
      <c r="I2019" s="51"/>
    </row>
    <row r="2020" ht="22.5" customHeight="1">
      <c r="A2020" s="42"/>
      <c r="B2020" s="47"/>
      <c r="C2020" s="46"/>
      <c r="D2020" s="47"/>
      <c r="E2020" s="46"/>
      <c r="F2020" s="47"/>
      <c r="G2020" s="46"/>
      <c r="H2020" s="48"/>
      <c r="I2020" s="49"/>
    </row>
    <row r="2021" ht="22.5" customHeight="1">
      <c r="A2021" s="42"/>
      <c r="B2021" s="47"/>
      <c r="C2021" s="46"/>
      <c r="D2021" s="47"/>
      <c r="E2021" s="46"/>
      <c r="F2021" s="47"/>
      <c r="G2021" s="46"/>
      <c r="H2021" s="50"/>
      <c r="I2021" s="51"/>
    </row>
    <row r="2022" ht="22.5" customHeight="1">
      <c r="A2022" s="42"/>
      <c r="B2022" s="47"/>
      <c r="C2022" s="46"/>
      <c r="D2022" s="47"/>
      <c r="E2022" s="46"/>
      <c r="F2022" s="47"/>
      <c r="G2022" s="46"/>
      <c r="H2022" s="48"/>
      <c r="I2022" s="49"/>
    </row>
    <row r="2023" ht="22.5" customHeight="1">
      <c r="A2023" s="42"/>
      <c r="B2023" s="47"/>
      <c r="C2023" s="46"/>
      <c r="D2023" s="47"/>
      <c r="E2023" s="46"/>
      <c r="F2023" s="47"/>
      <c r="G2023" s="46"/>
      <c r="H2023" s="50"/>
      <c r="I2023" s="51"/>
    </row>
    <row r="2024" ht="22.5" customHeight="1">
      <c r="A2024" s="42"/>
      <c r="B2024" s="47"/>
      <c r="C2024" s="46"/>
      <c r="D2024" s="47"/>
      <c r="E2024" s="46"/>
      <c r="F2024" s="47"/>
      <c r="G2024" s="46"/>
      <c r="H2024" s="48"/>
      <c r="I2024" s="49"/>
    </row>
    <row r="2025" ht="22.5" customHeight="1">
      <c r="A2025" s="42"/>
      <c r="B2025" s="47"/>
      <c r="C2025" s="46"/>
      <c r="D2025" s="47"/>
      <c r="E2025" s="46"/>
      <c r="F2025" s="47"/>
      <c r="G2025" s="46"/>
      <c r="H2025" s="50"/>
      <c r="I2025" s="51"/>
    </row>
    <row r="2026" ht="22.5" customHeight="1">
      <c r="A2026" s="42"/>
      <c r="B2026" s="47"/>
      <c r="C2026" s="46"/>
      <c r="D2026" s="47"/>
      <c r="E2026" s="46"/>
      <c r="F2026" s="47"/>
      <c r="G2026" s="46"/>
      <c r="H2026" s="48"/>
      <c r="I2026" s="49"/>
    </row>
    <row r="2027" ht="22.5" customHeight="1">
      <c r="A2027" s="42"/>
      <c r="B2027" s="47"/>
      <c r="C2027" s="46"/>
      <c r="D2027" s="47"/>
      <c r="E2027" s="46"/>
      <c r="F2027" s="47"/>
      <c r="G2027" s="46"/>
      <c r="H2027" s="50"/>
      <c r="I2027" s="51"/>
    </row>
    <row r="2028" ht="22.5" customHeight="1">
      <c r="A2028" s="42"/>
      <c r="B2028" s="47"/>
      <c r="C2028" s="46"/>
      <c r="D2028" s="47"/>
      <c r="E2028" s="46"/>
      <c r="F2028" s="47"/>
      <c r="G2028" s="46"/>
      <c r="H2028" s="48"/>
      <c r="I2028" s="49"/>
    </row>
    <row r="2029" ht="22.5" customHeight="1">
      <c r="A2029" s="42"/>
      <c r="B2029" s="47"/>
      <c r="C2029" s="46"/>
      <c r="D2029" s="47"/>
      <c r="E2029" s="46"/>
      <c r="F2029" s="47"/>
      <c r="G2029" s="46"/>
      <c r="H2029" s="50"/>
      <c r="I2029" s="51"/>
    </row>
    <row r="2030" ht="22.5" customHeight="1">
      <c r="A2030" s="42"/>
      <c r="B2030" s="47"/>
      <c r="C2030" s="46"/>
      <c r="D2030" s="47"/>
      <c r="E2030" s="46"/>
      <c r="F2030" s="47"/>
      <c r="G2030" s="46"/>
      <c r="H2030" s="48"/>
      <c r="I2030" s="49"/>
    </row>
    <row r="2031" ht="22.5" customHeight="1">
      <c r="A2031" s="42"/>
      <c r="B2031" s="47"/>
      <c r="C2031" s="46"/>
      <c r="D2031" s="47"/>
      <c r="E2031" s="46"/>
      <c r="F2031" s="47"/>
      <c r="G2031" s="46"/>
      <c r="H2031" s="50"/>
      <c r="I2031" s="51"/>
    </row>
    <row r="2032" ht="22.5" customHeight="1">
      <c r="A2032" s="42"/>
      <c r="B2032" s="47"/>
      <c r="C2032" s="46"/>
      <c r="D2032" s="47"/>
      <c r="E2032" s="46"/>
      <c r="F2032" s="47"/>
      <c r="G2032" s="46"/>
      <c r="H2032" s="48"/>
      <c r="I2032" s="49"/>
    </row>
    <row r="2033" ht="22.5" customHeight="1">
      <c r="A2033" s="42"/>
      <c r="B2033" s="47"/>
      <c r="C2033" s="46"/>
      <c r="D2033" s="47"/>
      <c r="E2033" s="46"/>
      <c r="F2033" s="47"/>
      <c r="G2033" s="46"/>
      <c r="H2033" s="50"/>
      <c r="I2033" s="51"/>
    </row>
    <row r="2034" ht="22.5" customHeight="1">
      <c r="A2034" s="42"/>
      <c r="B2034" s="47"/>
      <c r="C2034" s="46"/>
      <c r="D2034" s="47"/>
      <c r="E2034" s="46"/>
      <c r="F2034" s="47"/>
      <c r="G2034" s="46"/>
      <c r="H2034" s="48"/>
      <c r="I2034" s="49"/>
    </row>
    <row r="2035" ht="22.5" customHeight="1">
      <c r="A2035" s="42"/>
      <c r="B2035" s="47"/>
      <c r="C2035" s="46"/>
      <c r="D2035" s="47"/>
      <c r="E2035" s="46"/>
      <c r="F2035" s="47"/>
      <c r="G2035" s="46"/>
      <c r="H2035" s="50"/>
      <c r="I2035" s="51"/>
    </row>
    <row r="2036" ht="22.5" customHeight="1">
      <c r="A2036" s="42"/>
      <c r="B2036" s="47"/>
      <c r="C2036" s="46"/>
      <c r="D2036" s="47"/>
      <c r="E2036" s="46"/>
      <c r="F2036" s="47"/>
      <c r="G2036" s="46"/>
      <c r="H2036" s="48"/>
      <c r="I2036" s="49"/>
    </row>
    <row r="2037" ht="22.5" customHeight="1">
      <c r="A2037" s="42"/>
      <c r="B2037" s="47"/>
      <c r="C2037" s="46"/>
      <c r="D2037" s="47"/>
      <c r="E2037" s="46"/>
      <c r="F2037" s="47"/>
      <c r="G2037" s="46"/>
      <c r="H2037" s="50"/>
      <c r="I2037" s="51"/>
    </row>
    <row r="2038" ht="22.5" customHeight="1">
      <c r="A2038" s="42"/>
      <c r="B2038" s="47"/>
      <c r="C2038" s="46"/>
      <c r="D2038" s="47"/>
      <c r="E2038" s="46"/>
      <c r="F2038" s="47"/>
      <c r="G2038" s="46"/>
      <c r="H2038" s="48"/>
      <c r="I2038" s="49"/>
    </row>
    <row r="2039" ht="22.5" customHeight="1">
      <c r="A2039" s="42"/>
      <c r="B2039" s="47"/>
      <c r="C2039" s="46"/>
      <c r="D2039" s="47"/>
      <c r="E2039" s="46"/>
      <c r="F2039" s="47"/>
      <c r="G2039" s="46"/>
      <c r="H2039" s="50"/>
      <c r="I2039" s="51"/>
    </row>
    <row r="2040" ht="22.5" customHeight="1">
      <c r="A2040" s="42"/>
      <c r="B2040" s="47"/>
      <c r="C2040" s="46"/>
      <c r="D2040" s="47"/>
      <c r="E2040" s="46"/>
      <c r="F2040" s="47"/>
      <c r="G2040" s="46"/>
      <c r="H2040" s="48"/>
      <c r="I2040" s="49"/>
    </row>
    <row r="2041" ht="22.5" customHeight="1">
      <c r="A2041" s="42"/>
      <c r="B2041" s="47"/>
      <c r="C2041" s="46"/>
      <c r="D2041" s="47"/>
      <c r="E2041" s="46"/>
      <c r="F2041" s="47"/>
      <c r="G2041" s="46"/>
      <c r="H2041" s="50"/>
      <c r="I2041" s="51"/>
    </row>
    <row r="2042" ht="22.5" customHeight="1">
      <c r="A2042" s="42"/>
      <c r="B2042" s="47"/>
      <c r="C2042" s="46"/>
      <c r="D2042" s="47"/>
      <c r="E2042" s="46"/>
      <c r="F2042" s="47"/>
      <c r="G2042" s="46"/>
      <c r="H2042" s="48"/>
      <c r="I2042" s="49"/>
    </row>
    <row r="2043" ht="22.5" customHeight="1">
      <c r="A2043" s="42"/>
      <c r="B2043" s="47"/>
      <c r="C2043" s="46"/>
      <c r="D2043" s="47"/>
      <c r="E2043" s="46"/>
      <c r="F2043" s="47"/>
      <c r="G2043" s="46"/>
      <c r="H2043" s="50"/>
      <c r="I2043" s="51"/>
    </row>
    <row r="2044" ht="22.5" customHeight="1">
      <c r="A2044" s="42"/>
      <c r="B2044" s="47"/>
      <c r="C2044" s="46"/>
      <c r="D2044" s="47"/>
      <c r="E2044" s="46"/>
      <c r="F2044" s="47"/>
      <c r="G2044" s="46"/>
      <c r="H2044" s="48"/>
      <c r="I2044" s="49"/>
    </row>
    <row r="2045" ht="22.5" customHeight="1">
      <c r="A2045" s="42"/>
      <c r="B2045" s="47"/>
      <c r="C2045" s="46"/>
      <c r="D2045" s="47"/>
      <c r="E2045" s="46"/>
      <c r="F2045" s="47"/>
      <c r="G2045" s="46"/>
      <c r="H2045" s="50"/>
      <c r="I2045" s="51"/>
    </row>
    <row r="2046" ht="22.5" customHeight="1">
      <c r="A2046" s="42"/>
      <c r="B2046" s="47"/>
      <c r="C2046" s="46"/>
      <c r="D2046" s="47"/>
      <c r="E2046" s="46"/>
      <c r="F2046" s="47"/>
      <c r="G2046" s="46"/>
      <c r="H2046" s="48"/>
      <c r="I2046" s="49"/>
    </row>
    <row r="2047" ht="22.5" customHeight="1">
      <c r="A2047" s="42"/>
      <c r="B2047" s="47"/>
      <c r="C2047" s="46"/>
      <c r="D2047" s="47"/>
      <c r="E2047" s="46"/>
      <c r="F2047" s="47"/>
      <c r="G2047" s="46"/>
      <c r="H2047" s="50"/>
      <c r="I2047" s="51"/>
    </row>
    <row r="2048" ht="22.5" customHeight="1">
      <c r="A2048" s="42"/>
      <c r="B2048" s="47"/>
      <c r="C2048" s="46"/>
      <c r="D2048" s="47"/>
      <c r="E2048" s="46"/>
      <c r="F2048" s="47"/>
      <c r="G2048" s="46"/>
      <c r="H2048" s="48"/>
      <c r="I2048" s="49"/>
    </row>
    <row r="2049" ht="22.5" customHeight="1">
      <c r="A2049" s="42"/>
      <c r="B2049" s="47"/>
      <c r="C2049" s="46"/>
      <c r="D2049" s="47"/>
      <c r="E2049" s="46"/>
      <c r="F2049" s="47"/>
      <c r="G2049" s="46"/>
      <c r="H2049" s="50"/>
      <c r="I2049" s="51"/>
    </row>
    <row r="2050" ht="22.5" customHeight="1">
      <c r="A2050" s="42"/>
      <c r="B2050" s="47"/>
      <c r="C2050" s="46"/>
      <c r="D2050" s="47"/>
      <c r="E2050" s="46"/>
      <c r="F2050" s="47"/>
      <c r="G2050" s="46"/>
      <c r="H2050" s="48"/>
      <c r="I2050" s="49"/>
    </row>
    <row r="2051" ht="22.5" customHeight="1">
      <c r="A2051" s="42"/>
      <c r="B2051" s="47"/>
      <c r="C2051" s="46"/>
      <c r="D2051" s="47"/>
      <c r="E2051" s="46"/>
      <c r="F2051" s="47"/>
      <c r="G2051" s="46"/>
      <c r="H2051" s="50"/>
      <c r="I2051" s="51"/>
    </row>
    <row r="2052" ht="22.5" customHeight="1">
      <c r="A2052" s="42"/>
      <c r="B2052" s="47"/>
      <c r="C2052" s="46"/>
      <c r="D2052" s="47"/>
      <c r="E2052" s="46"/>
      <c r="F2052" s="47"/>
      <c r="G2052" s="46"/>
      <c r="H2052" s="48"/>
      <c r="I2052" s="49"/>
    </row>
    <row r="2053" ht="22.5" customHeight="1">
      <c r="A2053" s="42"/>
      <c r="B2053" s="47"/>
      <c r="C2053" s="46"/>
      <c r="D2053" s="47"/>
      <c r="E2053" s="46"/>
      <c r="F2053" s="47"/>
      <c r="G2053" s="46"/>
      <c r="H2053" s="50"/>
      <c r="I2053" s="51"/>
    </row>
    <row r="2054" ht="22.5" customHeight="1">
      <c r="A2054" s="42"/>
      <c r="B2054" s="47"/>
      <c r="C2054" s="46"/>
      <c r="D2054" s="47"/>
      <c r="E2054" s="46"/>
      <c r="F2054" s="47"/>
      <c r="G2054" s="46"/>
      <c r="H2054" s="48"/>
      <c r="I2054" s="49"/>
    </row>
    <row r="2055" ht="22.5" customHeight="1">
      <c r="A2055" s="42"/>
      <c r="B2055" s="47"/>
      <c r="C2055" s="46"/>
      <c r="D2055" s="47"/>
      <c r="E2055" s="46"/>
      <c r="F2055" s="47"/>
      <c r="G2055" s="46"/>
      <c r="H2055" s="50"/>
      <c r="I2055" s="51"/>
    </row>
    <row r="2056" ht="22.5" customHeight="1">
      <c r="A2056" s="42"/>
      <c r="B2056" s="47"/>
      <c r="C2056" s="46"/>
      <c r="D2056" s="47"/>
      <c r="E2056" s="46"/>
      <c r="F2056" s="47"/>
      <c r="G2056" s="46"/>
      <c r="H2056" s="48"/>
      <c r="I2056" s="49"/>
    </row>
    <row r="2057" ht="22.5" customHeight="1">
      <c r="A2057" s="42"/>
      <c r="B2057" s="47"/>
      <c r="C2057" s="46"/>
      <c r="D2057" s="47"/>
      <c r="E2057" s="46"/>
      <c r="F2057" s="47"/>
      <c r="G2057" s="46"/>
      <c r="H2057" s="50"/>
      <c r="I2057" s="51"/>
    </row>
    <row r="2058" ht="22.5" customHeight="1">
      <c r="A2058" s="42"/>
      <c r="B2058" s="47"/>
      <c r="C2058" s="46"/>
      <c r="D2058" s="47"/>
      <c r="E2058" s="46"/>
      <c r="F2058" s="47"/>
      <c r="G2058" s="46"/>
      <c r="H2058" s="48"/>
      <c r="I2058" s="49"/>
    </row>
    <row r="2059" ht="22.5" customHeight="1">
      <c r="A2059" s="42"/>
      <c r="B2059" s="47"/>
      <c r="C2059" s="46"/>
      <c r="D2059" s="47"/>
      <c r="E2059" s="46"/>
      <c r="F2059" s="47"/>
      <c r="G2059" s="46"/>
      <c r="H2059" s="50"/>
      <c r="I2059" s="51"/>
    </row>
    <row r="2060" ht="22.5" customHeight="1">
      <c r="A2060" s="42"/>
      <c r="B2060" s="47"/>
      <c r="C2060" s="46"/>
      <c r="D2060" s="47"/>
      <c r="E2060" s="46"/>
      <c r="F2060" s="47"/>
      <c r="G2060" s="46"/>
      <c r="H2060" s="48"/>
      <c r="I2060" s="49"/>
    </row>
    <row r="2061" ht="22.5" customHeight="1">
      <c r="A2061" s="42"/>
      <c r="B2061" s="47"/>
      <c r="C2061" s="46"/>
      <c r="D2061" s="47"/>
      <c r="E2061" s="46"/>
      <c r="F2061" s="47"/>
      <c r="G2061" s="46"/>
      <c r="H2061" s="50"/>
      <c r="I2061" s="51"/>
    </row>
    <row r="2062" ht="22.5" customHeight="1">
      <c r="A2062" s="42"/>
      <c r="B2062" s="47"/>
      <c r="C2062" s="46"/>
      <c r="D2062" s="47"/>
      <c r="E2062" s="46"/>
      <c r="F2062" s="47"/>
      <c r="G2062" s="46"/>
      <c r="H2062" s="48"/>
      <c r="I2062" s="49"/>
    </row>
    <row r="2063" ht="22.5" customHeight="1">
      <c r="A2063" s="42"/>
      <c r="B2063" s="47"/>
      <c r="C2063" s="46"/>
      <c r="D2063" s="47"/>
      <c r="E2063" s="46"/>
      <c r="F2063" s="47"/>
      <c r="G2063" s="46"/>
      <c r="H2063" s="50"/>
      <c r="I2063" s="51"/>
    </row>
    <row r="2064" ht="22.5" customHeight="1">
      <c r="A2064" s="42"/>
      <c r="B2064" s="47"/>
      <c r="C2064" s="46"/>
      <c r="D2064" s="47"/>
      <c r="E2064" s="46"/>
      <c r="F2064" s="47"/>
      <c r="G2064" s="46"/>
      <c r="H2064" s="48"/>
      <c r="I2064" s="49"/>
    </row>
    <row r="2065" ht="22.5" customHeight="1">
      <c r="A2065" s="42"/>
      <c r="B2065" s="47"/>
      <c r="C2065" s="46"/>
      <c r="D2065" s="47"/>
      <c r="E2065" s="46"/>
      <c r="F2065" s="47"/>
      <c r="G2065" s="46"/>
      <c r="H2065" s="50"/>
      <c r="I2065" s="51"/>
    </row>
    <row r="2066" ht="22.5" customHeight="1">
      <c r="A2066" s="42"/>
      <c r="B2066" s="47"/>
      <c r="C2066" s="46"/>
      <c r="D2066" s="47"/>
      <c r="E2066" s="46"/>
      <c r="F2066" s="47"/>
      <c r="G2066" s="46"/>
      <c r="H2066" s="48"/>
      <c r="I2066" s="49"/>
    </row>
    <row r="2067" ht="22.5" customHeight="1">
      <c r="A2067" s="42"/>
      <c r="B2067" s="47"/>
      <c r="C2067" s="46"/>
      <c r="D2067" s="47"/>
      <c r="E2067" s="46"/>
      <c r="F2067" s="47"/>
      <c r="G2067" s="46"/>
      <c r="H2067" s="50"/>
      <c r="I2067" s="51"/>
    </row>
    <row r="2068" ht="22.5" customHeight="1">
      <c r="A2068" s="42"/>
      <c r="B2068" s="47"/>
      <c r="C2068" s="46"/>
      <c r="D2068" s="47"/>
      <c r="E2068" s="46"/>
      <c r="F2068" s="47"/>
      <c r="G2068" s="46"/>
      <c r="H2068" s="48"/>
      <c r="I2068" s="49"/>
    </row>
    <row r="2069" ht="22.5" customHeight="1">
      <c r="A2069" s="42"/>
      <c r="B2069" s="47"/>
      <c r="C2069" s="46"/>
      <c r="D2069" s="47"/>
      <c r="E2069" s="46"/>
      <c r="F2069" s="47"/>
      <c r="G2069" s="46"/>
      <c r="H2069" s="50"/>
      <c r="I2069" s="51"/>
    </row>
    <row r="2070" ht="22.5" customHeight="1">
      <c r="A2070" s="42"/>
      <c r="B2070" s="47"/>
      <c r="C2070" s="46"/>
      <c r="D2070" s="47"/>
      <c r="E2070" s="46"/>
      <c r="F2070" s="47"/>
      <c r="G2070" s="46"/>
      <c r="H2070" s="48"/>
      <c r="I2070" s="49"/>
    </row>
    <row r="2071" ht="22.5" customHeight="1">
      <c r="A2071" s="42"/>
      <c r="B2071" s="47"/>
      <c r="C2071" s="46"/>
      <c r="D2071" s="47"/>
      <c r="E2071" s="46"/>
      <c r="F2071" s="47"/>
      <c r="G2071" s="46"/>
      <c r="H2071" s="50"/>
      <c r="I2071" s="51"/>
    </row>
    <row r="2072" ht="22.5" customHeight="1">
      <c r="A2072" s="42"/>
      <c r="B2072" s="47"/>
      <c r="C2072" s="46"/>
      <c r="D2072" s="47"/>
      <c r="E2072" s="46"/>
      <c r="F2072" s="47"/>
      <c r="G2072" s="46"/>
      <c r="H2072" s="48"/>
      <c r="I2072" s="49"/>
    </row>
    <row r="2073" ht="22.5" customHeight="1">
      <c r="A2073" s="42"/>
      <c r="B2073" s="47"/>
      <c r="C2073" s="46"/>
      <c r="D2073" s="47"/>
      <c r="E2073" s="46"/>
      <c r="F2073" s="47"/>
      <c r="G2073" s="46"/>
      <c r="H2073" s="50"/>
      <c r="I2073" s="51"/>
    </row>
    <row r="2074" ht="22.5" customHeight="1">
      <c r="A2074" s="42"/>
      <c r="B2074" s="47"/>
      <c r="C2074" s="46"/>
      <c r="D2074" s="47"/>
      <c r="E2074" s="46"/>
      <c r="F2074" s="47"/>
      <c r="G2074" s="46"/>
      <c r="H2074" s="48"/>
      <c r="I2074" s="49"/>
    </row>
    <row r="2075" ht="22.5" customHeight="1">
      <c r="A2075" s="42"/>
      <c r="B2075" s="47"/>
      <c r="C2075" s="46"/>
      <c r="D2075" s="47"/>
      <c r="E2075" s="46"/>
      <c r="F2075" s="47"/>
      <c r="G2075" s="46"/>
      <c r="H2075" s="50"/>
      <c r="I2075" s="51"/>
    </row>
    <row r="2076" ht="22.5" customHeight="1">
      <c r="A2076" s="42"/>
      <c r="B2076" s="47"/>
      <c r="C2076" s="46"/>
      <c r="D2076" s="47"/>
      <c r="E2076" s="46"/>
      <c r="F2076" s="47"/>
      <c r="G2076" s="46"/>
      <c r="H2076" s="48"/>
      <c r="I2076" s="49"/>
    </row>
    <row r="2077" ht="22.5" customHeight="1">
      <c r="A2077" s="42"/>
      <c r="B2077" s="47"/>
      <c r="C2077" s="46"/>
      <c r="D2077" s="47"/>
      <c r="E2077" s="46"/>
      <c r="F2077" s="47"/>
      <c r="G2077" s="46"/>
      <c r="H2077" s="50"/>
      <c r="I2077" s="51"/>
    </row>
    <row r="2078" ht="22.5" customHeight="1">
      <c r="A2078" s="42"/>
      <c r="B2078" s="47"/>
      <c r="C2078" s="46"/>
      <c r="D2078" s="47"/>
      <c r="E2078" s="46"/>
      <c r="F2078" s="47"/>
      <c r="G2078" s="46"/>
      <c r="H2078" s="48"/>
      <c r="I2078" s="49"/>
    </row>
    <row r="2079" ht="22.5" customHeight="1">
      <c r="A2079" s="42"/>
      <c r="B2079" s="47"/>
      <c r="C2079" s="46"/>
      <c r="D2079" s="47"/>
      <c r="E2079" s="46"/>
      <c r="F2079" s="47"/>
      <c r="G2079" s="46"/>
      <c r="H2079" s="50"/>
      <c r="I2079" s="51"/>
    </row>
    <row r="2080" ht="22.5" customHeight="1">
      <c r="A2080" s="42"/>
      <c r="B2080" s="47"/>
      <c r="C2080" s="46"/>
      <c r="D2080" s="47"/>
      <c r="E2080" s="46"/>
      <c r="F2080" s="47"/>
      <c r="G2080" s="46"/>
      <c r="H2080" s="48"/>
      <c r="I2080" s="49"/>
    </row>
    <row r="2081" ht="22.5" customHeight="1">
      <c r="A2081" s="42"/>
      <c r="B2081" s="47"/>
      <c r="C2081" s="46"/>
      <c r="D2081" s="47"/>
      <c r="E2081" s="46"/>
      <c r="F2081" s="47"/>
      <c r="G2081" s="46"/>
      <c r="H2081" s="50"/>
      <c r="I2081" s="51"/>
    </row>
    <row r="2082" ht="22.5" customHeight="1">
      <c r="A2082" s="42"/>
      <c r="B2082" s="47"/>
      <c r="C2082" s="46"/>
      <c r="D2082" s="47"/>
      <c r="E2082" s="46"/>
      <c r="F2082" s="47"/>
      <c r="G2082" s="46"/>
      <c r="H2082" s="48"/>
      <c r="I2082" s="49"/>
    </row>
    <row r="2083" ht="22.5" customHeight="1">
      <c r="A2083" s="42"/>
      <c r="B2083" s="47"/>
      <c r="C2083" s="46"/>
      <c r="D2083" s="47"/>
      <c r="E2083" s="46"/>
      <c r="F2083" s="47"/>
      <c r="G2083" s="46"/>
      <c r="H2083" s="50"/>
      <c r="I2083" s="51"/>
    </row>
    <row r="2084" ht="22.5" customHeight="1">
      <c r="A2084" s="42"/>
      <c r="B2084" s="47"/>
      <c r="C2084" s="46"/>
      <c r="D2084" s="47"/>
      <c r="E2084" s="46"/>
      <c r="F2084" s="47"/>
      <c r="G2084" s="46"/>
      <c r="H2084" s="48"/>
      <c r="I2084" s="49"/>
    </row>
    <row r="2085" ht="22.5" customHeight="1">
      <c r="A2085" s="42"/>
      <c r="B2085" s="47"/>
      <c r="C2085" s="46"/>
      <c r="D2085" s="47"/>
      <c r="E2085" s="46"/>
      <c r="F2085" s="47"/>
      <c r="G2085" s="46"/>
      <c r="H2085" s="50"/>
      <c r="I2085" s="51"/>
    </row>
    <row r="2086" ht="22.5" customHeight="1">
      <c r="A2086" s="42"/>
      <c r="B2086" s="47"/>
      <c r="C2086" s="46"/>
      <c r="D2086" s="47"/>
      <c r="E2086" s="46"/>
      <c r="F2086" s="47"/>
      <c r="G2086" s="46"/>
      <c r="H2086" s="48"/>
      <c r="I2086" s="49"/>
    </row>
    <row r="2087" ht="22.5" customHeight="1">
      <c r="A2087" s="42"/>
      <c r="B2087" s="47"/>
      <c r="C2087" s="46"/>
      <c r="D2087" s="47"/>
      <c r="E2087" s="46"/>
      <c r="F2087" s="47"/>
      <c r="G2087" s="46"/>
      <c r="H2087" s="50"/>
      <c r="I2087" s="51"/>
    </row>
    <row r="2088" ht="22.5" customHeight="1">
      <c r="A2088" s="42"/>
      <c r="B2088" s="47"/>
      <c r="C2088" s="46"/>
      <c r="D2088" s="47"/>
      <c r="E2088" s="46"/>
      <c r="F2088" s="47"/>
      <c r="G2088" s="46"/>
      <c r="H2088" s="48"/>
      <c r="I2088" s="49"/>
    </row>
    <row r="2089" ht="22.5" customHeight="1">
      <c r="A2089" s="42"/>
      <c r="B2089" s="47"/>
      <c r="C2089" s="46"/>
      <c r="D2089" s="47"/>
      <c r="E2089" s="46"/>
      <c r="F2089" s="47"/>
      <c r="G2089" s="46"/>
      <c r="H2089" s="50"/>
      <c r="I2089" s="51"/>
    </row>
    <row r="2090" ht="22.5" customHeight="1">
      <c r="A2090" s="42"/>
      <c r="B2090" s="47"/>
      <c r="C2090" s="46"/>
      <c r="D2090" s="47"/>
      <c r="E2090" s="46"/>
      <c r="F2090" s="47"/>
      <c r="G2090" s="46"/>
      <c r="H2090" s="48"/>
      <c r="I2090" s="49"/>
    </row>
    <row r="2091" ht="22.5" customHeight="1">
      <c r="A2091" s="42"/>
      <c r="B2091" s="47"/>
      <c r="C2091" s="46"/>
      <c r="D2091" s="47"/>
      <c r="E2091" s="46"/>
      <c r="F2091" s="47"/>
      <c r="G2091" s="46"/>
      <c r="H2091" s="50"/>
      <c r="I2091" s="51"/>
    </row>
    <row r="2092" ht="22.5" customHeight="1">
      <c r="A2092" s="42"/>
      <c r="B2092" s="47"/>
      <c r="C2092" s="46"/>
      <c r="D2092" s="47"/>
      <c r="E2092" s="46"/>
      <c r="F2092" s="47"/>
      <c r="G2092" s="46"/>
      <c r="H2092" s="48"/>
      <c r="I2092" s="49"/>
    </row>
    <row r="2093" ht="22.5" customHeight="1">
      <c r="A2093" s="42"/>
      <c r="B2093" s="47"/>
      <c r="C2093" s="46"/>
      <c r="D2093" s="47"/>
      <c r="E2093" s="46"/>
      <c r="F2093" s="47"/>
      <c r="G2093" s="46"/>
      <c r="H2093" s="50"/>
      <c r="I2093" s="51"/>
    </row>
    <row r="2094" ht="22.5" customHeight="1">
      <c r="A2094" s="42"/>
      <c r="B2094" s="47"/>
      <c r="C2094" s="46"/>
      <c r="D2094" s="47"/>
      <c r="E2094" s="46"/>
      <c r="F2094" s="47"/>
      <c r="G2094" s="46"/>
      <c r="H2094" s="48"/>
      <c r="I2094" s="49"/>
    </row>
    <row r="2095" ht="22.5" customHeight="1">
      <c r="A2095" s="42"/>
      <c r="B2095" s="47"/>
      <c r="C2095" s="46"/>
      <c r="D2095" s="47"/>
      <c r="E2095" s="46"/>
      <c r="F2095" s="47"/>
      <c r="G2095" s="46"/>
      <c r="H2095" s="50"/>
      <c r="I2095" s="51"/>
    </row>
    <row r="2096" ht="22.5" customHeight="1">
      <c r="A2096" s="42"/>
      <c r="B2096" s="47"/>
      <c r="C2096" s="46"/>
      <c r="D2096" s="47"/>
      <c r="E2096" s="46"/>
      <c r="F2096" s="47"/>
      <c r="G2096" s="46"/>
      <c r="H2096" s="48"/>
      <c r="I2096" s="49"/>
    </row>
    <row r="2097" ht="22.5" customHeight="1">
      <c r="A2097" s="42"/>
      <c r="B2097" s="47"/>
      <c r="C2097" s="46"/>
      <c r="D2097" s="47"/>
      <c r="E2097" s="46"/>
      <c r="F2097" s="47"/>
      <c r="G2097" s="46"/>
      <c r="H2097" s="50"/>
      <c r="I2097" s="51"/>
    </row>
    <row r="2098" ht="22.5" customHeight="1">
      <c r="A2098" s="42"/>
      <c r="B2098" s="47"/>
      <c r="C2098" s="46"/>
      <c r="D2098" s="47"/>
      <c r="E2098" s="46"/>
      <c r="F2098" s="47"/>
      <c r="G2098" s="46"/>
      <c r="H2098" s="48"/>
      <c r="I2098" s="49"/>
    </row>
    <row r="2099" ht="22.5" customHeight="1">
      <c r="A2099" s="42"/>
      <c r="B2099" s="47"/>
      <c r="C2099" s="46"/>
      <c r="D2099" s="47"/>
      <c r="E2099" s="46"/>
      <c r="F2099" s="47"/>
      <c r="G2099" s="46"/>
      <c r="H2099" s="50"/>
      <c r="I2099" s="51"/>
    </row>
    <row r="2100" ht="22.5" customHeight="1">
      <c r="A2100" s="42"/>
      <c r="B2100" s="47"/>
      <c r="C2100" s="46"/>
      <c r="D2100" s="47"/>
      <c r="E2100" s="46"/>
      <c r="F2100" s="47"/>
      <c r="G2100" s="46"/>
      <c r="H2100" s="48"/>
      <c r="I2100" s="49"/>
    </row>
    <row r="2101" ht="22.5" customHeight="1">
      <c r="A2101" s="42"/>
      <c r="B2101" s="47"/>
      <c r="C2101" s="46"/>
      <c r="D2101" s="47"/>
      <c r="E2101" s="46"/>
      <c r="F2101" s="47"/>
      <c r="G2101" s="46"/>
      <c r="H2101" s="50"/>
      <c r="I2101" s="51"/>
    </row>
    <row r="2102" ht="22.5" customHeight="1">
      <c r="A2102" s="42"/>
      <c r="B2102" s="47"/>
      <c r="C2102" s="46"/>
      <c r="D2102" s="47"/>
      <c r="E2102" s="46"/>
      <c r="F2102" s="47"/>
      <c r="G2102" s="46"/>
      <c r="H2102" s="48"/>
      <c r="I2102" s="49"/>
    </row>
    <row r="2103" ht="22.5" customHeight="1">
      <c r="A2103" s="42"/>
      <c r="B2103" s="47"/>
      <c r="C2103" s="46"/>
      <c r="D2103" s="47"/>
      <c r="E2103" s="46"/>
      <c r="F2103" s="47"/>
      <c r="G2103" s="46"/>
      <c r="H2103" s="50"/>
      <c r="I2103" s="51"/>
    </row>
    <row r="2104" ht="22.5" customHeight="1">
      <c r="A2104" s="42"/>
      <c r="B2104" s="47"/>
      <c r="C2104" s="46"/>
      <c r="D2104" s="47"/>
      <c r="E2104" s="46"/>
      <c r="F2104" s="47"/>
      <c r="G2104" s="46"/>
      <c r="H2104" s="48"/>
      <c r="I2104" s="49"/>
    </row>
    <row r="2105" ht="22.5" customHeight="1">
      <c r="A2105" s="42"/>
      <c r="B2105" s="47"/>
      <c r="C2105" s="46"/>
      <c r="D2105" s="47"/>
      <c r="E2105" s="46"/>
      <c r="F2105" s="47"/>
      <c r="G2105" s="46"/>
      <c r="H2105" s="50"/>
      <c r="I2105" s="51"/>
    </row>
    <row r="2106" ht="22.5" customHeight="1">
      <c r="A2106" s="42"/>
      <c r="B2106" s="47"/>
      <c r="C2106" s="46"/>
      <c r="D2106" s="47"/>
      <c r="E2106" s="46"/>
      <c r="F2106" s="47"/>
      <c r="G2106" s="46"/>
      <c r="H2106" s="48"/>
      <c r="I2106" s="49"/>
    </row>
    <row r="2107" ht="22.5" customHeight="1">
      <c r="A2107" s="42"/>
      <c r="B2107" s="47"/>
      <c r="C2107" s="46"/>
      <c r="D2107" s="47"/>
      <c r="E2107" s="46"/>
      <c r="F2107" s="47"/>
      <c r="G2107" s="46"/>
      <c r="H2107" s="50"/>
      <c r="I2107" s="51"/>
    </row>
    <row r="2108" ht="22.5" customHeight="1">
      <c r="A2108" s="42"/>
      <c r="B2108" s="47"/>
      <c r="C2108" s="46"/>
      <c r="D2108" s="47"/>
      <c r="E2108" s="46"/>
      <c r="F2108" s="47"/>
      <c r="G2108" s="46"/>
      <c r="H2108" s="48"/>
      <c r="I2108" s="49"/>
    </row>
    <row r="2109" ht="22.5" customHeight="1">
      <c r="A2109" s="42"/>
      <c r="B2109" s="47"/>
      <c r="C2109" s="46"/>
      <c r="D2109" s="47"/>
      <c r="E2109" s="46"/>
      <c r="F2109" s="47"/>
      <c r="G2109" s="46"/>
      <c r="H2109" s="50"/>
      <c r="I2109" s="51"/>
    </row>
    <row r="2110" ht="22.5" customHeight="1">
      <c r="A2110" s="42"/>
      <c r="B2110" s="47"/>
      <c r="C2110" s="46"/>
      <c r="D2110" s="47"/>
      <c r="E2110" s="46"/>
      <c r="F2110" s="47"/>
      <c r="G2110" s="46"/>
      <c r="H2110" s="48"/>
      <c r="I2110" s="49"/>
    </row>
    <row r="2111" ht="22.5" customHeight="1">
      <c r="A2111" s="42"/>
      <c r="B2111" s="47"/>
      <c r="C2111" s="46"/>
      <c r="D2111" s="47"/>
      <c r="E2111" s="46"/>
      <c r="F2111" s="47"/>
      <c r="G2111" s="46"/>
      <c r="H2111" s="50"/>
      <c r="I2111" s="51"/>
    </row>
    <row r="2112" ht="22.5" customHeight="1">
      <c r="A2112" s="42"/>
      <c r="B2112" s="47"/>
      <c r="C2112" s="46"/>
      <c r="D2112" s="47"/>
      <c r="E2112" s="46"/>
      <c r="F2112" s="47"/>
      <c r="G2112" s="46"/>
      <c r="H2112" s="48"/>
      <c r="I2112" s="49"/>
    </row>
    <row r="2113" ht="22.5" customHeight="1">
      <c r="A2113" s="42"/>
      <c r="B2113" s="47"/>
      <c r="C2113" s="46"/>
      <c r="D2113" s="47"/>
      <c r="E2113" s="46"/>
      <c r="F2113" s="47"/>
      <c r="G2113" s="46"/>
      <c r="H2113" s="50"/>
      <c r="I2113" s="51"/>
    </row>
    <row r="2114" ht="22.5" customHeight="1">
      <c r="A2114" s="42"/>
      <c r="B2114" s="47"/>
      <c r="C2114" s="46"/>
      <c r="D2114" s="47"/>
      <c r="E2114" s="46"/>
      <c r="F2114" s="47"/>
      <c r="G2114" s="46"/>
      <c r="H2114" s="48"/>
      <c r="I2114" s="49"/>
    </row>
    <row r="2115" ht="22.5" customHeight="1">
      <c r="A2115" s="42"/>
      <c r="B2115" s="47"/>
      <c r="C2115" s="46"/>
      <c r="D2115" s="47"/>
      <c r="E2115" s="46"/>
      <c r="F2115" s="47"/>
      <c r="G2115" s="46"/>
      <c r="H2115" s="50"/>
      <c r="I2115" s="51"/>
    </row>
    <row r="2116" ht="22.5" customHeight="1">
      <c r="A2116" s="42"/>
      <c r="B2116" s="47"/>
      <c r="C2116" s="46"/>
      <c r="D2116" s="47"/>
      <c r="E2116" s="46"/>
      <c r="F2116" s="47"/>
      <c r="G2116" s="46"/>
      <c r="H2116" s="48"/>
      <c r="I2116" s="49"/>
    </row>
    <row r="2117" ht="22.5" customHeight="1">
      <c r="A2117" s="42"/>
      <c r="B2117" s="47"/>
      <c r="C2117" s="46"/>
      <c r="D2117" s="47"/>
      <c r="E2117" s="46"/>
      <c r="F2117" s="47"/>
      <c r="G2117" s="46"/>
      <c r="H2117" s="50"/>
      <c r="I2117" s="51"/>
    </row>
    <row r="2118" ht="22.5" customHeight="1">
      <c r="A2118" s="42"/>
      <c r="B2118" s="47"/>
      <c r="C2118" s="46"/>
      <c r="D2118" s="47"/>
      <c r="E2118" s="46"/>
      <c r="F2118" s="47"/>
      <c r="G2118" s="46"/>
      <c r="H2118" s="48"/>
      <c r="I2118" s="49"/>
    </row>
    <row r="2119" ht="22.5" customHeight="1">
      <c r="A2119" s="42"/>
      <c r="B2119" s="47"/>
      <c r="C2119" s="46"/>
      <c r="D2119" s="47"/>
      <c r="E2119" s="46"/>
      <c r="F2119" s="47"/>
      <c r="G2119" s="46"/>
      <c r="H2119" s="50"/>
      <c r="I2119" s="51"/>
    </row>
    <row r="2120" ht="22.5" customHeight="1">
      <c r="A2120" s="42"/>
      <c r="B2120" s="47"/>
      <c r="C2120" s="46"/>
      <c r="D2120" s="47"/>
      <c r="E2120" s="46"/>
      <c r="F2120" s="47"/>
      <c r="G2120" s="46"/>
      <c r="H2120" s="48"/>
      <c r="I2120" s="49"/>
    </row>
    <row r="2121" ht="22.5" customHeight="1">
      <c r="A2121" s="42"/>
      <c r="B2121" s="47"/>
      <c r="C2121" s="46"/>
      <c r="D2121" s="47"/>
      <c r="E2121" s="46"/>
      <c r="F2121" s="47"/>
      <c r="G2121" s="46"/>
      <c r="H2121" s="50"/>
      <c r="I2121" s="51"/>
    </row>
    <row r="2122" ht="22.5" customHeight="1">
      <c r="A2122" s="42"/>
      <c r="B2122" s="47"/>
      <c r="C2122" s="46"/>
      <c r="D2122" s="47"/>
      <c r="E2122" s="46"/>
      <c r="F2122" s="47"/>
      <c r="G2122" s="46"/>
      <c r="H2122" s="48"/>
      <c r="I2122" s="49"/>
    </row>
    <row r="2123" ht="22.5" customHeight="1">
      <c r="A2123" s="42"/>
      <c r="B2123" s="47"/>
      <c r="C2123" s="46"/>
      <c r="D2123" s="47"/>
      <c r="E2123" s="46"/>
      <c r="F2123" s="47"/>
      <c r="G2123" s="46"/>
      <c r="H2123" s="50"/>
      <c r="I2123" s="51"/>
    </row>
    <row r="2124" ht="22.5" customHeight="1">
      <c r="A2124" s="42"/>
      <c r="B2124" s="47"/>
      <c r="C2124" s="46"/>
      <c r="D2124" s="47"/>
      <c r="E2124" s="46"/>
      <c r="F2124" s="47"/>
      <c r="G2124" s="46"/>
      <c r="H2124" s="48"/>
      <c r="I2124" s="49"/>
    </row>
    <row r="2125" ht="22.5" customHeight="1">
      <c r="A2125" s="42"/>
      <c r="B2125" s="47"/>
      <c r="C2125" s="46"/>
      <c r="D2125" s="47"/>
      <c r="E2125" s="46"/>
      <c r="F2125" s="47"/>
      <c r="G2125" s="46"/>
      <c r="H2125" s="50"/>
      <c r="I2125" s="51"/>
    </row>
    <row r="2126" ht="22.5" customHeight="1">
      <c r="A2126" s="42"/>
      <c r="B2126" s="47"/>
      <c r="C2126" s="46"/>
      <c r="D2126" s="47"/>
      <c r="E2126" s="46"/>
      <c r="F2126" s="47"/>
      <c r="G2126" s="46"/>
      <c r="H2126" s="48"/>
      <c r="I2126" s="49"/>
    </row>
    <row r="2127" ht="22.5" customHeight="1">
      <c r="A2127" s="42"/>
      <c r="B2127" s="47"/>
      <c r="C2127" s="46"/>
      <c r="D2127" s="47"/>
      <c r="E2127" s="46"/>
      <c r="F2127" s="47"/>
      <c r="G2127" s="46"/>
      <c r="H2127" s="50"/>
      <c r="I2127" s="51"/>
    </row>
    <row r="2128" ht="22.5" customHeight="1">
      <c r="A2128" s="42"/>
      <c r="B2128" s="47"/>
      <c r="C2128" s="46"/>
      <c r="D2128" s="47"/>
      <c r="E2128" s="46"/>
      <c r="F2128" s="47"/>
      <c r="G2128" s="46"/>
      <c r="H2128" s="48"/>
      <c r="I2128" s="49"/>
    </row>
    <row r="2129" ht="22.5" customHeight="1">
      <c r="A2129" s="42"/>
      <c r="B2129" s="47"/>
      <c r="C2129" s="46"/>
      <c r="D2129" s="47"/>
      <c r="E2129" s="46"/>
      <c r="F2129" s="47"/>
      <c r="G2129" s="46"/>
      <c r="H2129" s="50"/>
      <c r="I2129" s="51"/>
    </row>
    <row r="2130" ht="22.5" customHeight="1">
      <c r="A2130" s="42"/>
      <c r="B2130" s="47"/>
      <c r="C2130" s="46"/>
      <c r="D2130" s="47"/>
      <c r="E2130" s="46"/>
      <c r="F2130" s="47"/>
      <c r="G2130" s="46"/>
      <c r="H2130" s="48"/>
      <c r="I2130" s="49"/>
    </row>
    <row r="2131" ht="22.5" customHeight="1">
      <c r="A2131" s="42"/>
      <c r="B2131" s="47"/>
      <c r="C2131" s="46"/>
      <c r="D2131" s="47"/>
      <c r="E2131" s="46"/>
      <c r="F2131" s="47"/>
      <c r="G2131" s="46"/>
      <c r="H2131" s="50"/>
      <c r="I2131" s="51"/>
    </row>
    <row r="2132" ht="22.5" customHeight="1">
      <c r="A2132" s="42"/>
      <c r="B2132" s="47"/>
      <c r="C2132" s="46"/>
      <c r="D2132" s="47"/>
      <c r="E2132" s="46"/>
      <c r="F2132" s="47"/>
      <c r="G2132" s="46"/>
      <c r="H2132" s="48"/>
      <c r="I2132" s="49"/>
    </row>
    <row r="2133" ht="22.5" customHeight="1">
      <c r="A2133" s="42"/>
      <c r="B2133" s="47"/>
      <c r="C2133" s="46"/>
      <c r="D2133" s="47"/>
      <c r="E2133" s="46"/>
      <c r="F2133" s="47"/>
      <c r="G2133" s="46"/>
      <c r="H2133" s="50"/>
      <c r="I2133" s="51"/>
    </row>
    <row r="2134" ht="22.5" customHeight="1">
      <c r="A2134" s="42"/>
      <c r="B2134" s="47"/>
      <c r="C2134" s="46"/>
      <c r="D2134" s="47"/>
      <c r="E2134" s="46"/>
      <c r="F2134" s="47"/>
      <c r="G2134" s="46"/>
      <c r="H2134" s="48"/>
      <c r="I2134" s="49"/>
    </row>
    <row r="2135" ht="22.5" customHeight="1">
      <c r="A2135" s="42"/>
      <c r="B2135" s="47"/>
      <c r="C2135" s="46"/>
      <c r="D2135" s="47"/>
      <c r="E2135" s="46"/>
      <c r="F2135" s="47"/>
      <c r="G2135" s="46"/>
      <c r="H2135" s="50"/>
      <c r="I2135" s="51"/>
    </row>
    <row r="2136" ht="22.5" customHeight="1">
      <c r="A2136" s="42"/>
      <c r="B2136" s="47"/>
      <c r="C2136" s="46"/>
      <c r="D2136" s="47"/>
      <c r="E2136" s="46"/>
      <c r="F2136" s="47"/>
      <c r="G2136" s="46"/>
      <c r="H2136" s="48"/>
      <c r="I2136" s="49"/>
    </row>
    <row r="2137" ht="22.5" customHeight="1">
      <c r="A2137" s="42"/>
      <c r="B2137" s="47"/>
      <c r="C2137" s="46"/>
      <c r="D2137" s="47"/>
      <c r="E2137" s="46"/>
      <c r="F2137" s="47"/>
      <c r="G2137" s="46"/>
      <c r="H2137" s="50"/>
      <c r="I2137" s="51"/>
    </row>
    <row r="2138" ht="22.5" customHeight="1">
      <c r="A2138" s="42"/>
      <c r="B2138" s="47"/>
      <c r="C2138" s="46"/>
      <c r="D2138" s="47"/>
      <c r="E2138" s="46"/>
      <c r="F2138" s="47"/>
      <c r="G2138" s="46"/>
      <c r="H2138" s="48"/>
      <c r="I2138" s="49"/>
    </row>
    <row r="2139" ht="22.5" customHeight="1">
      <c r="A2139" s="42"/>
      <c r="B2139" s="47"/>
      <c r="C2139" s="46"/>
      <c r="D2139" s="47"/>
      <c r="E2139" s="46"/>
      <c r="F2139" s="47"/>
      <c r="G2139" s="46"/>
      <c r="H2139" s="50"/>
      <c r="I2139" s="51"/>
    </row>
    <row r="2140" ht="22.5" customHeight="1">
      <c r="A2140" s="42"/>
      <c r="B2140" s="47"/>
      <c r="C2140" s="46"/>
      <c r="D2140" s="47"/>
      <c r="E2140" s="46"/>
      <c r="F2140" s="47"/>
      <c r="G2140" s="46"/>
      <c r="H2140" s="48"/>
      <c r="I2140" s="49"/>
    </row>
    <row r="2141" ht="22.5" customHeight="1">
      <c r="A2141" s="42"/>
      <c r="B2141" s="47"/>
      <c r="C2141" s="46"/>
      <c r="D2141" s="47"/>
      <c r="E2141" s="46"/>
      <c r="F2141" s="47"/>
      <c r="G2141" s="46"/>
      <c r="H2141" s="50"/>
      <c r="I2141" s="51"/>
    </row>
    <row r="2142" ht="22.5" customHeight="1">
      <c r="A2142" s="42"/>
      <c r="B2142" s="47"/>
      <c r="C2142" s="46"/>
      <c r="D2142" s="47"/>
      <c r="E2142" s="46"/>
      <c r="F2142" s="47"/>
      <c r="G2142" s="46"/>
      <c r="H2142" s="48"/>
      <c r="I2142" s="49"/>
    </row>
    <row r="2143" ht="22.5" customHeight="1">
      <c r="A2143" s="42"/>
      <c r="B2143" s="47"/>
      <c r="C2143" s="46"/>
      <c r="D2143" s="47"/>
      <c r="E2143" s="46"/>
      <c r="F2143" s="47"/>
      <c r="G2143" s="46"/>
      <c r="H2143" s="50"/>
      <c r="I2143" s="51"/>
    </row>
    <row r="2144" ht="22.5" customHeight="1">
      <c r="A2144" s="42"/>
      <c r="B2144" s="47"/>
      <c r="C2144" s="46"/>
      <c r="D2144" s="47"/>
      <c r="E2144" s="46"/>
      <c r="F2144" s="47"/>
      <c r="G2144" s="46"/>
      <c r="H2144" s="48"/>
      <c r="I2144" s="49"/>
    </row>
    <row r="2145" ht="22.5" customHeight="1">
      <c r="A2145" s="42"/>
      <c r="B2145" s="47"/>
      <c r="C2145" s="46"/>
      <c r="D2145" s="47"/>
      <c r="E2145" s="46"/>
      <c r="F2145" s="47"/>
      <c r="G2145" s="46"/>
      <c r="H2145" s="50"/>
      <c r="I2145" s="51"/>
    </row>
    <row r="2146" ht="22.5" customHeight="1">
      <c r="A2146" s="42"/>
      <c r="B2146" s="47"/>
      <c r="C2146" s="46"/>
      <c r="D2146" s="47"/>
      <c r="E2146" s="46"/>
      <c r="F2146" s="47"/>
      <c r="G2146" s="46"/>
      <c r="H2146" s="48"/>
      <c r="I2146" s="49"/>
    </row>
    <row r="2147" ht="22.5" customHeight="1">
      <c r="A2147" s="42"/>
      <c r="B2147" s="47"/>
      <c r="C2147" s="46"/>
      <c r="D2147" s="47"/>
      <c r="E2147" s="46"/>
      <c r="F2147" s="47"/>
      <c r="G2147" s="46"/>
      <c r="H2147" s="50"/>
      <c r="I2147" s="51"/>
    </row>
    <row r="2148" ht="22.5" customHeight="1">
      <c r="A2148" s="42"/>
      <c r="B2148" s="47"/>
      <c r="C2148" s="46"/>
      <c r="D2148" s="47"/>
      <c r="E2148" s="46"/>
      <c r="F2148" s="47"/>
      <c r="G2148" s="46"/>
      <c r="H2148" s="48"/>
      <c r="I2148" s="49"/>
    </row>
    <row r="2149" ht="22.5" customHeight="1">
      <c r="A2149" s="42"/>
      <c r="B2149" s="47"/>
      <c r="C2149" s="46"/>
      <c r="D2149" s="47"/>
      <c r="E2149" s="46"/>
      <c r="F2149" s="47"/>
      <c r="G2149" s="46"/>
      <c r="H2149" s="50"/>
      <c r="I2149" s="51"/>
    </row>
    <row r="2150" ht="22.5" customHeight="1">
      <c r="A2150" s="42"/>
      <c r="B2150" s="47"/>
      <c r="C2150" s="46"/>
      <c r="D2150" s="47"/>
      <c r="E2150" s="46"/>
      <c r="F2150" s="47"/>
      <c r="G2150" s="46"/>
      <c r="H2150" s="48"/>
      <c r="I2150" s="49"/>
    </row>
    <row r="2151" ht="22.5" customHeight="1">
      <c r="A2151" s="42"/>
      <c r="B2151" s="47"/>
      <c r="C2151" s="46"/>
      <c r="D2151" s="47"/>
      <c r="E2151" s="46"/>
      <c r="F2151" s="47"/>
      <c r="G2151" s="46"/>
      <c r="H2151" s="50"/>
      <c r="I2151" s="51"/>
    </row>
    <row r="2152" ht="22.5" customHeight="1">
      <c r="A2152" s="42"/>
      <c r="B2152" s="47"/>
      <c r="C2152" s="46"/>
      <c r="D2152" s="47"/>
      <c r="E2152" s="46"/>
      <c r="F2152" s="47"/>
      <c r="G2152" s="46"/>
      <c r="H2152" s="48"/>
      <c r="I2152" s="49"/>
    </row>
    <row r="2153" ht="22.5" customHeight="1">
      <c r="A2153" s="42"/>
      <c r="B2153" s="47"/>
      <c r="C2153" s="46"/>
      <c r="D2153" s="47"/>
      <c r="E2153" s="46"/>
      <c r="F2153" s="47"/>
      <c r="G2153" s="46"/>
      <c r="H2153" s="50"/>
      <c r="I2153" s="51"/>
    </row>
    <row r="2154" ht="22.5" customHeight="1">
      <c r="A2154" s="42"/>
      <c r="B2154" s="47"/>
      <c r="C2154" s="46"/>
      <c r="D2154" s="47"/>
      <c r="E2154" s="46"/>
      <c r="F2154" s="47"/>
      <c r="G2154" s="46"/>
      <c r="H2154" s="48"/>
      <c r="I2154" s="49"/>
    </row>
    <row r="2155" ht="22.5" customHeight="1">
      <c r="A2155" s="42"/>
      <c r="B2155" s="47"/>
      <c r="C2155" s="46"/>
      <c r="D2155" s="47"/>
      <c r="E2155" s="46"/>
      <c r="F2155" s="47"/>
      <c r="G2155" s="46"/>
      <c r="H2155" s="50"/>
      <c r="I2155" s="51"/>
    </row>
    <row r="2156" ht="22.5" customHeight="1">
      <c r="A2156" s="42"/>
      <c r="B2156" s="47"/>
      <c r="C2156" s="46"/>
      <c r="D2156" s="47"/>
      <c r="E2156" s="46"/>
      <c r="F2156" s="47"/>
      <c r="G2156" s="46"/>
      <c r="H2156" s="48"/>
      <c r="I2156" s="49"/>
    </row>
    <row r="2157" ht="22.5" customHeight="1">
      <c r="A2157" s="42"/>
      <c r="B2157" s="47"/>
      <c r="C2157" s="46"/>
      <c r="D2157" s="47"/>
      <c r="E2157" s="46"/>
      <c r="F2157" s="47"/>
      <c r="G2157" s="46"/>
      <c r="H2157" s="50"/>
      <c r="I2157" s="51"/>
    </row>
    <row r="2158" ht="22.5" customHeight="1">
      <c r="A2158" s="42"/>
      <c r="B2158" s="47"/>
      <c r="C2158" s="46"/>
      <c r="D2158" s="47"/>
      <c r="E2158" s="46"/>
      <c r="F2158" s="47"/>
      <c r="G2158" s="46"/>
      <c r="H2158" s="48"/>
      <c r="I2158" s="49"/>
    </row>
    <row r="2159" ht="22.5" customHeight="1">
      <c r="A2159" s="42"/>
      <c r="B2159" s="47"/>
      <c r="C2159" s="46"/>
      <c r="D2159" s="47"/>
      <c r="E2159" s="46"/>
      <c r="F2159" s="47"/>
      <c r="G2159" s="46"/>
      <c r="H2159" s="50"/>
      <c r="I2159" s="51"/>
    </row>
    <row r="2160" ht="22.5" customHeight="1">
      <c r="A2160" s="42"/>
      <c r="B2160" s="47"/>
      <c r="C2160" s="46"/>
      <c r="D2160" s="47"/>
      <c r="E2160" s="46"/>
      <c r="F2160" s="47"/>
      <c r="G2160" s="46"/>
      <c r="H2160" s="48"/>
      <c r="I2160" s="49"/>
    </row>
    <row r="2161" ht="22.5" customHeight="1">
      <c r="A2161" s="42"/>
      <c r="B2161" s="47"/>
      <c r="C2161" s="46"/>
      <c r="D2161" s="47"/>
      <c r="E2161" s="46"/>
      <c r="F2161" s="47"/>
      <c r="G2161" s="46"/>
      <c r="H2161" s="50"/>
      <c r="I2161" s="51"/>
    </row>
    <row r="2162" ht="22.5" customHeight="1">
      <c r="A2162" s="42"/>
      <c r="B2162" s="47"/>
      <c r="C2162" s="46"/>
      <c r="D2162" s="47"/>
      <c r="E2162" s="46"/>
      <c r="F2162" s="47"/>
      <c r="G2162" s="46"/>
      <c r="H2162" s="48"/>
      <c r="I2162" s="49"/>
    </row>
    <row r="2163" ht="22.5" customHeight="1">
      <c r="A2163" s="42"/>
      <c r="B2163" s="47"/>
      <c r="C2163" s="46"/>
      <c r="D2163" s="47"/>
      <c r="E2163" s="46"/>
      <c r="F2163" s="47"/>
      <c r="G2163" s="46"/>
      <c r="H2163" s="50"/>
      <c r="I2163" s="51"/>
    </row>
    <row r="2164" ht="22.5" customHeight="1">
      <c r="A2164" s="42"/>
      <c r="B2164" s="47"/>
      <c r="C2164" s="46"/>
      <c r="D2164" s="47"/>
      <c r="E2164" s="46"/>
      <c r="F2164" s="47"/>
      <c r="G2164" s="46"/>
      <c r="H2164" s="48"/>
      <c r="I2164" s="49"/>
    </row>
    <row r="2165" ht="22.5" customHeight="1">
      <c r="A2165" s="42"/>
      <c r="B2165" s="47"/>
      <c r="C2165" s="46"/>
      <c r="D2165" s="47"/>
      <c r="E2165" s="46"/>
      <c r="F2165" s="47"/>
      <c r="G2165" s="46"/>
      <c r="H2165" s="50"/>
      <c r="I2165" s="51"/>
    </row>
    <row r="2166" ht="22.5" customHeight="1">
      <c r="A2166" s="42"/>
      <c r="B2166" s="47"/>
      <c r="C2166" s="46"/>
      <c r="D2166" s="47"/>
      <c r="E2166" s="46"/>
      <c r="F2166" s="47"/>
      <c r="G2166" s="46"/>
      <c r="H2166" s="48"/>
      <c r="I2166" s="49"/>
    </row>
    <row r="2167" ht="22.5" customHeight="1">
      <c r="A2167" s="42"/>
      <c r="B2167" s="47"/>
      <c r="C2167" s="46"/>
      <c r="D2167" s="47"/>
      <c r="E2167" s="46"/>
      <c r="F2167" s="47"/>
      <c r="G2167" s="46"/>
      <c r="H2167" s="50"/>
      <c r="I2167" s="51"/>
    </row>
    <row r="2168" ht="22.5" customHeight="1">
      <c r="A2168" s="42"/>
      <c r="B2168" s="47"/>
      <c r="C2168" s="46"/>
      <c r="D2168" s="47"/>
      <c r="E2168" s="46"/>
      <c r="F2168" s="47"/>
      <c r="G2168" s="46"/>
      <c r="H2168" s="48"/>
      <c r="I2168" s="49"/>
    </row>
    <row r="2169" ht="22.5" customHeight="1">
      <c r="A2169" s="42"/>
      <c r="B2169" s="47"/>
      <c r="C2169" s="46"/>
      <c r="D2169" s="47"/>
      <c r="E2169" s="46"/>
      <c r="F2169" s="47"/>
      <c r="G2169" s="46"/>
      <c r="H2169" s="50"/>
      <c r="I2169" s="51"/>
    </row>
    <row r="2170" ht="22.5" customHeight="1">
      <c r="A2170" s="42"/>
      <c r="B2170" s="47"/>
      <c r="C2170" s="46"/>
      <c r="D2170" s="47"/>
      <c r="E2170" s="46"/>
      <c r="F2170" s="47"/>
      <c r="G2170" s="46"/>
      <c r="H2170" s="48"/>
      <c r="I2170" s="49"/>
    </row>
    <row r="2171" ht="22.5" customHeight="1">
      <c r="A2171" s="42"/>
      <c r="B2171" s="47"/>
      <c r="C2171" s="46"/>
      <c r="D2171" s="47"/>
      <c r="E2171" s="46"/>
      <c r="F2171" s="47"/>
      <c r="G2171" s="46"/>
      <c r="H2171" s="50"/>
      <c r="I2171" s="51"/>
    </row>
    <row r="2172" ht="22.5" customHeight="1">
      <c r="A2172" s="42"/>
      <c r="B2172" s="47"/>
      <c r="C2172" s="46"/>
      <c r="D2172" s="47"/>
      <c r="E2172" s="46"/>
      <c r="F2172" s="47"/>
      <c r="G2172" s="46"/>
      <c r="H2172" s="48"/>
      <c r="I2172" s="49"/>
    </row>
    <row r="2173" ht="22.5" customHeight="1">
      <c r="A2173" s="42"/>
      <c r="B2173" s="47"/>
      <c r="C2173" s="46"/>
      <c r="D2173" s="47"/>
      <c r="E2173" s="46"/>
      <c r="F2173" s="47"/>
      <c r="G2173" s="46"/>
      <c r="H2173" s="50"/>
      <c r="I2173" s="51"/>
    </row>
    <row r="2174" ht="22.5" customHeight="1">
      <c r="A2174" s="42"/>
      <c r="B2174" s="47"/>
      <c r="C2174" s="46"/>
      <c r="D2174" s="47"/>
      <c r="E2174" s="46"/>
      <c r="F2174" s="47"/>
      <c r="G2174" s="46"/>
      <c r="H2174" s="48"/>
      <c r="I2174" s="49"/>
    </row>
    <row r="2175" ht="22.5" customHeight="1">
      <c r="A2175" s="42"/>
      <c r="B2175" s="47"/>
      <c r="C2175" s="46"/>
      <c r="D2175" s="47"/>
      <c r="E2175" s="46"/>
      <c r="F2175" s="47"/>
      <c r="G2175" s="46"/>
      <c r="H2175" s="50"/>
      <c r="I2175" s="51"/>
    </row>
    <row r="2176" ht="22.5" customHeight="1">
      <c r="A2176" s="42"/>
      <c r="B2176" s="47"/>
      <c r="C2176" s="46"/>
      <c r="D2176" s="47"/>
      <c r="E2176" s="46"/>
      <c r="F2176" s="47"/>
      <c r="G2176" s="46"/>
      <c r="H2176" s="48"/>
      <c r="I2176" s="49"/>
    </row>
    <row r="2177" ht="22.5" customHeight="1">
      <c r="A2177" s="42"/>
      <c r="B2177" s="47"/>
      <c r="C2177" s="46"/>
      <c r="D2177" s="47"/>
      <c r="E2177" s="46"/>
      <c r="F2177" s="47"/>
      <c r="G2177" s="46"/>
      <c r="H2177" s="50"/>
      <c r="I2177" s="51"/>
    </row>
    <row r="2178" ht="22.5" customHeight="1">
      <c r="A2178" s="42"/>
      <c r="B2178" s="47"/>
      <c r="C2178" s="46"/>
      <c r="D2178" s="47"/>
      <c r="E2178" s="46"/>
      <c r="F2178" s="47"/>
      <c r="G2178" s="46"/>
      <c r="H2178" s="48"/>
      <c r="I2178" s="49"/>
    </row>
    <row r="2179" ht="22.5" customHeight="1">
      <c r="A2179" s="42"/>
      <c r="B2179" s="47"/>
      <c r="C2179" s="46"/>
      <c r="D2179" s="47"/>
      <c r="E2179" s="46"/>
      <c r="F2179" s="47"/>
      <c r="G2179" s="46"/>
      <c r="H2179" s="50"/>
      <c r="I2179" s="51"/>
    </row>
    <row r="2180" ht="22.5" customHeight="1">
      <c r="A2180" s="42"/>
      <c r="B2180" s="47"/>
      <c r="C2180" s="46"/>
      <c r="D2180" s="47"/>
      <c r="E2180" s="46"/>
      <c r="F2180" s="47"/>
      <c r="G2180" s="46"/>
      <c r="H2180" s="48"/>
      <c r="I2180" s="49"/>
    </row>
    <row r="2181" ht="22.5" customHeight="1">
      <c r="A2181" s="42"/>
      <c r="B2181" s="47"/>
      <c r="C2181" s="46"/>
      <c r="D2181" s="47"/>
      <c r="E2181" s="46"/>
      <c r="F2181" s="47"/>
      <c r="G2181" s="46"/>
      <c r="H2181" s="50"/>
      <c r="I2181" s="51"/>
    </row>
    <row r="2182" ht="22.5" customHeight="1">
      <c r="A2182" s="42"/>
      <c r="B2182" s="47"/>
      <c r="C2182" s="46"/>
      <c r="D2182" s="47"/>
      <c r="E2182" s="46"/>
      <c r="F2182" s="47"/>
      <c r="G2182" s="46"/>
      <c r="H2182" s="48"/>
      <c r="I2182" s="49"/>
    </row>
    <row r="2183" ht="22.5" customHeight="1">
      <c r="A2183" s="42"/>
      <c r="B2183" s="47"/>
      <c r="C2183" s="46"/>
      <c r="D2183" s="47"/>
      <c r="E2183" s="46"/>
      <c r="F2183" s="47"/>
      <c r="G2183" s="46"/>
      <c r="H2183" s="50"/>
      <c r="I2183" s="51"/>
    </row>
    <row r="2184" ht="22.5" customHeight="1">
      <c r="A2184" s="42"/>
      <c r="B2184" s="47"/>
      <c r="C2184" s="46"/>
      <c r="D2184" s="47"/>
      <c r="E2184" s="46"/>
      <c r="F2184" s="47"/>
      <c r="G2184" s="46"/>
      <c r="H2184" s="48"/>
      <c r="I2184" s="49"/>
    </row>
    <row r="2185" ht="22.5" customHeight="1">
      <c r="A2185" s="42"/>
      <c r="B2185" s="47"/>
      <c r="C2185" s="46"/>
      <c r="D2185" s="47"/>
      <c r="E2185" s="46"/>
      <c r="F2185" s="47"/>
      <c r="G2185" s="46"/>
      <c r="H2185" s="50"/>
      <c r="I2185" s="51"/>
    </row>
    <row r="2186" ht="22.5" customHeight="1">
      <c r="A2186" s="42"/>
      <c r="B2186" s="47"/>
      <c r="C2186" s="46"/>
      <c r="D2186" s="47"/>
      <c r="E2186" s="46"/>
      <c r="F2186" s="47"/>
      <c r="G2186" s="46"/>
      <c r="H2186" s="48"/>
      <c r="I2186" s="49"/>
    </row>
    <row r="2187" ht="22.5" customHeight="1">
      <c r="A2187" s="42"/>
      <c r="B2187" s="47"/>
      <c r="C2187" s="46"/>
      <c r="D2187" s="47"/>
      <c r="E2187" s="46"/>
      <c r="F2187" s="47"/>
      <c r="G2187" s="46"/>
      <c r="H2187" s="50"/>
      <c r="I2187" s="51"/>
    </row>
    <row r="2188" ht="22.5" customHeight="1">
      <c r="A2188" s="42"/>
      <c r="B2188" s="47"/>
      <c r="C2188" s="46"/>
      <c r="D2188" s="47"/>
      <c r="E2188" s="46"/>
      <c r="F2188" s="47"/>
      <c r="G2188" s="46"/>
      <c r="H2188" s="48"/>
      <c r="I2188" s="49"/>
    </row>
    <row r="2189" ht="22.5" customHeight="1">
      <c r="A2189" s="42"/>
      <c r="B2189" s="47"/>
      <c r="C2189" s="46"/>
      <c r="D2189" s="47"/>
      <c r="E2189" s="46"/>
      <c r="F2189" s="47"/>
      <c r="G2189" s="46"/>
      <c r="H2189" s="50"/>
      <c r="I2189" s="51"/>
    </row>
    <row r="2190" ht="22.5" customHeight="1">
      <c r="A2190" s="42"/>
      <c r="B2190" s="47"/>
      <c r="C2190" s="46"/>
      <c r="D2190" s="47"/>
      <c r="E2190" s="46"/>
      <c r="F2190" s="47"/>
      <c r="G2190" s="46"/>
      <c r="H2190" s="48"/>
      <c r="I2190" s="49"/>
    </row>
    <row r="2191" ht="22.5" customHeight="1">
      <c r="A2191" s="42"/>
      <c r="B2191" s="47"/>
      <c r="C2191" s="46"/>
      <c r="D2191" s="47"/>
      <c r="E2191" s="46"/>
      <c r="F2191" s="47"/>
      <c r="G2191" s="46"/>
      <c r="H2191" s="50"/>
      <c r="I2191" s="51"/>
    </row>
    <row r="2192" ht="22.5" customHeight="1">
      <c r="A2192" s="42"/>
      <c r="B2192" s="47"/>
      <c r="C2192" s="46"/>
      <c r="D2192" s="47"/>
      <c r="E2192" s="46"/>
      <c r="F2192" s="47"/>
      <c r="G2192" s="46"/>
      <c r="H2192" s="48"/>
      <c r="I2192" s="49"/>
    </row>
    <row r="2193" ht="22.5" customHeight="1">
      <c r="A2193" s="42"/>
      <c r="B2193" s="47"/>
      <c r="C2193" s="46"/>
      <c r="D2193" s="47"/>
      <c r="E2193" s="46"/>
      <c r="F2193" s="47"/>
      <c r="G2193" s="46"/>
      <c r="H2193" s="50"/>
      <c r="I2193" s="51"/>
    </row>
    <row r="2194" ht="22.5" customHeight="1">
      <c r="A2194" s="42"/>
      <c r="B2194" s="47"/>
      <c r="C2194" s="46"/>
      <c r="D2194" s="47"/>
      <c r="E2194" s="46"/>
      <c r="F2194" s="47"/>
      <c r="G2194" s="46"/>
      <c r="H2194" s="48"/>
      <c r="I2194" s="49"/>
    </row>
    <row r="2195" ht="22.5" customHeight="1">
      <c r="A2195" s="42"/>
      <c r="B2195" s="47"/>
      <c r="C2195" s="46"/>
      <c r="D2195" s="47"/>
      <c r="E2195" s="46"/>
      <c r="F2195" s="47"/>
      <c r="G2195" s="46"/>
      <c r="H2195" s="50"/>
      <c r="I2195" s="51"/>
    </row>
    <row r="2196" ht="22.5" customHeight="1">
      <c r="A2196" s="42"/>
      <c r="B2196" s="47"/>
      <c r="C2196" s="46"/>
      <c r="D2196" s="47"/>
      <c r="E2196" s="46"/>
      <c r="F2196" s="47"/>
      <c r="G2196" s="46"/>
      <c r="H2196" s="48"/>
      <c r="I2196" s="49"/>
    </row>
    <row r="2197" ht="22.5" customHeight="1">
      <c r="A2197" s="42"/>
      <c r="B2197" s="47"/>
      <c r="C2197" s="46"/>
      <c r="D2197" s="47"/>
      <c r="E2197" s="46"/>
      <c r="F2197" s="47"/>
      <c r="G2197" s="46"/>
      <c r="H2197" s="50"/>
      <c r="I2197" s="51"/>
    </row>
    <row r="2198" ht="22.5" customHeight="1">
      <c r="A2198" s="42"/>
      <c r="B2198" s="47"/>
      <c r="C2198" s="46"/>
      <c r="D2198" s="47"/>
      <c r="E2198" s="46"/>
      <c r="F2198" s="47"/>
      <c r="G2198" s="46"/>
      <c r="H2198" s="48"/>
      <c r="I2198" s="49"/>
    </row>
    <row r="2199" ht="22.5" customHeight="1">
      <c r="A2199" s="42"/>
      <c r="B2199" s="47"/>
      <c r="C2199" s="46"/>
      <c r="D2199" s="47"/>
      <c r="E2199" s="46"/>
      <c r="F2199" s="47"/>
      <c r="G2199" s="46"/>
      <c r="H2199" s="50"/>
      <c r="I2199" s="51"/>
    </row>
    <row r="2200" ht="22.5" customHeight="1">
      <c r="A2200" s="42"/>
      <c r="B2200" s="47"/>
      <c r="C2200" s="46"/>
      <c r="D2200" s="47"/>
      <c r="E2200" s="46"/>
      <c r="F2200" s="47"/>
      <c r="G2200" s="46"/>
      <c r="H2200" s="48"/>
      <c r="I2200" s="49"/>
    </row>
    <row r="2201" ht="22.5" customHeight="1">
      <c r="A2201" s="42"/>
      <c r="B2201" s="47"/>
      <c r="C2201" s="46"/>
      <c r="D2201" s="47"/>
      <c r="E2201" s="46"/>
      <c r="F2201" s="47"/>
      <c r="G2201" s="46"/>
      <c r="H2201" s="50"/>
      <c r="I2201" s="51"/>
    </row>
    <row r="2202" ht="22.5" customHeight="1">
      <c r="A2202" s="42"/>
      <c r="B2202" s="47"/>
      <c r="C2202" s="46"/>
      <c r="D2202" s="47"/>
      <c r="E2202" s="46"/>
      <c r="F2202" s="47"/>
      <c r="G2202" s="46"/>
      <c r="H2202" s="48"/>
      <c r="I2202" s="49"/>
    </row>
    <row r="2203" ht="22.5" customHeight="1">
      <c r="A2203" s="42"/>
      <c r="B2203" s="47"/>
      <c r="C2203" s="46"/>
      <c r="D2203" s="47"/>
      <c r="E2203" s="46"/>
      <c r="F2203" s="47"/>
      <c r="G2203" s="46"/>
      <c r="H2203" s="50"/>
      <c r="I2203" s="51"/>
    </row>
    <row r="2204" ht="22.5" customHeight="1">
      <c r="A2204" s="42"/>
      <c r="B2204" s="47"/>
      <c r="C2204" s="46"/>
      <c r="D2204" s="47"/>
      <c r="E2204" s="46"/>
      <c r="F2204" s="47"/>
      <c r="G2204" s="46"/>
      <c r="H2204" s="48"/>
      <c r="I2204" s="49"/>
    </row>
    <row r="2205" ht="22.5" customHeight="1">
      <c r="A2205" s="42"/>
      <c r="B2205" s="47"/>
      <c r="C2205" s="46"/>
      <c r="D2205" s="47"/>
      <c r="E2205" s="46"/>
      <c r="F2205" s="47"/>
      <c r="G2205" s="46"/>
      <c r="H2205" s="50"/>
      <c r="I2205" s="51"/>
    </row>
    <row r="2206" ht="22.5" customHeight="1">
      <c r="A2206" s="42"/>
      <c r="B2206" s="47"/>
      <c r="C2206" s="46"/>
      <c r="D2206" s="47"/>
      <c r="E2206" s="46"/>
      <c r="F2206" s="47"/>
      <c r="G2206" s="46"/>
      <c r="H2206" s="48"/>
      <c r="I2206" s="49"/>
    </row>
    <row r="2207" ht="22.5" customHeight="1">
      <c r="A2207" s="42"/>
      <c r="B2207" s="47"/>
      <c r="C2207" s="46"/>
      <c r="D2207" s="47"/>
      <c r="E2207" s="46"/>
      <c r="F2207" s="47"/>
      <c r="G2207" s="46"/>
      <c r="H2207" s="50"/>
      <c r="I2207" s="51"/>
    </row>
    <row r="2208" ht="22.5" customHeight="1">
      <c r="A2208" s="42"/>
      <c r="B2208" s="47"/>
      <c r="C2208" s="46"/>
      <c r="D2208" s="47"/>
      <c r="E2208" s="46"/>
      <c r="F2208" s="47"/>
      <c r="G2208" s="46"/>
      <c r="H2208" s="48"/>
      <c r="I2208" s="49"/>
    </row>
    <row r="2209" ht="22.5" customHeight="1">
      <c r="A2209" s="42"/>
      <c r="B2209" s="47"/>
      <c r="C2209" s="46"/>
      <c r="D2209" s="47"/>
      <c r="E2209" s="46"/>
      <c r="F2209" s="47"/>
      <c r="G2209" s="46"/>
      <c r="H2209" s="50"/>
      <c r="I2209" s="51"/>
    </row>
    <row r="2210" ht="22.5" customHeight="1">
      <c r="A2210" s="42"/>
      <c r="B2210" s="47"/>
      <c r="C2210" s="46"/>
      <c r="D2210" s="47"/>
      <c r="E2210" s="46"/>
      <c r="F2210" s="47"/>
      <c r="G2210" s="46"/>
      <c r="H2210" s="48"/>
      <c r="I2210" s="49"/>
    </row>
    <row r="2211" ht="22.5" customHeight="1">
      <c r="A2211" s="42"/>
      <c r="B2211" s="47"/>
      <c r="C2211" s="46"/>
      <c r="D2211" s="47"/>
      <c r="E2211" s="46"/>
      <c r="F2211" s="47"/>
      <c r="G2211" s="46"/>
      <c r="H2211" s="50"/>
      <c r="I2211" s="51"/>
    </row>
    <row r="2212" ht="22.5" customHeight="1">
      <c r="A2212" s="42"/>
      <c r="B2212" s="47"/>
      <c r="C2212" s="46"/>
      <c r="D2212" s="47"/>
      <c r="E2212" s="46"/>
      <c r="F2212" s="47"/>
      <c r="G2212" s="46"/>
      <c r="H2212" s="48"/>
      <c r="I2212" s="49"/>
    </row>
    <row r="2213" ht="22.5" customHeight="1">
      <c r="A2213" s="42"/>
      <c r="B2213" s="47"/>
      <c r="C2213" s="46"/>
      <c r="D2213" s="47"/>
      <c r="E2213" s="46"/>
      <c r="F2213" s="47"/>
      <c r="G2213" s="46"/>
      <c r="H2213" s="50"/>
      <c r="I2213" s="51"/>
    </row>
    <row r="2214" ht="22.5" customHeight="1">
      <c r="A2214" s="42"/>
      <c r="B2214" s="47"/>
      <c r="C2214" s="46"/>
      <c r="D2214" s="47"/>
      <c r="E2214" s="46"/>
      <c r="F2214" s="47"/>
      <c r="G2214" s="46"/>
      <c r="H2214" s="48"/>
      <c r="I2214" s="49"/>
    </row>
    <row r="2215" ht="22.5" customHeight="1">
      <c r="A2215" s="42"/>
      <c r="B2215" s="47"/>
      <c r="C2215" s="46"/>
      <c r="D2215" s="47"/>
      <c r="E2215" s="46"/>
      <c r="F2215" s="47"/>
      <c r="G2215" s="46"/>
      <c r="H2215" s="50"/>
      <c r="I2215" s="51"/>
    </row>
    <row r="2216" ht="22.5" customHeight="1">
      <c r="A2216" s="42"/>
      <c r="B2216" s="47"/>
      <c r="C2216" s="46"/>
      <c r="D2216" s="47"/>
      <c r="E2216" s="46"/>
      <c r="F2216" s="47"/>
      <c r="G2216" s="46"/>
      <c r="H2216" s="48"/>
      <c r="I2216" s="49"/>
    </row>
    <row r="2217" ht="22.5" customHeight="1">
      <c r="A2217" s="42"/>
      <c r="B2217" s="47"/>
      <c r="C2217" s="46"/>
      <c r="D2217" s="47"/>
      <c r="E2217" s="46"/>
      <c r="F2217" s="47"/>
      <c r="G2217" s="46"/>
      <c r="H2217" s="50"/>
      <c r="I2217" s="51"/>
    </row>
    <row r="2218" ht="22.5" customHeight="1">
      <c r="A2218" s="42"/>
      <c r="B2218" s="47"/>
      <c r="C2218" s="46"/>
      <c r="D2218" s="47"/>
      <c r="E2218" s="46"/>
      <c r="F2218" s="47"/>
      <c r="G2218" s="46"/>
      <c r="H2218" s="48"/>
      <c r="I2218" s="49"/>
    </row>
    <row r="2219" ht="22.5" customHeight="1">
      <c r="A2219" s="42"/>
      <c r="B2219" s="47"/>
      <c r="C2219" s="46"/>
      <c r="D2219" s="47"/>
      <c r="E2219" s="46"/>
      <c r="F2219" s="47"/>
      <c r="G2219" s="46"/>
      <c r="H2219" s="50"/>
      <c r="I2219" s="51"/>
    </row>
    <row r="2220" ht="22.5" customHeight="1">
      <c r="A2220" s="42"/>
      <c r="B2220" s="47"/>
      <c r="C2220" s="46"/>
      <c r="D2220" s="47"/>
      <c r="E2220" s="46"/>
      <c r="F2220" s="47"/>
      <c r="G2220" s="46"/>
      <c r="H2220" s="48"/>
      <c r="I2220" s="49"/>
    </row>
    <row r="2221" ht="22.5" customHeight="1">
      <c r="A2221" s="42"/>
      <c r="B2221" s="47"/>
      <c r="C2221" s="46"/>
      <c r="D2221" s="47"/>
      <c r="E2221" s="46"/>
      <c r="F2221" s="47"/>
      <c r="G2221" s="46"/>
      <c r="H2221" s="50"/>
      <c r="I2221" s="51"/>
    </row>
    <row r="2222" ht="22.5" customHeight="1">
      <c r="A2222" s="42"/>
      <c r="B2222" s="47"/>
      <c r="C2222" s="46"/>
      <c r="D2222" s="47"/>
      <c r="E2222" s="46"/>
      <c r="F2222" s="47"/>
      <c r="G2222" s="46"/>
      <c r="H2222" s="48"/>
      <c r="I2222" s="49"/>
    </row>
    <row r="2223" ht="22.5" customHeight="1">
      <c r="A2223" s="42"/>
      <c r="B2223" s="47"/>
      <c r="C2223" s="46"/>
      <c r="D2223" s="47"/>
      <c r="E2223" s="46"/>
      <c r="F2223" s="47"/>
      <c r="G2223" s="46"/>
      <c r="H2223" s="50"/>
      <c r="I2223" s="51"/>
    </row>
    <row r="2224" ht="22.5" customHeight="1">
      <c r="A2224" s="42"/>
      <c r="B2224" s="47"/>
      <c r="C2224" s="46"/>
      <c r="D2224" s="47"/>
      <c r="E2224" s="46"/>
      <c r="F2224" s="47"/>
      <c r="G2224" s="46"/>
      <c r="H2224" s="48"/>
      <c r="I2224" s="49"/>
    </row>
    <row r="2225" ht="22.5" customHeight="1">
      <c r="A2225" s="42"/>
      <c r="B2225" s="47"/>
      <c r="C2225" s="46"/>
      <c r="D2225" s="47"/>
      <c r="E2225" s="46"/>
      <c r="F2225" s="47"/>
      <c r="G2225" s="46"/>
      <c r="H2225" s="50"/>
      <c r="I2225" s="51"/>
    </row>
    <row r="2226" ht="22.5" customHeight="1">
      <c r="A2226" s="42"/>
      <c r="B2226" s="47"/>
      <c r="C2226" s="46"/>
      <c r="D2226" s="47"/>
      <c r="E2226" s="46"/>
      <c r="F2226" s="47"/>
      <c r="G2226" s="46"/>
      <c r="H2226" s="48"/>
      <c r="I2226" s="49"/>
    </row>
    <row r="2227" ht="22.5" customHeight="1">
      <c r="A2227" s="42"/>
      <c r="B2227" s="47"/>
      <c r="C2227" s="46"/>
      <c r="D2227" s="47"/>
      <c r="E2227" s="46"/>
      <c r="F2227" s="47"/>
      <c r="G2227" s="46"/>
      <c r="H2227" s="50"/>
      <c r="I2227" s="51"/>
    </row>
    <row r="2228" ht="22.5" customHeight="1">
      <c r="A2228" s="42"/>
      <c r="B2228" s="47"/>
      <c r="C2228" s="46"/>
      <c r="D2228" s="47"/>
      <c r="E2228" s="46"/>
      <c r="F2228" s="47"/>
      <c r="G2228" s="46"/>
      <c r="H2228" s="48"/>
      <c r="I2228" s="49"/>
    </row>
    <row r="2229" ht="22.5" customHeight="1">
      <c r="A2229" s="42"/>
      <c r="B2229" s="47"/>
      <c r="C2229" s="46"/>
      <c r="D2229" s="47"/>
      <c r="E2229" s="46"/>
      <c r="F2229" s="47"/>
      <c r="G2229" s="46"/>
      <c r="H2229" s="50"/>
      <c r="I2229" s="51"/>
    </row>
    <row r="2230" ht="22.5" customHeight="1">
      <c r="A2230" s="42"/>
      <c r="B2230" s="47"/>
      <c r="C2230" s="46"/>
      <c r="D2230" s="47"/>
      <c r="E2230" s="46"/>
      <c r="F2230" s="47"/>
      <c r="G2230" s="46"/>
      <c r="H2230" s="48"/>
      <c r="I2230" s="49"/>
    </row>
    <row r="2231" ht="22.5" customHeight="1">
      <c r="A2231" s="42"/>
      <c r="B2231" s="47"/>
      <c r="C2231" s="46"/>
      <c r="D2231" s="47"/>
      <c r="E2231" s="46"/>
      <c r="F2231" s="47"/>
      <c r="G2231" s="46"/>
      <c r="H2231" s="50"/>
      <c r="I2231" s="51"/>
    </row>
    <row r="2232" ht="22.5" customHeight="1">
      <c r="A2232" s="42"/>
      <c r="B2232" s="47"/>
      <c r="C2232" s="46"/>
      <c r="D2232" s="47"/>
      <c r="E2232" s="46"/>
      <c r="F2232" s="47"/>
      <c r="G2232" s="46"/>
      <c r="H2232" s="48"/>
      <c r="I2232" s="49"/>
    </row>
    <row r="2233" ht="22.5" customHeight="1">
      <c r="A2233" s="42"/>
      <c r="B2233" s="47"/>
      <c r="C2233" s="46"/>
      <c r="D2233" s="47"/>
      <c r="E2233" s="46"/>
      <c r="F2233" s="47"/>
      <c r="G2233" s="46"/>
      <c r="H2233" s="50"/>
      <c r="I2233" s="51"/>
    </row>
    <row r="2234" ht="22.5" customHeight="1">
      <c r="A2234" s="42"/>
      <c r="B2234" s="47"/>
      <c r="C2234" s="46"/>
      <c r="D2234" s="47"/>
      <c r="E2234" s="46"/>
      <c r="F2234" s="47"/>
      <c r="G2234" s="46"/>
      <c r="H2234" s="48"/>
      <c r="I2234" s="49"/>
    </row>
    <row r="2235" ht="22.5" customHeight="1">
      <c r="A2235" s="42"/>
      <c r="B2235" s="47"/>
      <c r="C2235" s="46"/>
      <c r="D2235" s="47"/>
      <c r="E2235" s="46"/>
      <c r="F2235" s="47"/>
      <c r="G2235" s="46"/>
      <c r="H2235" s="50"/>
      <c r="I2235" s="51"/>
    </row>
    <row r="2236" ht="22.5" customHeight="1">
      <c r="A2236" s="42"/>
      <c r="B2236" s="47"/>
      <c r="C2236" s="46"/>
      <c r="D2236" s="47"/>
      <c r="E2236" s="46"/>
      <c r="F2236" s="47"/>
      <c r="G2236" s="46"/>
      <c r="H2236" s="48"/>
      <c r="I2236" s="49"/>
    </row>
    <row r="2237" ht="22.5" customHeight="1">
      <c r="A2237" s="42"/>
      <c r="B2237" s="47"/>
      <c r="C2237" s="46"/>
      <c r="D2237" s="47"/>
      <c r="E2237" s="46"/>
      <c r="F2237" s="47"/>
      <c r="G2237" s="46"/>
      <c r="H2237" s="50"/>
      <c r="I2237" s="51"/>
    </row>
    <row r="2238" ht="22.5" customHeight="1">
      <c r="A2238" s="42"/>
      <c r="B2238" s="47"/>
      <c r="C2238" s="46"/>
      <c r="D2238" s="47"/>
      <c r="E2238" s="46"/>
      <c r="F2238" s="47"/>
      <c r="G2238" s="46"/>
      <c r="H2238" s="48"/>
      <c r="I2238" s="49"/>
    </row>
    <row r="2239" ht="22.5" customHeight="1">
      <c r="A2239" s="42"/>
      <c r="B2239" s="47"/>
      <c r="C2239" s="46"/>
      <c r="D2239" s="47"/>
      <c r="E2239" s="46"/>
      <c r="F2239" s="47"/>
      <c r="G2239" s="46"/>
      <c r="H2239" s="50"/>
      <c r="I2239" s="51"/>
    </row>
    <row r="2240" ht="22.5" customHeight="1">
      <c r="A2240" s="42"/>
      <c r="B2240" s="47"/>
      <c r="C2240" s="46"/>
      <c r="D2240" s="47"/>
      <c r="E2240" s="46"/>
      <c r="F2240" s="47"/>
      <c r="G2240" s="46"/>
      <c r="H2240" s="48"/>
      <c r="I2240" s="49"/>
    </row>
    <row r="2241" ht="22.5" customHeight="1">
      <c r="A2241" s="42"/>
      <c r="B2241" s="47"/>
      <c r="C2241" s="46"/>
      <c r="D2241" s="47"/>
      <c r="E2241" s="46"/>
      <c r="F2241" s="47"/>
      <c r="G2241" s="46"/>
      <c r="H2241" s="50"/>
      <c r="I2241" s="51"/>
    </row>
    <row r="2242" ht="22.5" customHeight="1">
      <c r="A2242" s="42"/>
      <c r="B2242" s="47"/>
      <c r="C2242" s="46"/>
      <c r="D2242" s="47"/>
      <c r="E2242" s="46"/>
      <c r="F2242" s="47"/>
      <c r="G2242" s="46"/>
      <c r="H2242" s="48"/>
      <c r="I2242" s="49"/>
    </row>
    <row r="2243" ht="22.5" customHeight="1">
      <c r="A2243" s="42"/>
      <c r="B2243" s="47"/>
      <c r="C2243" s="46"/>
      <c r="D2243" s="47"/>
      <c r="E2243" s="46"/>
      <c r="F2243" s="47"/>
      <c r="G2243" s="46"/>
      <c r="H2243" s="50"/>
      <c r="I2243" s="51"/>
    </row>
    <row r="2244" ht="22.5" customHeight="1">
      <c r="A2244" s="42"/>
      <c r="B2244" s="47"/>
      <c r="C2244" s="46"/>
      <c r="D2244" s="47"/>
      <c r="E2244" s="46"/>
      <c r="F2244" s="47"/>
      <c r="G2244" s="46"/>
      <c r="H2244" s="48"/>
      <c r="I2244" s="49"/>
    </row>
    <row r="2245" ht="22.5" customHeight="1">
      <c r="A2245" s="42"/>
      <c r="B2245" s="47"/>
      <c r="C2245" s="46"/>
      <c r="D2245" s="47"/>
      <c r="E2245" s="46"/>
      <c r="F2245" s="47"/>
      <c r="G2245" s="46"/>
      <c r="H2245" s="50"/>
      <c r="I2245" s="51"/>
    </row>
    <row r="2246" ht="22.5" customHeight="1">
      <c r="A2246" s="42"/>
      <c r="B2246" s="47"/>
      <c r="C2246" s="46"/>
      <c r="D2246" s="47"/>
      <c r="E2246" s="46"/>
      <c r="F2246" s="47"/>
      <c r="G2246" s="46"/>
      <c r="H2246" s="48"/>
      <c r="I2246" s="49"/>
    </row>
    <row r="2247" ht="22.5" customHeight="1">
      <c r="A2247" s="42"/>
      <c r="B2247" s="47"/>
      <c r="C2247" s="46"/>
      <c r="D2247" s="47"/>
      <c r="E2247" s="46"/>
      <c r="F2247" s="47"/>
      <c r="G2247" s="46"/>
      <c r="H2247" s="50"/>
      <c r="I2247" s="51"/>
    </row>
    <row r="2248" ht="22.5" customHeight="1">
      <c r="A2248" s="42"/>
      <c r="B2248" s="47"/>
      <c r="C2248" s="46"/>
      <c r="D2248" s="47"/>
      <c r="E2248" s="46"/>
      <c r="F2248" s="47"/>
      <c r="G2248" s="46"/>
      <c r="H2248" s="48"/>
      <c r="I2248" s="49"/>
    </row>
    <row r="2249" ht="22.5" customHeight="1">
      <c r="A2249" s="42"/>
      <c r="B2249" s="47"/>
      <c r="C2249" s="46"/>
      <c r="D2249" s="47"/>
      <c r="E2249" s="46"/>
      <c r="F2249" s="47"/>
      <c r="G2249" s="46"/>
      <c r="H2249" s="50"/>
      <c r="I2249" s="51"/>
    </row>
    <row r="2250" ht="22.5" customHeight="1">
      <c r="A2250" s="42"/>
      <c r="B2250" s="47"/>
      <c r="C2250" s="46"/>
      <c r="D2250" s="47"/>
      <c r="E2250" s="46"/>
      <c r="F2250" s="47"/>
      <c r="G2250" s="46"/>
      <c r="H2250" s="48"/>
      <c r="I2250" s="49"/>
    </row>
    <row r="2251" ht="22.5" customHeight="1">
      <c r="A2251" s="42"/>
      <c r="B2251" s="47"/>
      <c r="C2251" s="46"/>
      <c r="D2251" s="47"/>
      <c r="E2251" s="46"/>
      <c r="F2251" s="47"/>
      <c r="G2251" s="46"/>
      <c r="H2251" s="50"/>
      <c r="I2251" s="51"/>
    </row>
    <row r="2252" ht="22.5" customHeight="1">
      <c r="A2252" s="42"/>
      <c r="B2252" s="47"/>
      <c r="C2252" s="46"/>
      <c r="D2252" s="47"/>
      <c r="E2252" s="46"/>
      <c r="F2252" s="47"/>
      <c r="G2252" s="46"/>
      <c r="H2252" s="48"/>
      <c r="I2252" s="49"/>
    </row>
    <row r="2253" ht="22.5" customHeight="1">
      <c r="A2253" s="42"/>
      <c r="B2253" s="47"/>
      <c r="C2253" s="46"/>
      <c r="D2253" s="47"/>
      <c r="E2253" s="46"/>
      <c r="F2253" s="47"/>
      <c r="G2253" s="46"/>
      <c r="H2253" s="50"/>
      <c r="I2253" s="51"/>
    </row>
    <row r="2254" ht="22.5" customHeight="1">
      <c r="A2254" s="42"/>
      <c r="B2254" s="47"/>
      <c r="C2254" s="46"/>
      <c r="D2254" s="47"/>
      <c r="E2254" s="46"/>
      <c r="F2254" s="47"/>
      <c r="G2254" s="46"/>
      <c r="H2254" s="48"/>
      <c r="I2254" s="49"/>
    </row>
    <row r="2255" ht="22.5" customHeight="1">
      <c r="A2255" s="42"/>
      <c r="B2255" s="47"/>
      <c r="C2255" s="46"/>
      <c r="D2255" s="47"/>
      <c r="E2255" s="46"/>
      <c r="F2255" s="47"/>
      <c r="G2255" s="46"/>
      <c r="H2255" s="50"/>
      <c r="I2255" s="51"/>
    </row>
    <row r="2256" ht="22.5" customHeight="1">
      <c r="A2256" s="42"/>
      <c r="B2256" s="47"/>
      <c r="C2256" s="46"/>
      <c r="D2256" s="47"/>
      <c r="E2256" s="46"/>
      <c r="F2256" s="47"/>
      <c r="G2256" s="46"/>
      <c r="H2256" s="48"/>
      <c r="I2256" s="49"/>
    </row>
    <row r="2257" ht="22.5" customHeight="1">
      <c r="A2257" s="42"/>
      <c r="B2257" s="47"/>
      <c r="C2257" s="46"/>
      <c r="D2257" s="47"/>
      <c r="E2257" s="46"/>
      <c r="F2257" s="47"/>
      <c r="G2257" s="46"/>
      <c r="H2257" s="50"/>
      <c r="I2257" s="51"/>
    </row>
    <row r="2258" ht="22.5" customHeight="1">
      <c r="A2258" s="42"/>
      <c r="B2258" s="47"/>
      <c r="C2258" s="46"/>
      <c r="D2258" s="47"/>
      <c r="E2258" s="46"/>
      <c r="F2258" s="47"/>
      <c r="G2258" s="46"/>
      <c r="H2258" s="48"/>
      <c r="I2258" s="49"/>
    </row>
    <row r="2259" ht="22.5" customHeight="1">
      <c r="A2259" s="42"/>
      <c r="B2259" s="47"/>
      <c r="C2259" s="46"/>
      <c r="D2259" s="47"/>
      <c r="E2259" s="46"/>
      <c r="F2259" s="47"/>
      <c r="G2259" s="46"/>
      <c r="H2259" s="50"/>
      <c r="I2259" s="51"/>
    </row>
    <row r="2260" ht="22.5" customHeight="1">
      <c r="A2260" s="42"/>
      <c r="B2260" s="47"/>
      <c r="C2260" s="46"/>
      <c r="D2260" s="47"/>
      <c r="E2260" s="46"/>
      <c r="F2260" s="47"/>
      <c r="G2260" s="46"/>
      <c r="H2260" s="48"/>
      <c r="I2260" s="49"/>
    </row>
    <row r="2261" ht="22.5" customHeight="1">
      <c r="A2261" s="42"/>
      <c r="B2261" s="47"/>
      <c r="C2261" s="46"/>
      <c r="D2261" s="47"/>
      <c r="E2261" s="46"/>
      <c r="F2261" s="47"/>
      <c r="G2261" s="46"/>
      <c r="H2261" s="50"/>
      <c r="I2261" s="51"/>
    </row>
    <row r="2262" ht="22.5" customHeight="1">
      <c r="A2262" s="42"/>
      <c r="B2262" s="47"/>
      <c r="C2262" s="46"/>
      <c r="D2262" s="47"/>
      <c r="E2262" s="46"/>
      <c r="F2262" s="47"/>
      <c r="G2262" s="46"/>
      <c r="H2262" s="48"/>
      <c r="I2262" s="49"/>
    </row>
    <row r="2263" ht="22.5" customHeight="1">
      <c r="A2263" s="42"/>
      <c r="B2263" s="47"/>
      <c r="C2263" s="46"/>
      <c r="D2263" s="47"/>
      <c r="E2263" s="46"/>
      <c r="F2263" s="47"/>
      <c r="G2263" s="46"/>
      <c r="H2263" s="50"/>
      <c r="I2263" s="51"/>
    </row>
    <row r="2264" ht="22.5" customHeight="1">
      <c r="A2264" s="42"/>
      <c r="B2264" s="47"/>
      <c r="C2264" s="46"/>
      <c r="D2264" s="47"/>
      <c r="E2264" s="46"/>
      <c r="F2264" s="47"/>
      <c r="G2264" s="46"/>
      <c r="H2264" s="48"/>
      <c r="I2264" s="49"/>
    </row>
    <row r="2265" ht="22.5" customHeight="1">
      <c r="A2265" s="42"/>
      <c r="B2265" s="47"/>
      <c r="C2265" s="46"/>
      <c r="D2265" s="47"/>
      <c r="E2265" s="46"/>
      <c r="F2265" s="47"/>
      <c r="G2265" s="46"/>
      <c r="H2265" s="50"/>
      <c r="I2265" s="51"/>
    </row>
    <row r="2266" ht="22.5" customHeight="1">
      <c r="A2266" s="42"/>
      <c r="B2266" s="47"/>
      <c r="C2266" s="46"/>
      <c r="D2266" s="47"/>
      <c r="E2266" s="46"/>
      <c r="F2266" s="47"/>
      <c r="G2266" s="46"/>
      <c r="H2266" s="48"/>
      <c r="I2266" s="49"/>
    </row>
    <row r="2267" ht="22.5" customHeight="1">
      <c r="A2267" s="42"/>
      <c r="B2267" s="47"/>
      <c r="C2267" s="46"/>
      <c r="D2267" s="47"/>
      <c r="E2267" s="46"/>
      <c r="F2267" s="47"/>
      <c r="G2267" s="46"/>
      <c r="H2267" s="50"/>
      <c r="I2267" s="51"/>
    </row>
    <row r="2268" ht="22.5" customHeight="1">
      <c r="A2268" s="42"/>
      <c r="B2268" s="47"/>
      <c r="C2268" s="46"/>
      <c r="D2268" s="47"/>
      <c r="E2268" s="46"/>
      <c r="F2268" s="47"/>
      <c r="G2268" s="46"/>
      <c r="H2268" s="48"/>
      <c r="I2268" s="49"/>
    </row>
    <row r="2269" ht="22.5" customHeight="1">
      <c r="A2269" s="42"/>
      <c r="B2269" s="47"/>
      <c r="C2269" s="46"/>
      <c r="D2269" s="47"/>
      <c r="E2269" s="46"/>
      <c r="F2269" s="47"/>
      <c r="G2269" s="46"/>
      <c r="H2269" s="50"/>
      <c r="I2269" s="51"/>
    </row>
    <row r="2270" ht="22.5" customHeight="1">
      <c r="A2270" s="42"/>
      <c r="B2270" s="47"/>
      <c r="C2270" s="46"/>
      <c r="D2270" s="47"/>
      <c r="E2270" s="46"/>
      <c r="F2270" s="47"/>
      <c r="G2270" s="46"/>
      <c r="H2270" s="48"/>
      <c r="I2270" s="49"/>
    </row>
    <row r="2271" ht="22.5" customHeight="1">
      <c r="A2271" s="42"/>
      <c r="B2271" s="47"/>
      <c r="C2271" s="46"/>
      <c r="D2271" s="47"/>
      <c r="E2271" s="46"/>
      <c r="F2271" s="47"/>
      <c r="G2271" s="46"/>
      <c r="H2271" s="50"/>
      <c r="I2271" s="51"/>
    </row>
    <row r="2272" ht="22.5" customHeight="1">
      <c r="A2272" s="42"/>
      <c r="B2272" s="47"/>
      <c r="C2272" s="46"/>
      <c r="D2272" s="47"/>
      <c r="E2272" s="46"/>
      <c r="F2272" s="47"/>
      <c r="G2272" s="46"/>
      <c r="H2272" s="48"/>
      <c r="I2272" s="49"/>
    </row>
    <row r="2273" ht="22.5" customHeight="1">
      <c r="A2273" s="42"/>
      <c r="B2273" s="47"/>
      <c r="C2273" s="46"/>
      <c r="D2273" s="47"/>
      <c r="E2273" s="46"/>
      <c r="F2273" s="47"/>
      <c r="G2273" s="46"/>
      <c r="H2273" s="50"/>
      <c r="I2273" s="51"/>
    </row>
    <row r="2274" ht="22.5" customHeight="1">
      <c r="A2274" s="42"/>
      <c r="B2274" s="47"/>
      <c r="C2274" s="46"/>
      <c r="D2274" s="47"/>
      <c r="E2274" s="46"/>
      <c r="F2274" s="47"/>
      <c r="G2274" s="46"/>
      <c r="H2274" s="48"/>
      <c r="I2274" s="49"/>
    </row>
    <row r="2275" ht="22.5" customHeight="1">
      <c r="A2275" s="42"/>
      <c r="B2275" s="47"/>
      <c r="C2275" s="46"/>
      <c r="D2275" s="47"/>
      <c r="E2275" s="46"/>
      <c r="F2275" s="47"/>
      <c r="G2275" s="46"/>
      <c r="H2275" s="50"/>
      <c r="I2275" s="51"/>
    </row>
    <row r="2276" ht="22.5" customHeight="1">
      <c r="A2276" s="42"/>
      <c r="B2276" s="47"/>
      <c r="C2276" s="46"/>
      <c r="D2276" s="47"/>
      <c r="E2276" s="46"/>
      <c r="F2276" s="47"/>
      <c r="G2276" s="46"/>
      <c r="H2276" s="48"/>
      <c r="I2276" s="49"/>
    </row>
    <row r="2277" ht="22.5" customHeight="1">
      <c r="A2277" s="42"/>
      <c r="B2277" s="47"/>
      <c r="C2277" s="46"/>
      <c r="D2277" s="47"/>
      <c r="E2277" s="46"/>
      <c r="F2277" s="47"/>
      <c r="G2277" s="46"/>
      <c r="H2277" s="50"/>
      <c r="I2277" s="51"/>
    </row>
    <row r="2278" ht="22.5" customHeight="1">
      <c r="A2278" s="42"/>
      <c r="B2278" s="47"/>
      <c r="C2278" s="46"/>
      <c r="D2278" s="47"/>
      <c r="E2278" s="46"/>
      <c r="F2278" s="47"/>
      <c r="G2278" s="46"/>
      <c r="H2278" s="48"/>
      <c r="I2278" s="49"/>
    </row>
    <row r="2279" ht="22.5" customHeight="1">
      <c r="A2279" s="42"/>
      <c r="B2279" s="47"/>
      <c r="C2279" s="46"/>
      <c r="D2279" s="47"/>
      <c r="E2279" s="46"/>
      <c r="F2279" s="47"/>
      <c r="G2279" s="46"/>
      <c r="H2279" s="50"/>
      <c r="I2279" s="51"/>
    </row>
    <row r="2280" ht="22.5" customHeight="1">
      <c r="A2280" s="42"/>
      <c r="B2280" s="47"/>
      <c r="C2280" s="46"/>
      <c r="D2280" s="47"/>
      <c r="E2280" s="46"/>
      <c r="F2280" s="47"/>
      <c r="G2280" s="46"/>
      <c r="H2280" s="48"/>
      <c r="I2280" s="49"/>
    </row>
    <row r="2281" ht="22.5" customHeight="1">
      <c r="A2281" s="42"/>
      <c r="B2281" s="47"/>
      <c r="C2281" s="46"/>
      <c r="D2281" s="47"/>
      <c r="E2281" s="46"/>
      <c r="F2281" s="47"/>
      <c r="G2281" s="46"/>
      <c r="H2281" s="50"/>
      <c r="I2281" s="51"/>
    </row>
    <row r="2282" ht="22.5" customHeight="1">
      <c r="A2282" s="42"/>
      <c r="B2282" s="47"/>
      <c r="C2282" s="46"/>
      <c r="D2282" s="47"/>
      <c r="E2282" s="46"/>
      <c r="F2282" s="47"/>
      <c r="G2282" s="46"/>
      <c r="H2282" s="48"/>
      <c r="I2282" s="49"/>
    </row>
    <row r="2283" ht="22.5" customHeight="1">
      <c r="A2283" s="42"/>
      <c r="B2283" s="47"/>
      <c r="C2283" s="46"/>
      <c r="D2283" s="47"/>
      <c r="E2283" s="46"/>
      <c r="F2283" s="47"/>
      <c r="G2283" s="46"/>
      <c r="H2283" s="50"/>
      <c r="I2283" s="51"/>
    </row>
    <row r="2284" ht="22.5" customHeight="1">
      <c r="A2284" s="42"/>
      <c r="B2284" s="47"/>
      <c r="C2284" s="46"/>
      <c r="D2284" s="47"/>
      <c r="E2284" s="46"/>
      <c r="F2284" s="47"/>
      <c r="G2284" s="46"/>
      <c r="H2284" s="48"/>
      <c r="I2284" s="49"/>
    </row>
    <row r="2285" ht="22.5" customHeight="1">
      <c r="A2285" s="42"/>
      <c r="B2285" s="47"/>
      <c r="C2285" s="46"/>
      <c r="D2285" s="47"/>
      <c r="E2285" s="46"/>
      <c r="F2285" s="47"/>
      <c r="G2285" s="46"/>
      <c r="H2285" s="50"/>
      <c r="I2285" s="51"/>
    </row>
    <row r="2286" ht="22.5" customHeight="1">
      <c r="A2286" s="42"/>
      <c r="B2286" s="47"/>
      <c r="C2286" s="46"/>
      <c r="D2286" s="47"/>
      <c r="E2286" s="46"/>
      <c r="F2286" s="47"/>
      <c r="G2286" s="46"/>
      <c r="H2286" s="48"/>
      <c r="I2286" s="49"/>
    </row>
    <row r="2287" ht="22.5" customHeight="1">
      <c r="A2287" s="42"/>
      <c r="B2287" s="47"/>
      <c r="C2287" s="46"/>
      <c r="D2287" s="47"/>
      <c r="E2287" s="46"/>
      <c r="F2287" s="47"/>
      <c r="G2287" s="46"/>
      <c r="H2287" s="50"/>
      <c r="I2287" s="51"/>
    </row>
    <row r="2288" ht="22.5" customHeight="1">
      <c r="A2288" s="42"/>
      <c r="B2288" s="47"/>
      <c r="C2288" s="46"/>
      <c r="D2288" s="47"/>
      <c r="E2288" s="46"/>
      <c r="F2288" s="47"/>
      <c r="G2288" s="46"/>
      <c r="H2288" s="48"/>
      <c r="I2288" s="49"/>
    </row>
    <row r="2289" ht="22.5" customHeight="1">
      <c r="A2289" s="42"/>
      <c r="B2289" s="47"/>
      <c r="C2289" s="46"/>
      <c r="D2289" s="47"/>
      <c r="E2289" s="46"/>
      <c r="F2289" s="47"/>
      <c r="G2289" s="46"/>
      <c r="H2289" s="50"/>
      <c r="I2289" s="51"/>
    </row>
    <row r="2290" ht="22.5" customHeight="1">
      <c r="A2290" s="42"/>
      <c r="B2290" s="47"/>
      <c r="C2290" s="46"/>
      <c r="D2290" s="47"/>
      <c r="E2290" s="46"/>
      <c r="F2290" s="47"/>
      <c r="G2290" s="46"/>
      <c r="H2290" s="48"/>
      <c r="I2290" s="49"/>
    </row>
    <row r="2291" ht="22.5" customHeight="1">
      <c r="A2291" s="42"/>
      <c r="B2291" s="47"/>
      <c r="C2291" s="46"/>
      <c r="D2291" s="47"/>
      <c r="E2291" s="46"/>
      <c r="F2291" s="47"/>
      <c r="G2291" s="46"/>
      <c r="H2291" s="50"/>
      <c r="I2291" s="51"/>
    </row>
    <row r="2292" ht="22.5" customHeight="1">
      <c r="A2292" s="42"/>
      <c r="B2292" s="47"/>
      <c r="C2292" s="46"/>
      <c r="D2292" s="47"/>
      <c r="E2292" s="46"/>
      <c r="F2292" s="47"/>
      <c r="G2292" s="46"/>
      <c r="H2292" s="48"/>
      <c r="I2292" s="49"/>
    </row>
    <row r="2293" ht="22.5" customHeight="1">
      <c r="A2293" s="42"/>
      <c r="B2293" s="47"/>
      <c r="C2293" s="46"/>
      <c r="D2293" s="47"/>
      <c r="E2293" s="46"/>
      <c r="F2293" s="47"/>
      <c r="G2293" s="46"/>
      <c r="H2293" s="50"/>
      <c r="I2293" s="51"/>
    </row>
    <row r="2294" ht="22.5" customHeight="1">
      <c r="A2294" s="42"/>
      <c r="B2294" s="47"/>
      <c r="C2294" s="46"/>
      <c r="D2294" s="47"/>
      <c r="E2294" s="46"/>
      <c r="F2294" s="47"/>
      <c r="G2294" s="46"/>
      <c r="H2294" s="48"/>
      <c r="I2294" s="49"/>
    </row>
    <row r="2295" ht="22.5" customHeight="1">
      <c r="A2295" s="42"/>
      <c r="B2295" s="47"/>
      <c r="C2295" s="46"/>
      <c r="D2295" s="47"/>
      <c r="E2295" s="46"/>
      <c r="F2295" s="47"/>
      <c r="G2295" s="46"/>
      <c r="H2295" s="50"/>
      <c r="I2295" s="51"/>
    </row>
    <row r="2296" ht="22.5" customHeight="1">
      <c r="A2296" s="42"/>
      <c r="B2296" s="47"/>
      <c r="C2296" s="46"/>
      <c r="D2296" s="47"/>
      <c r="E2296" s="46"/>
      <c r="F2296" s="47"/>
      <c r="G2296" s="46"/>
      <c r="H2296" s="48"/>
      <c r="I2296" s="49"/>
    </row>
    <row r="2297" ht="22.5" customHeight="1">
      <c r="A2297" s="42"/>
      <c r="B2297" s="47"/>
      <c r="C2297" s="46"/>
      <c r="D2297" s="47"/>
      <c r="E2297" s="46"/>
      <c r="F2297" s="47"/>
      <c r="G2297" s="46"/>
      <c r="H2297" s="50"/>
      <c r="I2297" s="51"/>
    </row>
    <row r="2298" ht="22.5" customHeight="1">
      <c r="A2298" s="42"/>
      <c r="B2298" s="47"/>
      <c r="C2298" s="46"/>
      <c r="D2298" s="47"/>
      <c r="E2298" s="46"/>
      <c r="F2298" s="47"/>
      <c r="G2298" s="46"/>
      <c r="H2298" s="48"/>
      <c r="I2298" s="49"/>
    </row>
    <row r="2299" ht="22.5" customHeight="1">
      <c r="A2299" s="42"/>
      <c r="B2299" s="47"/>
      <c r="C2299" s="46"/>
      <c r="D2299" s="47"/>
      <c r="E2299" s="46"/>
      <c r="F2299" s="47"/>
      <c r="G2299" s="46"/>
      <c r="H2299" s="50"/>
      <c r="I2299" s="51"/>
    </row>
    <row r="2300" ht="22.5" customHeight="1">
      <c r="A2300" s="42"/>
      <c r="B2300" s="47"/>
      <c r="C2300" s="46"/>
      <c r="D2300" s="47"/>
      <c r="E2300" s="46"/>
      <c r="F2300" s="47"/>
      <c r="G2300" s="46"/>
      <c r="H2300" s="48"/>
      <c r="I2300" s="49"/>
    </row>
    <row r="2301" ht="22.5" customHeight="1">
      <c r="A2301" s="42"/>
      <c r="B2301" s="47"/>
      <c r="C2301" s="46"/>
      <c r="D2301" s="47"/>
      <c r="E2301" s="46"/>
      <c r="F2301" s="47"/>
      <c r="G2301" s="46"/>
      <c r="H2301" s="50"/>
      <c r="I2301" s="51"/>
    </row>
    <row r="2302" ht="22.5" customHeight="1">
      <c r="A2302" s="42"/>
      <c r="B2302" s="47"/>
      <c r="C2302" s="46"/>
      <c r="D2302" s="47"/>
      <c r="E2302" s="46"/>
      <c r="F2302" s="47"/>
      <c r="G2302" s="46"/>
      <c r="H2302" s="48"/>
      <c r="I2302" s="49"/>
    </row>
    <row r="2303" ht="22.5" customHeight="1">
      <c r="A2303" s="42"/>
      <c r="B2303" s="47"/>
      <c r="C2303" s="46"/>
      <c r="D2303" s="47"/>
      <c r="E2303" s="46"/>
      <c r="F2303" s="47"/>
      <c r="G2303" s="46"/>
      <c r="H2303" s="50"/>
      <c r="I2303" s="51"/>
    </row>
    <row r="2304" ht="22.5" customHeight="1">
      <c r="A2304" s="42"/>
      <c r="B2304" s="47"/>
      <c r="C2304" s="46"/>
      <c r="D2304" s="47"/>
      <c r="E2304" s="46"/>
      <c r="F2304" s="47"/>
      <c r="G2304" s="46"/>
      <c r="H2304" s="48"/>
      <c r="I2304" s="49"/>
    </row>
    <row r="2305" ht="22.5" customHeight="1">
      <c r="A2305" s="42"/>
      <c r="B2305" s="47"/>
      <c r="C2305" s="46"/>
      <c r="D2305" s="47"/>
      <c r="E2305" s="46"/>
      <c r="F2305" s="47"/>
      <c r="G2305" s="46"/>
      <c r="H2305" s="50"/>
      <c r="I2305" s="51"/>
    </row>
    <row r="2306" ht="22.5" customHeight="1">
      <c r="A2306" s="42"/>
      <c r="B2306" s="47"/>
      <c r="C2306" s="46"/>
      <c r="D2306" s="47"/>
      <c r="E2306" s="46"/>
      <c r="F2306" s="47"/>
      <c r="G2306" s="46"/>
      <c r="H2306" s="48"/>
      <c r="I2306" s="49"/>
    </row>
    <row r="2307" ht="22.5" customHeight="1">
      <c r="A2307" s="42"/>
      <c r="B2307" s="47"/>
      <c r="C2307" s="46"/>
      <c r="D2307" s="47"/>
      <c r="E2307" s="46"/>
      <c r="F2307" s="47"/>
      <c r="G2307" s="46"/>
      <c r="H2307" s="50"/>
      <c r="I2307" s="51"/>
    </row>
    <row r="2308" ht="22.5" customHeight="1">
      <c r="A2308" s="42"/>
      <c r="B2308" s="47"/>
      <c r="C2308" s="46"/>
      <c r="D2308" s="47"/>
      <c r="E2308" s="46"/>
      <c r="F2308" s="47"/>
      <c r="G2308" s="46"/>
      <c r="H2308" s="48"/>
      <c r="I2308" s="49"/>
    </row>
    <row r="2309" ht="22.5" customHeight="1">
      <c r="A2309" s="42"/>
      <c r="B2309" s="47"/>
      <c r="C2309" s="46"/>
      <c r="D2309" s="47"/>
      <c r="E2309" s="46"/>
      <c r="F2309" s="47"/>
      <c r="G2309" s="46"/>
      <c r="H2309" s="50"/>
      <c r="I2309" s="51"/>
    </row>
    <row r="2310" ht="22.5" customHeight="1">
      <c r="A2310" s="42"/>
      <c r="B2310" s="47"/>
      <c r="C2310" s="46"/>
      <c r="D2310" s="47"/>
      <c r="E2310" s="46"/>
      <c r="F2310" s="47"/>
      <c r="G2310" s="46"/>
      <c r="H2310" s="48"/>
      <c r="I2310" s="49"/>
    </row>
    <row r="2311" ht="22.5" customHeight="1">
      <c r="A2311" s="42"/>
      <c r="B2311" s="47"/>
      <c r="C2311" s="46"/>
      <c r="D2311" s="47"/>
      <c r="E2311" s="46"/>
      <c r="F2311" s="47"/>
      <c r="G2311" s="46"/>
      <c r="H2311" s="50"/>
      <c r="I2311" s="51"/>
    </row>
    <row r="2312" ht="22.5" customHeight="1">
      <c r="A2312" s="42"/>
      <c r="B2312" s="47"/>
      <c r="C2312" s="46"/>
      <c r="D2312" s="47"/>
      <c r="E2312" s="46"/>
      <c r="F2312" s="47"/>
      <c r="G2312" s="46"/>
      <c r="H2312" s="48"/>
      <c r="I2312" s="49"/>
    </row>
    <row r="2313" ht="22.5" customHeight="1">
      <c r="A2313" s="42"/>
      <c r="B2313" s="47"/>
      <c r="C2313" s="46"/>
      <c r="D2313" s="47"/>
      <c r="E2313" s="46"/>
      <c r="F2313" s="47"/>
      <c r="G2313" s="46"/>
      <c r="H2313" s="50"/>
      <c r="I2313" s="51"/>
    </row>
    <row r="2314" ht="22.5" customHeight="1">
      <c r="A2314" s="42"/>
      <c r="B2314" s="47"/>
      <c r="C2314" s="46"/>
      <c r="D2314" s="47"/>
      <c r="E2314" s="46"/>
      <c r="F2314" s="47"/>
      <c r="G2314" s="46"/>
      <c r="H2314" s="48"/>
      <c r="I2314" s="49"/>
    </row>
    <row r="2315" ht="22.5" customHeight="1">
      <c r="A2315" s="42"/>
      <c r="B2315" s="47"/>
      <c r="C2315" s="46"/>
      <c r="D2315" s="47"/>
      <c r="E2315" s="46"/>
      <c r="F2315" s="47"/>
      <c r="G2315" s="46"/>
      <c r="H2315" s="50"/>
      <c r="I2315" s="51"/>
    </row>
    <row r="2316" ht="22.5" customHeight="1">
      <c r="A2316" s="42"/>
      <c r="B2316" s="47"/>
      <c r="C2316" s="46"/>
      <c r="D2316" s="47"/>
      <c r="E2316" s="46"/>
      <c r="F2316" s="47"/>
      <c r="G2316" s="46"/>
      <c r="H2316" s="48"/>
      <c r="I2316" s="49"/>
    </row>
    <row r="2317" ht="22.5" customHeight="1">
      <c r="A2317" s="42"/>
      <c r="B2317" s="47"/>
      <c r="C2317" s="46"/>
      <c r="D2317" s="47"/>
      <c r="E2317" s="46"/>
      <c r="F2317" s="47"/>
      <c r="G2317" s="46"/>
      <c r="H2317" s="50"/>
      <c r="I2317" s="51"/>
    </row>
    <row r="2318" ht="22.5" customHeight="1">
      <c r="A2318" s="42"/>
      <c r="B2318" s="47"/>
      <c r="C2318" s="46"/>
      <c r="D2318" s="47"/>
      <c r="E2318" s="46"/>
      <c r="F2318" s="47"/>
      <c r="G2318" s="46"/>
      <c r="H2318" s="48"/>
      <c r="I2318" s="49"/>
    </row>
    <row r="2319" ht="22.5" customHeight="1">
      <c r="A2319" s="42"/>
      <c r="B2319" s="47"/>
      <c r="C2319" s="46"/>
      <c r="D2319" s="47"/>
      <c r="E2319" s="46"/>
      <c r="F2319" s="47"/>
      <c r="G2319" s="46"/>
      <c r="H2319" s="50"/>
      <c r="I2319" s="51"/>
    </row>
    <row r="2320" ht="22.5" customHeight="1">
      <c r="A2320" s="42"/>
      <c r="B2320" s="47"/>
      <c r="C2320" s="46"/>
      <c r="D2320" s="47"/>
      <c r="E2320" s="46"/>
      <c r="F2320" s="47"/>
      <c r="G2320" s="46"/>
      <c r="H2320" s="48"/>
      <c r="I2320" s="49"/>
    </row>
    <row r="2321" ht="22.5" customHeight="1">
      <c r="A2321" s="42"/>
      <c r="B2321" s="47"/>
      <c r="C2321" s="46"/>
      <c r="D2321" s="47"/>
      <c r="E2321" s="46"/>
      <c r="F2321" s="47"/>
      <c r="G2321" s="46"/>
      <c r="H2321" s="50"/>
      <c r="I2321" s="51"/>
    </row>
    <row r="2322" ht="22.5" customHeight="1">
      <c r="A2322" s="42"/>
      <c r="B2322" s="47"/>
      <c r="C2322" s="46"/>
      <c r="D2322" s="47"/>
      <c r="E2322" s="46"/>
      <c r="F2322" s="47"/>
      <c r="G2322" s="46"/>
      <c r="H2322" s="48"/>
      <c r="I2322" s="49"/>
    </row>
    <row r="2323" ht="22.5" customHeight="1">
      <c r="A2323" s="42"/>
      <c r="B2323" s="47"/>
      <c r="C2323" s="46"/>
      <c r="D2323" s="47"/>
      <c r="E2323" s="46"/>
      <c r="F2323" s="47"/>
      <c r="G2323" s="46"/>
      <c r="H2323" s="50"/>
      <c r="I2323" s="51"/>
    </row>
    <row r="2324" ht="22.5" customHeight="1">
      <c r="A2324" s="42"/>
      <c r="B2324" s="47"/>
      <c r="C2324" s="46"/>
      <c r="D2324" s="47"/>
      <c r="E2324" s="46"/>
      <c r="F2324" s="47"/>
      <c r="G2324" s="46"/>
      <c r="H2324" s="48"/>
      <c r="I2324" s="49"/>
    </row>
    <row r="2325" ht="22.5" customHeight="1">
      <c r="A2325" s="42"/>
      <c r="B2325" s="47"/>
      <c r="C2325" s="46"/>
      <c r="D2325" s="47"/>
      <c r="E2325" s="46"/>
      <c r="F2325" s="47"/>
      <c r="G2325" s="46"/>
      <c r="H2325" s="50"/>
      <c r="I2325" s="51"/>
    </row>
    <row r="2326" ht="22.5" customHeight="1">
      <c r="A2326" s="42"/>
      <c r="B2326" s="47"/>
      <c r="C2326" s="46"/>
      <c r="D2326" s="47"/>
      <c r="E2326" s="46"/>
      <c r="F2326" s="47"/>
      <c r="G2326" s="46"/>
      <c r="H2326" s="48"/>
      <c r="I2326" s="49"/>
    </row>
    <row r="2327" ht="22.5" customHeight="1">
      <c r="A2327" s="42"/>
      <c r="B2327" s="47"/>
      <c r="C2327" s="46"/>
      <c r="D2327" s="47"/>
      <c r="E2327" s="46"/>
      <c r="F2327" s="47"/>
      <c r="G2327" s="46"/>
      <c r="H2327" s="50"/>
      <c r="I2327" s="51"/>
    </row>
    <row r="2328" ht="22.5" customHeight="1">
      <c r="A2328" s="42"/>
      <c r="B2328" s="47"/>
      <c r="C2328" s="46"/>
      <c r="D2328" s="47"/>
      <c r="E2328" s="46"/>
      <c r="F2328" s="47"/>
      <c r="G2328" s="46"/>
      <c r="H2328" s="48"/>
      <c r="I2328" s="49"/>
    </row>
    <row r="2329" ht="22.5" customHeight="1">
      <c r="A2329" s="42"/>
      <c r="B2329" s="47"/>
      <c r="C2329" s="46"/>
      <c r="D2329" s="47"/>
      <c r="E2329" s="46"/>
      <c r="F2329" s="47"/>
      <c r="G2329" s="46"/>
      <c r="H2329" s="50"/>
      <c r="I2329" s="51"/>
    </row>
    <row r="2330" ht="22.5" customHeight="1">
      <c r="A2330" s="42"/>
      <c r="B2330" s="47"/>
      <c r="C2330" s="46"/>
      <c r="D2330" s="47"/>
      <c r="E2330" s="46"/>
      <c r="F2330" s="47"/>
      <c r="G2330" s="46"/>
      <c r="H2330" s="48"/>
      <c r="I2330" s="49"/>
    </row>
    <row r="2331" ht="22.5" customHeight="1">
      <c r="A2331" s="42"/>
      <c r="B2331" s="47"/>
      <c r="C2331" s="46"/>
      <c r="D2331" s="47"/>
      <c r="E2331" s="46"/>
      <c r="F2331" s="47"/>
      <c r="G2331" s="46"/>
      <c r="H2331" s="50"/>
      <c r="I2331" s="51"/>
    </row>
    <row r="2332" ht="22.5" customHeight="1">
      <c r="A2332" s="42"/>
      <c r="B2332" s="47"/>
      <c r="C2332" s="46"/>
      <c r="D2332" s="47"/>
      <c r="E2332" s="46"/>
      <c r="F2332" s="47"/>
      <c r="G2332" s="46"/>
      <c r="H2332" s="48"/>
      <c r="I2332" s="49"/>
    </row>
    <row r="2333" ht="22.5" customHeight="1">
      <c r="A2333" s="42"/>
      <c r="B2333" s="47"/>
      <c r="C2333" s="46"/>
      <c r="D2333" s="47"/>
      <c r="E2333" s="46"/>
      <c r="F2333" s="47"/>
      <c r="G2333" s="46"/>
      <c r="H2333" s="50"/>
      <c r="I2333" s="51"/>
    </row>
    <row r="2334" ht="22.5" customHeight="1">
      <c r="A2334" s="42"/>
      <c r="B2334" s="47"/>
      <c r="C2334" s="46"/>
      <c r="D2334" s="47"/>
      <c r="E2334" s="46"/>
      <c r="F2334" s="47"/>
      <c r="G2334" s="46"/>
      <c r="H2334" s="48"/>
      <c r="I2334" s="49"/>
    </row>
    <row r="2335" ht="22.5" customHeight="1">
      <c r="A2335" s="42"/>
      <c r="B2335" s="47"/>
      <c r="C2335" s="46"/>
      <c r="D2335" s="47"/>
      <c r="E2335" s="46"/>
      <c r="F2335" s="47"/>
      <c r="G2335" s="46"/>
      <c r="H2335" s="50"/>
      <c r="I2335" s="51"/>
    </row>
    <row r="2336" ht="22.5" customHeight="1">
      <c r="A2336" s="42"/>
      <c r="B2336" s="47"/>
      <c r="C2336" s="46"/>
      <c r="D2336" s="47"/>
      <c r="E2336" s="46"/>
      <c r="F2336" s="47"/>
      <c r="G2336" s="46"/>
      <c r="H2336" s="48"/>
      <c r="I2336" s="49"/>
    </row>
    <row r="2337" ht="22.5" customHeight="1">
      <c r="A2337" s="42"/>
      <c r="B2337" s="47"/>
      <c r="C2337" s="46"/>
      <c r="D2337" s="47"/>
      <c r="E2337" s="46"/>
      <c r="F2337" s="47"/>
      <c r="G2337" s="46"/>
      <c r="H2337" s="50"/>
      <c r="I2337" s="51"/>
    </row>
    <row r="2338" ht="22.5" customHeight="1">
      <c r="A2338" s="42"/>
      <c r="B2338" s="47"/>
      <c r="C2338" s="46"/>
      <c r="D2338" s="47"/>
      <c r="E2338" s="46"/>
      <c r="F2338" s="47"/>
      <c r="G2338" s="46"/>
      <c r="H2338" s="48"/>
      <c r="I2338" s="49"/>
    </row>
    <row r="2339" ht="22.5" customHeight="1">
      <c r="A2339" s="42"/>
      <c r="B2339" s="47"/>
      <c r="C2339" s="46"/>
      <c r="D2339" s="47"/>
      <c r="E2339" s="46"/>
      <c r="F2339" s="47"/>
      <c r="G2339" s="46"/>
      <c r="H2339" s="50"/>
      <c r="I2339" s="51"/>
    </row>
    <row r="2340" ht="22.5" customHeight="1">
      <c r="A2340" s="42"/>
      <c r="B2340" s="47"/>
      <c r="C2340" s="46"/>
      <c r="D2340" s="47"/>
      <c r="E2340" s="46"/>
      <c r="F2340" s="47"/>
      <c r="G2340" s="46"/>
      <c r="H2340" s="48"/>
      <c r="I2340" s="49"/>
    </row>
    <row r="2341" ht="22.5" customHeight="1">
      <c r="A2341" s="42"/>
      <c r="B2341" s="47"/>
      <c r="C2341" s="46"/>
      <c r="D2341" s="47"/>
      <c r="E2341" s="46"/>
      <c r="F2341" s="47"/>
      <c r="G2341" s="46"/>
      <c r="H2341" s="50"/>
      <c r="I2341" s="51"/>
    </row>
    <row r="2342" ht="22.5" customHeight="1">
      <c r="A2342" s="42"/>
      <c r="B2342" s="47"/>
      <c r="C2342" s="46"/>
      <c r="D2342" s="47"/>
      <c r="E2342" s="46"/>
      <c r="F2342" s="47"/>
      <c r="G2342" s="46"/>
      <c r="H2342" s="48"/>
      <c r="I2342" s="49"/>
    </row>
    <row r="2343" ht="22.5" customHeight="1">
      <c r="A2343" s="42"/>
      <c r="B2343" s="47"/>
      <c r="C2343" s="46"/>
      <c r="D2343" s="47"/>
      <c r="E2343" s="46"/>
      <c r="F2343" s="47"/>
      <c r="G2343" s="46"/>
      <c r="H2343" s="50"/>
      <c r="I2343" s="51"/>
    </row>
    <row r="2344" ht="22.5" customHeight="1">
      <c r="A2344" s="42"/>
      <c r="B2344" s="47"/>
      <c r="C2344" s="46"/>
      <c r="D2344" s="47"/>
      <c r="E2344" s="46"/>
      <c r="F2344" s="47"/>
      <c r="G2344" s="46"/>
      <c r="H2344" s="48"/>
      <c r="I2344" s="49"/>
    </row>
    <row r="2345" ht="22.5" customHeight="1">
      <c r="A2345" s="42"/>
      <c r="B2345" s="47"/>
      <c r="C2345" s="46"/>
      <c r="D2345" s="47"/>
      <c r="E2345" s="46"/>
      <c r="F2345" s="47"/>
      <c r="G2345" s="46"/>
      <c r="H2345" s="50"/>
      <c r="I2345" s="51"/>
    </row>
    <row r="2346" ht="22.5" customHeight="1">
      <c r="A2346" s="42"/>
      <c r="B2346" s="47"/>
      <c r="C2346" s="46"/>
      <c r="D2346" s="47"/>
      <c r="E2346" s="46"/>
      <c r="F2346" s="47"/>
      <c r="G2346" s="46"/>
      <c r="H2346" s="48"/>
      <c r="I2346" s="49"/>
    </row>
    <row r="2347" ht="22.5" customHeight="1">
      <c r="A2347" s="42"/>
      <c r="B2347" s="47"/>
      <c r="C2347" s="46"/>
      <c r="D2347" s="47"/>
      <c r="E2347" s="46"/>
      <c r="F2347" s="47"/>
      <c r="G2347" s="46"/>
      <c r="H2347" s="50"/>
      <c r="I2347" s="51"/>
    </row>
    <row r="2348" ht="22.5" customHeight="1">
      <c r="A2348" s="42"/>
      <c r="B2348" s="47"/>
      <c r="C2348" s="46"/>
      <c r="D2348" s="47"/>
      <c r="E2348" s="46"/>
      <c r="F2348" s="47"/>
      <c r="G2348" s="46"/>
      <c r="H2348" s="48"/>
      <c r="I2348" s="49"/>
    </row>
    <row r="2349" ht="22.5" customHeight="1">
      <c r="A2349" s="42"/>
      <c r="B2349" s="47"/>
      <c r="C2349" s="46"/>
      <c r="D2349" s="47"/>
      <c r="E2349" s="46"/>
      <c r="F2349" s="47"/>
      <c r="G2349" s="46"/>
      <c r="H2349" s="50"/>
      <c r="I2349" s="51"/>
    </row>
    <row r="2350" ht="22.5" customHeight="1">
      <c r="A2350" s="42"/>
      <c r="B2350" s="47"/>
      <c r="C2350" s="46"/>
      <c r="D2350" s="47"/>
      <c r="E2350" s="46"/>
      <c r="F2350" s="47"/>
      <c r="G2350" s="46"/>
      <c r="H2350" s="48"/>
      <c r="I2350" s="49"/>
    </row>
    <row r="2351" ht="22.5" customHeight="1">
      <c r="A2351" s="42"/>
      <c r="B2351" s="47"/>
      <c r="C2351" s="46"/>
      <c r="D2351" s="47"/>
      <c r="E2351" s="46"/>
      <c r="F2351" s="47"/>
      <c r="G2351" s="46"/>
      <c r="H2351" s="50"/>
      <c r="I2351" s="51"/>
    </row>
    <row r="2352" ht="22.5" customHeight="1">
      <c r="A2352" s="42"/>
      <c r="B2352" s="47"/>
      <c r="C2352" s="46"/>
      <c r="D2352" s="47"/>
      <c r="E2352" s="46"/>
      <c r="F2352" s="47"/>
      <c r="G2352" s="46"/>
      <c r="H2352" s="48"/>
      <c r="I2352" s="49"/>
    </row>
    <row r="2353" ht="22.5" customHeight="1">
      <c r="A2353" s="42"/>
      <c r="B2353" s="47"/>
      <c r="C2353" s="46"/>
      <c r="D2353" s="47"/>
      <c r="E2353" s="46"/>
      <c r="F2353" s="47"/>
      <c r="G2353" s="46"/>
      <c r="H2353" s="50"/>
      <c r="I2353" s="51"/>
    </row>
    <row r="2354" ht="22.5" customHeight="1">
      <c r="A2354" s="42"/>
      <c r="B2354" s="47"/>
      <c r="C2354" s="46"/>
      <c r="D2354" s="47"/>
      <c r="E2354" s="46"/>
      <c r="F2354" s="47"/>
      <c r="G2354" s="46"/>
      <c r="H2354" s="48"/>
      <c r="I2354" s="49"/>
    </row>
    <row r="2355" ht="22.5" customHeight="1">
      <c r="A2355" s="42"/>
      <c r="B2355" s="47"/>
      <c r="C2355" s="46"/>
      <c r="D2355" s="47"/>
      <c r="E2355" s="46"/>
      <c r="F2355" s="47"/>
      <c r="G2355" s="46"/>
      <c r="H2355" s="50"/>
      <c r="I2355" s="51"/>
    </row>
    <row r="2356" ht="22.5" customHeight="1">
      <c r="A2356" s="42"/>
      <c r="B2356" s="47"/>
      <c r="C2356" s="46"/>
      <c r="D2356" s="47"/>
      <c r="E2356" s="46"/>
      <c r="F2356" s="47"/>
      <c r="G2356" s="46"/>
      <c r="H2356" s="48"/>
      <c r="I2356" s="49"/>
    </row>
    <row r="2357" ht="22.5" customHeight="1">
      <c r="A2357" s="42"/>
      <c r="B2357" s="47"/>
      <c r="C2357" s="46"/>
      <c r="D2357" s="47"/>
      <c r="E2357" s="46"/>
      <c r="F2357" s="47"/>
      <c r="G2357" s="46"/>
      <c r="H2357" s="50"/>
      <c r="I2357" s="51"/>
    </row>
    <row r="2358" ht="22.5" customHeight="1">
      <c r="A2358" s="42"/>
      <c r="B2358" s="47"/>
      <c r="C2358" s="46"/>
      <c r="D2358" s="47"/>
      <c r="E2358" s="46"/>
      <c r="F2358" s="47"/>
      <c r="G2358" s="46"/>
      <c r="H2358" s="48"/>
      <c r="I2358" s="49"/>
    </row>
    <row r="2359" ht="22.5" customHeight="1">
      <c r="A2359" s="42"/>
      <c r="B2359" s="47"/>
      <c r="C2359" s="46"/>
      <c r="D2359" s="47"/>
      <c r="E2359" s="46"/>
      <c r="F2359" s="47"/>
      <c r="G2359" s="46"/>
      <c r="H2359" s="50"/>
      <c r="I2359" s="51"/>
    </row>
    <row r="2360" ht="22.5" customHeight="1">
      <c r="A2360" s="42"/>
      <c r="B2360" s="47"/>
      <c r="C2360" s="46"/>
      <c r="D2360" s="47"/>
      <c r="E2360" s="46"/>
      <c r="F2360" s="47"/>
      <c r="G2360" s="46"/>
      <c r="H2360" s="48"/>
      <c r="I2360" s="49"/>
    </row>
    <row r="2361" ht="22.5" customHeight="1">
      <c r="A2361" s="42"/>
      <c r="B2361" s="47"/>
      <c r="C2361" s="46"/>
      <c r="D2361" s="47"/>
      <c r="E2361" s="46"/>
      <c r="F2361" s="47"/>
      <c r="G2361" s="46"/>
      <c r="H2361" s="50"/>
      <c r="I2361" s="51"/>
    </row>
    <row r="2362" ht="22.5" customHeight="1">
      <c r="A2362" s="42"/>
      <c r="B2362" s="47"/>
      <c r="C2362" s="46"/>
      <c r="D2362" s="47"/>
      <c r="E2362" s="46"/>
      <c r="F2362" s="47"/>
      <c r="G2362" s="46"/>
      <c r="H2362" s="48"/>
      <c r="I2362" s="49"/>
    </row>
    <row r="2363" ht="22.5" customHeight="1">
      <c r="A2363" s="42"/>
      <c r="B2363" s="47"/>
      <c r="C2363" s="46"/>
      <c r="D2363" s="47"/>
      <c r="E2363" s="46"/>
      <c r="F2363" s="47"/>
      <c r="G2363" s="46"/>
      <c r="H2363" s="50"/>
      <c r="I2363" s="51"/>
    </row>
    <row r="2364" ht="22.5" customHeight="1">
      <c r="A2364" s="42"/>
      <c r="B2364" s="47"/>
      <c r="C2364" s="46"/>
      <c r="D2364" s="47"/>
      <c r="E2364" s="46"/>
      <c r="F2364" s="47"/>
      <c r="G2364" s="46"/>
      <c r="H2364" s="48"/>
      <c r="I2364" s="49"/>
    </row>
    <row r="2365" ht="22.5" customHeight="1">
      <c r="A2365" s="42"/>
      <c r="B2365" s="47"/>
      <c r="C2365" s="46"/>
      <c r="D2365" s="47"/>
      <c r="E2365" s="46"/>
      <c r="F2365" s="47"/>
      <c r="G2365" s="46"/>
      <c r="H2365" s="50"/>
      <c r="I2365" s="51"/>
    </row>
    <row r="2366" ht="22.5" customHeight="1">
      <c r="A2366" s="42"/>
      <c r="B2366" s="47"/>
      <c r="C2366" s="46"/>
      <c r="D2366" s="47"/>
      <c r="E2366" s="46"/>
      <c r="F2366" s="47"/>
      <c r="G2366" s="46"/>
      <c r="H2366" s="48"/>
      <c r="I2366" s="49"/>
    </row>
    <row r="2367" ht="22.5" customHeight="1">
      <c r="A2367" s="42"/>
      <c r="B2367" s="47"/>
      <c r="C2367" s="46"/>
      <c r="D2367" s="47"/>
      <c r="E2367" s="46"/>
      <c r="F2367" s="47"/>
      <c r="G2367" s="46"/>
      <c r="H2367" s="50"/>
      <c r="I2367" s="51"/>
    </row>
    <row r="2368" ht="22.5" customHeight="1">
      <c r="A2368" s="42"/>
      <c r="B2368" s="47"/>
      <c r="C2368" s="46"/>
      <c r="D2368" s="47"/>
      <c r="E2368" s="46"/>
      <c r="F2368" s="47"/>
      <c r="G2368" s="46"/>
      <c r="H2368" s="48"/>
      <c r="I2368" s="49"/>
    </row>
    <row r="2369" ht="22.5" customHeight="1">
      <c r="A2369" s="42"/>
      <c r="B2369" s="47"/>
      <c r="C2369" s="46"/>
      <c r="D2369" s="47"/>
      <c r="E2369" s="46"/>
      <c r="F2369" s="47"/>
      <c r="G2369" s="46"/>
      <c r="H2369" s="50"/>
      <c r="I2369" s="51"/>
    </row>
    <row r="2370" ht="22.5" customHeight="1">
      <c r="A2370" s="42"/>
      <c r="B2370" s="47"/>
      <c r="C2370" s="46"/>
      <c r="D2370" s="47"/>
      <c r="E2370" s="46"/>
      <c r="F2370" s="47"/>
      <c r="G2370" s="46"/>
      <c r="H2370" s="48"/>
      <c r="I2370" s="49"/>
    </row>
    <row r="2371" ht="22.5" customHeight="1">
      <c r="A2371" s="42"/>
      <c r="B2371" s="47"/>
      <c r="C2371" s="46"/>
      <c r="D2371" s="47"/>
      <c r="E2371" s="46"/>
      <c r="F2371" s="47"/>
      <c r="G2371" s="46"/>
      <c r="H2371" s="50"/>
      <c r="I2371" s="51"/>
    </row>
    <row r="2372" ht="22.5" customHeight="1">
      <c r="A2372" s="42"/>
      <c r="B2372" s="47"/>
      <c r="C2372" s="46"/>
      <c r="D2372" s="47"/>
      <c r="E2372" s="46"/>
      <c r="F2372" s="47"/>
      <c r="G2372" s="46"/>
      <c r="H2372" s="48"/>
      <c r="I2372" s="49"/>
    </row>
    <row r="2373" ht="22.5" customHeight="1">
      <c r="A2373" s="42"/>
      <c r="B2373" s="47"/>
      <c r="C2373" s="46"/>
      <c r="D2373" s="47"/>
      <c r="E2373" s="46"/>
      <c r="F2373" s="47"/>
      <c r="G2373" s="46"/>
      <c r="H2373" s="50"/>
      <c r="I2373" s="51"/>
    </row>
    <row r="2374" ht="22.5" customHeight="1">
      <c r="A2374" s="42"/>
      <c r="B2374" s="47"/>
      <c r="C2374" s="46"/>
      <c r="D2374" s="47"/>
      <c r="E2374" s="46"/>
      <c r="F2374" s="47"/>
      <c r="G2374" s="46"/>
      <c r="H2374" s="48"/>
      <c r="I2374" s="49"/>
    </row>
    <row r="2375" ht="22.5" customHeight="1">
      <c r="A2375" s="42"/>
      <c r="B2375" s="47"/>
      <c r="C2375" s="46"/>
      <c r="D2375" s="47"/>
      <c r="E2375" s="46"/>
      <c r="F2375" s="47"/>
      <c r="G2375" s="46"/>
      <c r="H2375" s="50"/>
      <c r="I2375" s="51"/>
    </row>
    <row r="2376" ht="22.5" customHeight="1">
      <c r="A2376" s="42"/>
      <c r="B2376" s="47"/>
      <c r="C2376" s="46"/>
      <c r="D2376" s="47"/>
      <c r="E2376" s="46"/>
      <c r="F2376" s="47"/>
      <c r="G2376" s="46"/>
      <c r="H2376" s="48"/>
      <c r="I2376" s="49"/>
    </row>
    <row r="2377" ht="22.5" customHeight="1">
      <c r="A2377" s="42"/>
      <c r="B2377" s="47"/>
      <c r="C2377" s="46"/>
      <c r="D2377" s="47"/>
      <c r="E2377" s="46"/>
      <c r="F2377" s="47"/>
      <c r="G2377" s="46"/>
      <c r="H2377" s="50"/>
      <c r="I2377" s="51"/>
    </row>
    <row r="2378" ht="22.5" customHeight="1">
      <c r="A2378" s="42"/>
      <c r="B2378" s="47"/>
      <c r="C2378" s="46"/>
      <c r="D2378" s="47"/>
      <c r="E2378" s="46"/>
      <c r="F2378" s="47"/>
      <c r="G2378" s="46"/>
      <c r="H2378" s="48"/>
      <c r="I2378" s="49"/>
    </row>
    <row r="2379" ht="22.5" customHeight="1">
      <c r="A2379" s="42"/>
      <c r="B2379" s="47"/>
      <c r="C2379" s="46"/>
      <c r="D2379" s="47"/>
      <c r="E2379" s="46"/>
      <c r="F2379" s="47"/>
      <c r="G2379" s="46"/>
      <c r="H2379" s="50"/>
      <c r="I2379" s="51"/>
    </row>
    <row r="2380" ht="22.5" customHeight="1">
      <c r="A2380" s="42"/>
      <c r="B2380" s="47"/>
      <c r="C2380" s="46"/>
      <c r="D2380" s="47"/>
      <c r="E2380" s="46"/>
      <c r="F2380" s="47"/>
      <c r="G2380" s="46"/>
      <c r="H2380" s="48"/>
      <c r="I2380" s="49"/>
    </row>
    <row r="2381" ht="22.5" customHeight="1">
      <c r="A2381" s="42"/>
      <c r="B2381" s="47"/>
      <c r="C2381" s="46"/>
      <c r="D2381" s="47"/>
      <c r="E2381" s="46"/>
      <c r="F2381" s="47"/>
      <c r="G2381" s="46"/>
      <c r="H2381" s="50"/>
      <c r="I2381" s="51"/>
    </row>
    <row r="2382" ht="22.5" customHeight="1">
      <c r="A2382" s="42"/>
      <c r="B2382" s="47"/>
      <c r="C2382" s="46"/>
      <c r="D2382" s="47"/>
      <c r="E2382" s="46"/>
      <c r="F2382" s="47"/>
      <c r="G2382" s="46"/>
      <c r="H2382" s="48"/>
      <c r="I2382" s="49"/>
    </row>
    <row r="2383" ht="22.5" customHeight="1">
      <c r="A2383" s="42"/>
      <c r="B2383" s="47"/>
      <c r="C2383" s="46"/>
      <c r="D2383" s="47"/>
      <c r="E2383" s="46"/>
      <c r="F2383" s="47"/>
      <c r="G2383" s="46"/>
      <c r="H2383" s="50"/>
      <c r="I2383" s="51"/>
    </row>
    <row r="2384" ht="22.5" customHeight="1">
      <c r="A2384" s="42"/>
      <c r="B2384" s="47"/>
      <c r="C2384" s="46"/>
      <c r="D2384" s="47"/>
      <c r="E2384" s="46"/>
      <c r="F2384" s="47"/>
      <c r="G2384" s="46"/>
      <c r="H2384" s="48"/>
      <c r="I2384" s="49"/>
    </row>
    <row r="2385" ht="22.5" customHeight="1">
      <c r="A2385" s="42"/>
      <c r="B2385" s="47"/>
      <c r="C2385" s="46"/>
      <c r="D2385" s="47"/>
      <c r="E2385" s="46"/>
      <c r="F2385" s="47"/>
      <c r="G2385" s="46"/>
      <c r="H2385" s="50"/>
      <c r="I2385" s="51"/>
    </row>
    <row r="2386" ht="22.5" customHeight="1">
      <c r="A2386" s="42"/>
      <c r="B2386" s="47"/>
      <c r="C2386" s="46"/>
      <c r="D2386" s="47"/>
      <c r="E2386" s="46"/>
      <c r="F2386" s="47"/>
      <c r="G2386" s="46"/>
      <c r="H2386" s="48"/>
      <c r="I2386" s="49"/>
    </row>
    <row r="2387" ht="22.5" customHeight="1">
      <c r="A2387" s="42"/>
      <c r="B2387" s="47"/>
      <c r="C2387" s="46"/>
      <c r="D2387" s="47"/>
      <c r="E2387" s="46"/>
      <c r="F2387" s="47"/>
      <c r="G2387" s="46"/>
      <c r="H2387" s="50"/>
      <c r="I2387" s="51"/>
    </row>
    <row r="2388" ht="22.5" customHeight="1">
      <c r="A2388" s="42"/>
      <c r="B2388" s="47"/>
      <c r="C2388" s="46"/>
      <c r="D2388" s="47"/>
      <c r="E2388" s="46"/>
      <c r="F2388" s="47"/>
      <c r="G2388" s="46"/>
      <c r="H2388" s="48"/>
      <c r="I2388" s="49"/>
    </row>
    <row r="2389" ht="22.5" customHeight="1">
      <c r="A2389" s="42"/>
      <c r="B2389" s="47"/>
      <c r="C2389" s="46"/>
      <c r="D2389" s="47"/>
      <c r="E2389" s="46"/>
      <c r="F2389" s="47"/>
      <c r="G2389" s="46"/>
      <c r="H2389" s="50"/>
      <c r="I2389" s="51"/>
    </row>
    <row r="2390" ht="22.5" customHeight="1">
      <c r="A2390" s="42"/>
      <c r="B2390" s="47"/>
      <c r="C2390" s="46"/>
      <c r="D2390" s="47"/>
      <c r="E2390" s="46"/>
      <c r="F2390" s="47"/>
      <c r="G2390" s="46"/>
      <c r="H2390" s="48"/>
      <c r="I2390" s="49"/>
    </row>
    <row r="2391" ht="22.5" customHeight="1">
      <c r="A2391" s="42"/>
      <c r="B2391" s="47"/>
      <c r="C2391" s="46"/>
      <c r="D2391" s="47"/>
      <c r="E2391" s="46"/>
      <c r="F2391" s="47"/>
      <c r="G2391" s="46"/>
      <c r="H2391" s="50"/>
      <c r="I2391" s="51"/>
    </row>
    <row r="2392" ht="22.5" customHeight="1">
      <c r="A2392" s="42"/>
      <c r="B2392" s="47"/>
      <c r="C2392" s="46"/>
      <c r="D2392" s="47"/>
      <c r="E2392" s="46"/>
      <c r="F2392" s="47"/>
      <c r="G2392" s="46"/>
      <c r="H2392" s="48"/>
      <c r="I2392" s="49"/>
    </row>
    <row r="2393" ht="22.5" customHeight="1">
      <c r="A2393" s="42"/>
      <c r="B2393" s="47"/>
      <c r="C2393" s="46"/>
      <c r="D2393" s="47"/>
      <c r="E2393" s="46"/>
      <c r="F2393" s="47"/>
      <c r="G2393" s="46"/>
      <c r="H2393" s="50"/>
      <c r="I2393" s="51"/>
    </row>
    <row r="2394" ht="22.5" customHeight="1">
      <c r="A2394" s="42"/>
      <c r="B2394" s="47"/>
      <c r="C2394" s="46"/>
      <c r="D2394" s="47"/>
      <c r="E2394" s="46"/>
      <c r="F2394" s="47"/>
      <c r="G2394" s="46"/>
      <c r="H2394" s="48"/>
      <c r="I2394" s="49"/>
    </row>
    <row r="2395" ht="22.5" customHeight="1">
      <c r="A2395" s="42"/>
      <c r="B2395" s="47"/>
      <c r="C2395" s="46"/>
      <c r="D2395" s="47"/>
      <c r="E2395" s="46"/>
      <c r="F2395" s="47"/>
      <c r="G2395" s="46"/>
      <c r="H2395" s="50"/>
      <c r="I2395" s="51"/>
    </row>
    <row r="2396" ht="22.5" customHeight="1">
      <c r="A2396" s="42"/>
      <c r="B2396" s="47"/>
      <c r="C2396" s="46"/>
      <c r="D2396" s="47"/>
      <c r="E2396" s="46"/>
      <c r="F2396" s="47"/>
      <c r="G2396" s="46"/>
      <c r="H2396" s="48"/>
      <c r="I2396" s="49"/>
    </row>
    <row r="2397" ht="22.5" customHeight="1">
      <c r="A2397" s="42"/>
      <c r="B2397" s="47"/>
      <c r="C2397" s="46"/>
      <c r="D2397" s="47"/>
      <c r="E2397" s="46"/>
      <c r="F2397" s="47"/>
      <c r="G2397" s="46"/>
      <c r="H2397" s="50"/>
      <c r="I2397" s="51"/>
    </row>
    <row r="2398" ht="22.5" customHeight="1">
      <c r="A2398" s="42"/>
      <c r="B2398" s="47"/>
      <c r="C2398" s="46"/>
      <c r="D2398" s="47"/>
      <c r="E2398" s="46"/>
      <c r="F2398" s="47"/>
      <c r="G2398" s="46"/>
      <c r="H2398" s="48"/>
      <c r="I2398" s="49"/>
    </row>
    <row r="2399" ht="22.5" customHeight="1">
      <c r="A2399" s="42"/>
      <c r="B2399" s="47"/>
      <c r="C2399" s="46"/>
      <c r="D2399" s="47"/>
      <c r="E2399" s="46"/>
      <c r="F2399" s="47"/>
      <c r="G2399" s="46"/>
      <c r="H2399" s="50"/>
      <c r="I2399" s="51"/>
    </row>
    <row r="2400" ht="22.5" customHeight="1">
      <c r="A2400" s="42"/>
      <c r="B2400" s="47"/>
      <c r="C2400" s="46"/>
      <c r="D2400" s="47"/>
      <c r="E2400" s="46"/>
      <c r="F2400" s="47"/>
      <c r="G2400" s="46"/>
      <c r="H2400" s="48"/>
      <c r="I2400" s="49"/>
    </row>
    <row r="2401" ht="22.5" customHeight="1">
      <c r="A2401" s="42"/>
      <c r="B2401" s="47"/>
      <c r="C2401" s="46"/>
      <c r="D2401" s="47"/>
      <c r="E2401" s="46"/>
      <c r="F2401" s="47"/>
      <c r="G2401" s="46"/>
      <c r="H2401" s="50"/>
      <c r="I2401" s="51"/>
    </row>
    <row r="2402" ht="22.5" customHeight="1">
      <c r="A2402" s="42"/>
      <c r="B2402" s="47"/>
      <c r="C2402" s="46"/>
      <c r="D2402" s="47"/>
      <c r="E2402" s="46"/>
      <c r="F2402" s="47"/>
      <c r="G2402" s="46"/>
      <c r="H2402" s="48"/>
      <c r="I2402" s="49"/>
    </row>
    <row r="2403" ht="22.5" customHeight="1">
      <c r="A2403" s="42"/>
      <c r="B2403" s="47"/>
      <c r="C2403" s="46"/>
      <c r="D2403" s="47"/>
      <c r="E2403" s="46"/>
      <c r="F2403" s="47"/>
      <c r="G2403" s="46"/>
      <c r="H2403" s="50"/>
      <c r="I2403" s="51"/>
    </row>
    <row r="2404" ht="22.5" customHeight="1">
      <c r="A2404" s="42"/>
      <c r="B2404" s="47"/>
      <c r="C2404" s="46"/>
      <c r="D2404" s="47"/>
      <c r="E2404" s="46"/>
      <c r="F2404" s="47"/>
      <c r="G2404" s="46"/>
      <c r="H2404" s="48"/>
      <c r="I2404" s="49"/>
    </row>
    <row r="2405" ht="22.5" customHeight="1">
      <c r="A2405" s="42"/>
      <c r="B2405" s="47"/>
      <c r="C2405" s="46"/>
      <c r="D2405" s="47"/>
      <c r="E2405" s="46"/>
      <c r="F2405" s="47"/>
      <c r="G2405" s="46"/>
      <c r="H2405" s="50"/>
      <c r="I2405" s="51"/>
    </row>
    <row r="2406" ht="22.5" customHeight="1">
      <c r="A2406" s="42"/>
      <c r="B2406" s="47"/>
      <c r="C2406" s="46"/>
      <c r="D2406" s="47"/>
      <c r="E2406" s="46"/>
      <c r="F2406" s="47"/>
      <c r="G2406" s="46"/>
      <c r="H2406" s="48"/>
      <c r="I2406" s="49"/>
    </row>
    <row r="2407" ht="22.5" customHeight="1">
      <c r="A2407" s="42"/>
      <c r="B2407" s="47"/>
      <c r="C2407" s="46"/>
      <c r="D2407" s="47"/>
      <c r="E2407" s="46"/>
      <c r="F2407" s="47"/>
      <c r="G2407" s="46"/>
      <c r="H2407" s="50"/>
      <c r="I2407" s="51"/>
    </row>
    <row r="2408" ht="22.5" customHeight="1">
      <c r="A2408" s="42"/>
      <c r="B2408" s="47"/>
      <c r="C2408" s="46"/>
      <c r="D2408" s="47"/>
      <c r="E2408" s="46"/>
      <c r="F2408" s="47"/>
      <c r="G2408" s="46"/>
      <c r="H2408" s="48"/>
      <c r="I2408" s="49"/>
    </row>
    <row r="2409" ht="22.5" customHeight="1">
      <c r="A2409" s="42"/>
      <c r="B2409" s="47"/>
      <c r="C2409" s="46"/>
      <c r="D2409" s="47"/>
      <c r="E2409" s="46"/>
      <c r="F2409" s="47"/>
      <c r="G2409" s="46"/>
      <c r="H2409" s="50"/>
      <c r="I2409" s="51"/>
    </row>
    <row r="2410" ht="22.5" customHeight="1">
      <c r="A2410" s="42"/>
      <c r="B2410" s="47"/>
      <c r="C2410" s="46"/>
      <c r="D2410" s="47"/>
      <c r="E2410" s="46"/>
      <c r="F2410" s="47"/>
      <c r="G2410" s="46"/>
      <c r="H2410" s="48"/>
      <c r="I2410" s="49"/>
    </row>
    <row r="2411" ht="22.5" customHeight="1">
      <c r="A2411" s="42"/>
      <c r="B2411" s="47"/>
      <c r="C2411" s="46"/>
      <c r="D2411" s="47"/>
      <c r="E2411" s="46"/>
      <c r="F2411" s="47"/>
      <c r="G2411" s="46"/>
      <c r="H2411" s="50"/>
      <c r="I2411" s="51"/>
    </row>
    <row r="2412" ht="22.5" customHeight="1">
      <c r="A2412" s="42"/>
      <c r="B2412" s="47"/>
      <c r="C2412" s="46"/>
      <c r="D2412" s="47"/>
      <c r="E2412" s="46"/>
      <c r="F2412" s="47"/>
      <c r="G2412" s="46"/>
      <c r="H2412" s="48"/>
      <c r="I2412" s="49"/>
    </row>
    <row r="2413" ht="22.5" customHeight="1">
      <c r="A2413" s="42"/>
      <c r="B2413" s="47"/>
      <c r="C2413" s="46"/>
      <c r="D2413" s="47"/>
      <c r="E2413" s="46"/>
      <c r="F2413" s="47"/>
      <c r="G2413" s="46"/>
      <c r="H2413" s="50"/>
      <c r="I2413" s="51"/>
    </row>
    <row r="2414" ht="22.5" customHeight="1">
      <c r="A2414" s="42"/>
      <c r="B2414" s="47"/>
      <c r="C2414" s="46"/>
      <c r="D2414" s="47"/>
      <c r="E2414" s="46"/>
      <c r="F2414" s="47"/>
      <c r="G2414" s="46"/>
      <c r="H2414" s="48"/>
      <c r="I2414" s="49"/>
    </row>
    <row r="2415" ht="22.5" customHeight="1">
      <c r="A2415" s="42"/>
      <c r="B2415" s="47"/>
      <c r="C2415" s="46"/>
      <c r="D2415" s="47"/>
      <c r="E2415" s="46"/>
      <c r="F2415" s="47"/>
      <c r="G2415" s="46"/>
      <c r="H2415" s="50"/>
      <c r="I2415" s="51"/>
    </row>
    <row r="2416" ht="22.5" customHeight="1">
      <c r="A2416" s="42"/>
      <c r="B2416" s="47"/>
      <c r="C2416" s="46"/>
      <c r="D2416" s="47"/>
      <c r="E2416" s="46"/>
      <c r="F2416" s="47"/>
      <c r="G2416" s="46"/>
      <c r="H2416" s="48"/>
      <c r="I2416" s="49"/>
    </row>
    <row r="2417" ht="22.5" customHeight="1">
      <c r="A2417" s="42"/>
      <c r="B2417" s="47"/>
      <c r="C2417" s="46"/>
      <c r="D2417" s="47"/>
      <c r="E2417" s="46"/>
      <c r="F2417" s="47"/>
      <c r="G2417" s="46"/>
      <c r="H2417" s="50"/>
      <c r="I2417" s="51"/>
    </row>
    <row r="2418" ht="22.5" customHeight="1">
      <c r="A2418" s="42"/>
      <c r="B2418" s="47"/>
      <c r="C2418" s="46"/>
      <c r="D2418" s="47"/>
      <c r="E2418" s="46"/>
      <c r="F2418" s="47"/>
      <c r="G2418" s="46"/>
      <c r="H2418" s="48"/>
      <c r="I2418" s="49"/>
    </row>
    <row r="2419" ht="22.5" customHeight="1">
      <c r="A2419" s="42"/>
      <c r="B2419" s="47"/>
      <c r="C2419" s="46"/>
      <c r="D2419" s="47"/>
      <c r="E2419" s="46"/>
      <c r="F2419" s="47"/>
      <c r="G2419" s="46"/>
      <c r="H2419" s="50"/>
      <c r="I2419" s="51"/>
    </row>
    <row r="2420" ht="22.5" customHeight="1">
      <c r="A2420" s="42"/>
      <c r="B2420" s="47"/>
      <c r="C2420" s="46"/>
      <c r="D2420" s="47"/>
      <c r="E2420" s="46"/>
      <c r="F2420" s="47"/>
      <c r="G2420" s="46"/>
      <c r="H2420" s="48"/>
      <c r="I2420" s="49"/>
    </row>
    <row r="2421" ht="22.5" customHeight="1">
      <c r="A2421" s="42"/>
      <c r="B2421" s="47"/>
      <c r="C2421" s="46"/>
      <c r="D2421" s="47"/>
      <c r="E2421" s="46"/>
      <c r="F2421" s="47"/>
      <c r="G2421" s="46"/>
      <c r="H2421" s="50"/>
      <c r="I2421" s="51"/>
    </row>
    <row r="2422" ht="22.5" customHeight="1">
      <c r="A2422" s="42"/>
      <c r="B2422" s="47"/>
      <c r="C2422" s="46"/>
      <c r="D2422" s="47"/>
      <c r="E2422" s="46"/>
      <c r="F2422" s="47"/>
      <c r="G2422" s="46"/>
      <c r="H2422" s="48"/>
      <c r="I2422" s="49"/>
    </row>
    <row r="2423" ht="22.5" customHeight="1">
      <c r="A2423" s="42"/>
      <c r="B2423" s="47"/>
      <c r="C2423" s="46"/>
      <c r="D2423" s="47"/>
      <c r="E2423" s="46"/>
      <c r="F2423" s="47"/>
      <c r="G2423" s="46"/>
      <c r="H2423" s="50"/>
      <c r="I2423" s="51"/>
    </row>
    <row r="2424" ht="22.5" customHeight="1">
      <c r="A2424" s="42"/>
      <c r="B2424" s="47"/>
      <c r="C2424" s="46"/>
      <c r="D2424" s="47"/>
      <c r="E2424" s="46"/>
      <c r="F2424" s="47"/>
      <c r="G2424" s="46"/>
      <c r="H2424" s="48"/>
      <c r="I2424" s="49"/>
    </row>
    <row r="2425" ht="22.5" customHeight="1">
      <c r="A2425" s="42"/>
      <c r="B2425" s="47"/>
      <c r="C2425" s="46"/>
      <c r="D2425" s="47"/>
      <c r="E2425" s="46"/>
      <c r="F2425" s="47"/>
      <c r="G2425" s="46"/>
      <c r="H2425" s="50"/>
      <c r="I2425" s="51"/>
    </row>
    <row r="2426" ht="22.5" customHeight="1">
      <c r="A2426" s="42"/>
      <c r="B2426" s="47"/>
      <c r="C2426" s="46"/>
      <c r="D2426" s="47"/>
      <c r="E2426" s="46"/>
      <c r="F2426" s="47"/>
      <c r="G2426" s="46"/>
      <c r="H2426" s="48"/>
      <c r="I2426" s="49"/>
    </row>
    <row r="2427" ht="22.5" customHeight="1">
      <c r="A2427" s="42"/>
      <c r="B2427" s="47"/>
      <c r="C2427" s="46"/>
      <c r="D2427" s="47"/>
      <c r="E2427" s="46"/>
      <c r="F2427" s="47"/>
      <c r="G2427" s="46"/>
      <c r="H2427" s="50"/>
      <c r="I2427" s="51"/>
    </row>
    <row r="2428" ht="22.5" customHeight="1">
      <c r="A2428" s="42"/>
      <c r="B2428" s="47"/>
      <c r="C2428" s="46"/>
      <c r="D2428" s="47"/>
      <c r="E2428" s="46"/>
      <c r="F2428" s="47"/>
      <c r="G2428" s="46"/>
      <c r="H2428" s="48"/>
      <c r="I2428" s="49"/>
    </row>
    <row r="2429" ht="22.5" customHeight="1">
      <c r="A2429" s="42"/>
      <c r="B2429" s="47"/>
      <c r="C2429" s="46"/>
      <c r="D2429" s="47"/>
      <c r="E2429" s="46"/>
      <c r="F2429" s="47"/>
      <c r="G2429" s="46"/>
      <c r="H2429" s="50"/>
      <c r="I2429" s="51"/>
    </row>
    <row r="2430" ht="22.5" customHeight="1">
      <c r="A2430" s="42"/>
      <c r="B2430" s="47"/>
      <c r="C2430" s="46"/>
      <c r="D2430" s="47"/>
      <c r="E2430" s="46"/>
      <c r="F2430" s="47"/>
      <c r="G2430" s="46"/>
      <c r="H2430" s="48"/>
      <c r="I2430" s="49"/>
    </row>
    <row r="2431" ht="22.5" customHeight="1">
      <c r="A2431" s="42"/>
      <c r="B2431" s="47"/>
      <c r="C2431" s="46"/>
      <c r="D2431" s="47"/>
      <c r="E2431" s="46"/>
      <c r="F2431" s="47"/>
      <c r="G2431" s="46"/>
      <c r="H2431" s="50"/>
      <c r="I2431" s="51"/>
    </row>
    <row r="2432" ht="22.5" customHeight="1">
      <c r="A2432" s="42"/>
      <c r="B2432" s="47"/>
      <c r="C2432" s="46"/>
      <c r="D2432" s="47"/>
      <c r="E2432" s="46"/>
      <c r="F2432" s="47"/>
      <c r="G2432" s="46"/>
      <c r="H2432" s="48"/>
      <c r="I2432" s="49"/>
    </row>
    <row r="2433" ht="22.5" customHeight="1">
      <c r="A2433" s="42"/>
      <c r="B2433" s="47"/>
      <c r="C2433" s="46"/>
      <c r="D2433" s="47"/>
      <c r="E2433" s="46"/>
      <c r="F2433" s="47"/>
      <c r="G2433" s="46"/>
      <c r="H2433" s="50"/>
      <c r="I2433" s="51"/>
    </row>
    <row r="2434" ht="22.5" customHeight="1">
      <c r="A2434" s="42"/>
      <c r="B2434" s="47"/>
      <c r="C2434" s="46"/>
      <c r="D2434" s="47"/>
      <c r="E2434" s="46"/>
      <c r="F2434" s="47"/>
      <c r="G2434" s="46"/>
      <c r="H2434" s="48"/>
      <c r="I2434" s="49"/>
    </row>
    <row r="2435" ht="22.5" customHeight="1">
      <c r="A2435" s="42"/>
      <c r="B2435" s="47"/>
      <c r="C2435" s="46"/>
      <c r="D2435" s="47"/>
      <c r="E2435" s="46"/>
      <c r="F2435" s="47"/>
      <c r="G2435" s="46"/>
      <c r="H2435" s="50"/>
      <c r="I2435" s="51"/>
    </row>
    <row r="2436" ht="22.5" customHeight="1">
      <c r="A2436" s="42"/>
      <c r="B2436" s="47"/>
      <c r="C2436" s="46"/>
      <c r="D2436" s="47"/>
      <c r="E2436" s="46"/>
      <c r="F2436" s="47"/>
      <c r="G2436" s="46"/>
      <c r="H2436" s="48"/>
      <c r="I2436" s="49"/>
    </row>
    <row r="2437" ht="22.5" customHeight="1">
      <c r="A2437" s="42"/>
      <c r="B2437" s="47"/>
      <c r="C2437" s="46"/>
      <c r="D2437" s="47"/>
      <c r="E2437" s="46"/>
      <c r="F2437" s="47"/>
      <c r="G2437" s="46"/>
      <c r="H2437" s="50"/>
      <c r="I2437" s="51"/>
    </row>
    <row r="2438" ht="22.5" customHeight="1">
      <c r="A2438" s="42"/>
      <c r="B2438" s="47"/>
      <c r="C2438" s="46"/>
      <c r="D2438" s="47"/>
      <c r="E2438" s="46"/>
      <c r="F2438" s="47"/>
      <c r="G2438" s="46"/>
      <c r="H2438" s="48"/>
      <c r="I2438" s="49"/>
    </row>
    <row r="2439" ht="22.5" customHeight="1">
      <c r="A2439" s="42"/>
      <c r="B2439" s="47"/>
      <c r="C2439" s="46"/>
      <c r="D2439" s="47"/>
      <c r="E2439" s="46"/>
      <c r="F2439" s="47"/>
      <c r="G2439" s="46"/>
      <c r="H2439" s="50"/>
      <c r="I2439" s="51"/>
    </row>
    <row r="2440" ht="22.5" customHeight="1">
      <c r="A2440" s="42"/>
      <c r="B2440" s="47"/>
      <c r="C2440" s="46"/>
      <c r="D2440" s="47"/>
      <c r="E2440" s="46"/>
      <c r="F2440" s="47"/>
      <c r="G2440" s="46"/>
      <c r="H2440" s="48"/>
      <c r="I2440" s="49"/>
    </row>
    <row r="2441" ht="22.5" customHeight="1">
      <c r="A2441" s="42"/>
      <c r="B2441" s="47"/>
      <c r="C2441" s="46"/>
      <c r="D2441" s="47"/>
      <c r="E2441" s="46"/>
      <c r="F2441" s="47"/>
      <c r="G2441" s="46"/>
      <c r="H2441" s="50"/>
      <c r="I2441" s="51"/>
    </row>
    <row r="2442" ht="22.5" customHeight="1">
      <c r="A2442" s="42"/>
      <c r="B2442" s="47"/>
      <c r="C2442" s="46"/>
      <c r="D2442" s="47"/>
      <c r="E2442" s="46"/>
      <c r="F2442" s="47"/>
      <c r="G2442" s="46"/>
      <c r="H2442" s="48"/>
      <c r="I2442" s="49"/>
    </row>
    <row r="2443" ht="22.5" customHeight="1">
      <c r="A2443" s="42"/>
      <c r="B2443" s="47"/>
      <c r="C2443" s="46"/>
      <c r="D2443" s="47"/>
      <c r="E2443" s="46"/>
      <c r="F2443" s="47"/>
      <c r="G2443" s="46"/>
      <c r="H2443" s="50"/>
      <c r="I2443" s="51"/>
    </row>
    <row r="2444" ht="22.5" customHeight="1">
      <c r="A2444" s="42"/>
      <c r="B2444" s="47"/>
      <c r="C2444" s="46"/>
      <c r="D2444" s="47"/>
      <c r="E2444" s="46"/>
      <c r="F2444" s="47"/>
      <c r="G2444" s="46"/>
      <c r="H2444" s="48"/>
      <c r="I2444" s="49"/>
    </row>
    <row r="2445" ht="22.5" customHeight="1">
      <c r="A2445" s="42"/>
      <c r="B2445" s="47"/>
      <c r="C2445" s="46"/>
      <c r="D2445" s="47"/>
      <c r="E2445" s="46"/>
      <c r="F2445" s="47"/>
      <c r="G2445" s="46"/>
      <c r="H2445" s="50"/>
      <c r="I2445" s="51"/>
    </row>
    <row r="2446" ht="22.5" customHeight="1">
      <c r="A2446" s="42"/>
      <c r="B2446" s="47"/>
      <c r="C2446" s="46"/>
      <c r="D2446" s="47"/>
      <c r="E2446" s="46"/>
      <c r="F2446" s="47"/>
      <c r="G2446" s="46"/>
      <c r="H2446" s="48"/>
      <c r="I2446" s="49"/>
    </row>
    <row r="2447" ht="22.5" customHeight="1">
      <c r="A2447" s="42"/>
      <c r="B2447" s="47"/>
      <c r="C2447" s="46"/>
      <c r="D2447" s="47"/>
      <c r="E2447" s="46"/>
      <c r="F2447" s="47"/>
      <c r="G2447" s="46"/>
      <c r="H2447" s="50"/>
      <c r="I2447" s="51"/>
    </row>
    <row r="2448" ht="22.5" customHeight="1">
      <c r="A2448" s="42"/>
      <c r="B2448" s="47"/>
      <c r="C2448" s="46"/>
      <c r="D2448" s="47"/>
      <c r="E2448" s="46"/>
      <c r="F2448" s="47"/>
      <c r="G2448" s="46"/>
      <c r="H2448" s="48"/>
      <c r="I2448" s="49"/>
    </row>
    <row r="2449" ht="22.5" customHeight="1">
      <c r="A2449" s="42"/>
      <c r="B2449" s="47"/>
      <c r="C2449" s="46"/>
      <c r="D2449" s="47"/>
      <c r="E2449" s="46"/>
      <c r="F2449" s="47"/>
      <c r="G2449" s="46"/>
      <c r="H2449" s="50"/>
      <c r="I2449" s="51"/>
    </row>
    <row r="2450" ht="22.5" customHeight="1">
      <c r="A2450" s="42"/>
      <c r="B2450" s="47"/>
      <c r="C2450" s="46"/>
      <c r="D2450" s="47"/>
      <c r="E2450" s="46"/>
      <c r="F2450" s="47"/>
      <c r="G2450" s="46"/>
      <c r="H2450" s="48"/>
      <c r="I2450" s="49"/>
    </row>
    <row r="2451" ht="22.5" customHeight="1">
      <c r="A2451" s="42"/>
      <c r="B2451" s="47"/>
      <c r="C2451" s="46"/>
      <c r="D2451" s="47"/>
      <c r="E2451" s="46"/>
      <c r="F2451" s="47"/>
      <c r="G2451" s="46"/>
      <c r="H2451" s="50"/>
      <c r="I2451" s="51"/>
    </row>
    <row r="2452" ht="22.5" customHeight="1">
      <c r="A2452" s="42"/>
      <c r="B2452" s="47"/>
      <c r="C2452" s="46"/>
      <c r="D2452" s="47"/>
      <c r="E2452" s="46"/>
      <c r="F2452" s="47"/>
      <c r="G2452" s="46"/>
      <c r="H2452" s="48"/>
      <c r="I2452" s="49"/>
    </row>
    <row r="2453" ht="22.5" customHeight="1">
      <c r="A2453" s="42"/>
      <c r="B2453" s="47"/>
      <c r="C2453" s="46"/>
      <c r="D2453" s="47"/>
      <c r="E2453" s="46"/>
      <c r="F2453" s="47"/>
      <c r="G2453" s="46"/>
      <c r="H2453" s="50"/>
      <c r="I2453" s="51"/>
    </row>
    <row r="2454" ht="22.5" customHeight="1">
      <c r="A2454" s="42"/>
      <c r="B2454" s="47"/>
      <c r="C2454" s="46"/>
      <c r="D2454" s="47"/>
      <c r="E2454" s="46"/>
      <c r="F2454" s="47"/>
      <c r="G2454" s="46"/>
      <c r="H2454" s="48"/>
      <c r="I2454" s="49"/>
    </row>
    <row r="2455" ht="22.5" customHeight="1">
      <c r="A2455" s="42"/>
      <c r="B2455" s="47"/>
      <c r="C2455" s="46"/>
      <c r="D2455" s="47"/>
      <c r="E2455" s="46"/>
      <c r="F2455" s="47"/>
      <c r="G2455" s="46"/>
      <c r="H2455" s="50"/>
      <c r="I2455" s="51"/>
    </row>
    <row r="2456" ht="22.5" customHeight="1">
      <c r="A2456" s="42"/>
      <c r="B2456" s="47"/>
      <c r="C2456" s="46"/>
      <c r="D2456" s="47"/>
      <c r="E2456" s="46"/>
      <c r="F2456" s="47"/>
      <c r="G2456" s="46"/>
      <c r="H2456" s="48"/>
      <c r="I2456" s="49"/>
    </row>
    <row r="2457" ht="22.5" customHeight="1">
      <c r="A2457" s="42"/>
      <c r="B2457" s="47"/>
      <c r="C2457" s="46"/>
      <c r="D2457" s="47"/>
      <c r="E2457" s="46"/>
      <c r="F2457" s="47"/>
      <c r="G2457" s="46"/>
      <c r="H2457" s="50"/>
      <c r="I2457" s="51"/>
    </row>
    <row r="2458" ht="22.5" customHeight="1">
      <c r="A2458" s="42"/>
      <c r="B2458" s="47"/>
      <c r="C2458" s="46"/>
      <c r="D2458" s="47"/>
      <c r="E2458" s="46"/>
      <c r="F2458" s="47"/>
      <c r="G2458" s="46"/>
      <c r="H2458" s="48"/>
      <c r="I2458" s="49"/>
    </row>
    <row r="2459" ht="22.5" customHeight="1">
      <c r="A2459" s="42"/>
      <c r="B2459" s="47"/>
      <c r="C2459" s="46"/>
      <c r="D2459" s="47"/>
      <c r="E2459" s="46"/>
      <c r="F2459" s="47"/>
      <c r="G2459" s="46"/>
      <c r="H2459" s="50"/>
      <c r="I2459" s="51"/>
    </row>
    <row r="2460" ht="22.5" customHeight="1">
      <c r="A2460" s="42"/>
      <c r="B2460" s="47"/>
      <c r="C2460" s="46"/>
      <c r="D2460" s="47"/>
      <c r="E2460" s="46"/>
      <c r="F2460" s="47"/>
      <c r="G2460" s="46"/>
      <c r="H2460" s="48"/>
      <c r="I2460" s="49"/>
    </row>
    <row r="2461" ht="22.5" customHeight="1">
      <c r="A2461" s="42"/>
      <c r="B2461" s="47"/>
      <c r="C2461" s="46"/>
      <c r="D2461" s="47"/>
      <c r="E2461" s="46"/>
      <c r="F2461" s="47"/>
      <c r="G2461" s="46"/>
      <c r="H2461" s="50"/>
      <c r="I2461" s="51"/>
    </row>
    <row r="2462" ht="22.5" customHeight="1">
      <c r="A2462" s="42"/>
      <c r="B2462" s="47"/>
      <c r="C2462" s="46"/>
      <c r="D2462" s="47"/>
      <c r="E2462" s="46"/>
      <c r="F2462" s="47"/>
      <c r="G2462" s="46"/>
      <c r="H2462" s="48"/>
      <c r="I2462" s="49"/>
    </row>
    <row r="2463" ht="22.5" customHeight="1">
      <c r="A2463" s="42"/>
      <c r="B2463" s="47"/>
      <c r="C2463" s="46"/>
      <c r="D2463" s="47"/>
      <c r="E2463" s="46"/>
      <c r="F2463" s="47"/>
      <c r="G2463" s="46"/>
      <c r="H2463" s="50"/>
      <c r="I2463" s="51"/>
    </row>
    <row r="2464" ht="22.5" customHeight="1">
      <c r="A2464" s="42"/>
      <c r="B2464" s="47"/>
      <c r="C2464" s="46"/>
      <c r="D2464" s="47"/>
      <c r="E2464" s="46"/>
      <c r="F2464" s="47"/>
      <c r="G2464" s="46"/>
      <c r="H2464" s="48"/>
      <c r="I2464" s="49"/>
    </row>
    <row r="2465" ht="22.5" customHeight="1">
      <c r="A2465" s="42"/>
      <c r="B2465" s="47"/>
      <c r="C2465" s="46"/>
      <c r="D2465" s="47"/>
      <c r="E2465" s="46"/>
      <c r="F2465" s="47"/>
      <c r="G2465" s="46"/>
      <c r="H2465" s="50"/>
      <c r="I2465" s="51"/>
    </row>
    <row r="2466" ht="22.5" customHeight="1">
      <c r="A2466" s="42"/>
      <c r="B2466" s="47"/>
      <c r="C2466" s="46"/>
      <c r="D2466" s="47"/>
      <c r="E2466" s="46"/>
      <c r="F2466" s="47"/>
      <c r="G2466" s="46"/>
      <c r="H2466" s="48"/>
      <c r="I2466" s="49"/>
    </row>
    <row r="2467" ht="22.5" customHeight="1">
      <c r="A2467" s="42"/>
      <c r="B2467" s="47"/>
      <c r="C2467" s="46"/>
      <c r="D2467" s="47"/>
      <c r="E2467" s="46"/>
      <c r="F2467" s="47"/>
      <c r="G2467" s="46"/>
      <c r="H2467" s="50"/>
      <c r="I2467" s="51"/>
    </row>
    <row r="2468" ht="22.5" customHeight="1">
      <c r="A2468" s="42"/>
      <c r="B2468" s="47"/>
      <c r="C2468" s="46"/>
      <c r="D2468" s="47"/>
      <c r="E2468" s="46"/>
      <c r="F2468" s="47"/>
      <c r="G2468" s="46"/>
      <c r="H2468" s="48"/>
      <c r="I2468" s="49"/>
    </row>
    <row r="2469" ht="22.5" customHeight="1">
      <c r="A2469" s="42"/>
      <c r="B2469" s="47"/>
      <c r="C2469" s="46"/>
      <c r="D2469" s="47"/>
      <c r="E2469" s="46"/>
      <c r="F2469" s="47"/>
      <c r="G2469" s="46"/>
      <c r="H2469" s="50"/>
      <c r="I2469" s="51"/>
    </row>
    <row r="2470" ht="22.5" customHeight="1">
      <c r="A2470" s="42"/>
      <c r="B2470" s="47"/>
      <c r="C2470" s="46"/>
      <c r="D2470" s="47"/>
      <c r="E2470" s="46"/>
      <c r="F2470" s="47"/>
      <c r="G2470" s="46"/>
      <c r="H2470" s="48"/>
      <c r="I2470" s="49"/>
    </row>
    <row r="2471" ht="22.5" customHeight="1">
      <c r="A2471" s="42"/>
      <c r="B2471" s="47"/>
      <c r="C2471" s="46"/>
      <c r="D2471" s="47"/>
      <c r="E2471" s="46"/>
      <c r="F2471" s="47"/>
      <c r="G2471" s="46"/>
      <c r="H2471" s="50"/>
      <c r="I2471" s="51"/>
    </row>
    <row r="2472" ht="22.5" customHeight="1">
      <c r="A2472" s="42"/>
      <c r="B2472" s="47"/>
      <c r="C2472" s="46"/>
      <c r="D2472" s="47"/>
      <c r="E2472" s="46"/>
      <c r="F2472" s="47"/>
      <c r="G2472" s="46"/>
      <c r="H2472" s="48"/>
      <c r="I2472" s="49"/>
    </row>
    <row r="2473" ht="22.5" customHeight="1">
      <c r="A2473" s="42"/>
      <c r="B2473" s="47"/>
      <c r="C2473" s="46"/>
      <c r="D2473" s="47"/>
      <c r="E2473" s="46"/>
      <c r="F2473" s="47"/>
      <c r="G2473" s="46"/>
      <c r="H2473" s="50"/>
      <c r="I2473" s="51"/>
    </row>
    <row r="2474" ht="22.5" customHeight="1">
      <c r="A2474" s="42"/>
      <c r="B2474" s="47"/>
      <c r="C2474" s="46"/>
      <c r="D2474" s="47"/>
      <c r="E2474" s="46"/>
      <c r="F2474" s="47"/>
      <c r="G2474" s="46"/>
      <c r="H2474" s="48"/>
      <c r="I2474" s="49"/>
    </row>
    <row r="2475" ht="22.5" customHeight="1">
      <c r="A2475" s="42"/>
      <c r="B2475" s="47"/>
      <c r="C2475" s="46"/>
      <c r="D2475" s="47"/>
      <c r="E2475" s="46"/>
      <c r="F2475" s="47"/>
      <c r="G2475" s="46"/>
      <c r="H2475" s="50"/>
      <c r="I2475" s="51"/>
    </row>
    <row r="2476" ht="22.5" customHeight="1">
      <c r="A2476" s="42"/>
      <c r="B2476" s="47"/>
      <c r="C2476" s="46"/>
      <c r="D2476" s="47"/>
      <c r="E2476" s="46"/>
      <c r="F2476" s="47"/>
      <c r="G2476" s="46"/>
      <c r="H2476" s="48"/>
      <c r="I2476" s="49"/>
    </row>
    <row r="2477" ht="22.5" customHeight="1">
      <c r="A2477" s="42"/>
      <c r="B2477" s="47"/>
      <c r="C2477" s="46"/>
      <c r="D2477" s="47"/>
      <c r="E2477" s="46"/>
      <c r="F2477" s="47"/>
      <c r="G2477" s="46"/>
      <c r="H2477" s="50"/>
      <c r="I2477" s="51"/>
    </row>
    <row r="2478" ht="22.5" customHeight="1">
      <c r="A2478" s="42"/>
      <c r="B2478" s="47"/>
      <c r="C2478" s="46"/>
      <c r="D2478" s="47"/>
      <c r="E2478" s="46"/>
      <c r="F2478" s="47"/>
      <c r="G2478" s="46"/>
      <c r="H2478" s="48"/>
      <c r="I2478" s="49"/>
    </row>
    <row r="2479" ht="22.5" customHeight="1">
      <c r="A2479" s="42"/>
      <c r="B2479" s="47"/>
      <c r="C2479" s="46"/>
      <c r="D2479" s="47"/>
      <c r="E2479" s="46"/>
      <c r="F2479" s="47"/>
      <c r="G2479" s="46"/>
      <c r="H2479" s="50"/>
      <c r="I2479" s="51"/>
    </row>
    <row r="2480" ht="22.5" customHeight="1">
      <c r="A2480" s="42"/>
      <c r="B2480" s="47"/>
      <c r="C2480" s="46"/>
      <c r="D2480" s="47"/>
      <c r="E2480" s="46"/>
      <c r="F2480" s="47"/>
      <c r="G2480" s="46"/>
      <c r="H2480" s="48"/>
      <c r="I2480" s="49"/>
    </row>
    <row r="2481" ht="22.5" customHeight="1">
      <c r="A2481" s="42"/>
      <c r="B2481" s="47"/>
      <c r="C2481" s="46"/>
      <c r="D2481" s="47"/>
      <c r="E2481" s="46"/>
      <c r="F2481" s="47"/>
      <c r="G2481" s="46"/>
      <c r="H2481" s="50"/>
      <c r="I2481" s="51"/>
    </row>
    <row r="2482" ht="22.5" customHeight="1">
      <c r="A2482" s="42"/>
      <c r="B2482" s="47"/>
      <c r="C2482" s="46"/>
      <c r="D2482" s="47"/>
      <c r="E2482" s="46"/>
      <c r="F2482" s="47"/>
      <c r="G2482" s="46"/>
      <c r="H2482" s="48"/>
      <c r="I2482" s="49"/>
    </row>
    <row r="2483" ht="22.5" customHeight="1">
      <c r="A2483" s="42"/>
      <c r="B2483" s="47"/>
      <c r="C2483" s="46"/>
      <c r="D2483" s="47"/>
      <c r="E2483" s="46"/>
      <c r="F2483" s="47"/>
      <c r="G2483" s="46"/>
      <c r="H2483" s="50"/>
      <c r="I2483" s="51"/>
    </row>
    <row r="2484" ht="22.5" customHeight="1">
      <c r="A2484" s="42"/>
      <c r="B2484" s="47"/>
      <c r="C2484" s="46"/>
      <c r="D2484" s="47"/>
      <c r="E2484" s="46"/>
      <c r="F2484" s="47"/>
      <c r="G2484" s="46"/>
      <c r="H2484" s="48"/>
      <c r="I2484" s="49"/>
    </row>
    <row r="2485" ht="22.5" customHeight="1">
      <c r="A2485" s="42"/>
      <c r="B2485" s="47"/>
      <c r="C2485" s="46"/>
      <c r="D2485" s="47"/>
      <c r="E2485" s="46"/>
      <c r="F2485" s="47"/>
      <c r="G2485" s="46"/>
      <c r="H2485" s="50"/>
      <c r="I2485" s="51"/>
    </row>
    <row r="2486" ht="22.5" customHeight="1">
      <c r="A2486" s="42"/>
      <c r="B2486" s="47"/>
      <c r="C2486" s="46"/>
      <c r="D2486" s="47"/>
      <c r="E2486" s="46"/>
      <c r="F2486" s="47"/>
      <c r="G2486" s="46"/>
      <c r="H2486" s="48"/>
      <c r="I2486" s="49"/>
    </row>
    <row r="2487" ht="22.5" customHeight="1">
      <c r="A2487" s="42"/>
      <c r="B2487" s="47"/>
      <c r="C2487" s="46"/>
      <c r="D2487" s="47"/>
      <c r="E2487" s="46"/>
      <c r="F2487" s="47"/>
      <c r="G2487" s="46"/>
      <c r="H2487" s="50"/>
      <c r="I2487" s="51"/>
    </row>
    <row r="2488" ht="22.5" customHeight="1">
      <c r="A2488" s="42"/>
      <c r="B2488" s="47"/>
      <c r="C2488" s="46"/>
      <c r="D2488" s="47"/>
      <c r="E2488" s="46"/>
      <c r="F2488" s="47"/>
      <c r="G2488" s="46"/>
      <c r="H2488" s="48"/>
      <c r="I2488" s="49"/>
    </row>
    <row r="2489" ht="22.5" customHeight="1">
      <c r="A2489" s="42"/>
      <c r="B2489" s="47"/>
      <c r="C2489" s="46"/>
      <c r="D2489" s="47"/>
      <c r="E2489" s="46"/>
      <c r="F2489" s="47"/>
      <c r="G2489" s="46"/>
      <c r="H2489" s="50"/>
      <c r="I2489" s="51"/>
    </row>
    <row r="2490" ht="22.5" customHeight="1">
      <c r="A2490" s="42"/>
      <c r="B2490" s="47"/>
      <c r="C2490" s="46"/>
      <c r="D2490" s="47"/>
      <c r="E2490" s="46"/>
      <c r="F2490" s="47"/>
      <c r="G2490" s="46"/>
      <c r="H2490" s="48"/>
      <c r="I2490" s="49"/>
    </row>
    <row r="2491" ht="22.5" customHeight="1">
      <c r="A2491" s="42"/>
      <c r="B2491" s="47"/>
      <c r="C2491" s="46"/>
      <c r="D2491" s="47"/>
      <c r="E2491" s="46"/>
      <c r="F2491" s="47"/>
      <c r="G2491" s="46"/>
      <c r="H2491" s="50"/>
      <c r="I2491" s="51"/>
    </row>
    <row r="2492" ht="22.5" customHeight="1">
      <c r="A2492" s="42"/>
      <c r="B2492" s="47"/>
      <c r="C2492" s="46"/>
      <c r="D2492" s="47"/>
      <c r="E2492" s="46"/>
      <c r="F2492" s="47"/>
      <c r="G2492" s="46"/>
      <c r="H2492" s="48"/>
      <c r="I2492" s="49"/>
    </row>
    <row r="2493" ht="22.5" customHeight="1">
      <c r="A2493" s="42"/>
      <c r="B2493" s="47"/>
      <c r="C2493" s="46"/>
      <c r="D2493" s="47"/>
      <c r="E2493" s="46"/>
      <c r="F2493" s="47"/>
      <c r="G2493" s="46"/>
      <c r="H2493" s="50"/>
      <c r="I2493" s="51"/>
    </row>
    <row r="2494" ht="22.5" customHeight="1">
      <c r="A2494" s="42"/>
      <c r="B2494" s="47"/>
      <c r="C2494" s="46"/>
      <c r="D2494" s="47"/>
      <c r="E2494" s="46"/>
      <c r="F2494" s="47"/>
      <c r="G2494" s="46"/>
      <c r="H2494" s="48"/>
      <c r="I2494" s="49"/>
    </row>
    <row r="2495" ht="22.5" customHeight="1">
      <c r="A2495" s="42"/>
      <c r="B2495" s="47"/>
      <c r="C2495" s="46"/>
      <c r="D2495" s="47"/>
      <c r="E2495" s="46"/>
      <c r="F2495" s="47"/>
      <c r="G2495" s="46"/>
      <c r="H2495" s="50"/>
      <c r="I2495" s="51"/>
    </row>
    <row r="2496" ht="22.5" customHeight="1">
      <c r="A2496" s="42"/>
      <c r="B2496" s="47"/>
      <c r="C2496" s="46"/>
      <c r="D2496" s="47"/>
      <c r="E2496" s="46"/>
      <c r="F2496" s="47"/>
      <c r="G2496" s="46"/>
      <c r="H2496" s="48"/>
      <c r="I2496" s="49"/>
    </row>
    <row r="2497" ht="22.5" customHeight="1">
      <c r="A2497" s="42"/>
      <c r="B2497" s="47"/>
      <c r="C2497" s="46"/>
      <c r="D2497" s="47"/>
      <c r="E2497" s="46"/>
      <c r="F2497" s="47"/>
      <c r="G2497" s="46"/>
      <c r="H2497" s="50"/>
      <c r="I2497" s="51"/>
    </row>
    <row r="2498" ht="22.5" customHeight="1">
      <c r="A2498" s="42"/>
      <c r="B2498" s="47"/>
      <c r="C2498" s="46"/>
      <c r="D2498" s="47"/>
      <c r="E2498" s="46"/>
      <c r="F2498" s="47"/>
      <c r="G2498" s="46"/>
      <c r="H2498" s="48"/>
      <c r="I2498" s="49"/>
    </row>
    <row r="2499" ht="22.5" customHeight="1">
      <c r="A2499" s="42"/>
      <c r="B2499" s="47"/>
      <c r="C2499" s="46"/>
      <c r="D2499" s="47"/>
      <c r="E2499" s="46"/>
      <c r="F2499" s="47"/>
      <c r="G2499" s="46"/>
      <c r="H2499" s="50"/>
      <c r="I2499" s="51"/>
    </row>
    <row r="2500" ht="22.5" customHeight="1">
      <c r="A2500" s="42"/>
      <c r="B2500" s="47"/>
      <c r="C2500" s="46"/>
      <c r="D2500" s="47"/>
      <c r="E2500" s="46"/>
      <c r="F2500" s="47"/>
      <c r="G2500" s="46"/>
      <c r="H2500" s="48"/>
      <c r="I2500" s="49"/>
    </row>
    <row r="2501" ht="22.5" customHeight="1">
      <c r="A2501" s="42"/>
      <c r="B2501" s="47"/>
      <c r="C2501" s="46"/>
      <c r="D2501" s="47"/>
      <c r="E2501" s="46"/>
      <c r="F2501" s="47"/>
      <c r="G2501" s="46"/>
      <c r="H2501" s="50"/>
      <c r="I2501" s="51"/>
    </row>
    <row r="2502" ht="22.5" customHeight="1">
      <c r="A2502" s="42"/>
      <c r="B2502" s="47"/>
      <c r="C2502" s="46"/>
      <c r="D2502" s="47"/>
      <c r="E2502" s="46"/>
      <c r="F2502" s="47"/>
      <c r="G2502" s="46"/>
      <c r="H2502" s="48"/>
      <c r="I2502" s="49"/>
    </row>
    <row r="2503" ht="22.5" customHeight="1">
      <c r="A2503" s="42"/>
      <c r="B2503" s="47"/>
      <c r="C2503" s="46"/>
      <c r="D2503" s="47"/>
      <c r="E2503" s="46"/>
      <c r="F2503" s="47"/>
      <c r="G2503" s="46"/>
      <c r="H2503" s="50"/>
      <c r="I2503" s="51"/>
    </row>
    <row r="2504" ht="22.5" customHeight="1">
      <c r="A2504" s="42"/>
      <c r="B2504" s="47"/>
      <c r="C2504" s="46"/>
      <c r="D2504" s="47"/>
      <c r="E2504" s="46"/>
      <c r="F2504" s="47"/>
      <c r="G2504" s="46"/>
      <c r="H2504" s="48"/>
      <c r="I2504" s="49"/>
    </row>
    <row r="2505" ht="22.5" customHeight="1">
      <c r="A2505" s="42"/>
      <c r="B2505" s="47"/>
      <c r="C2505" s="46"/>
      <c r="D2505" s="47"/>
      <c r="E2505" s="46"/>
      <c r="F2505" s="47"/>
      <c r="G2505" s="46"/>
      <c r="H2505" s="50"/>
      <c r="I2505" s="51"/>
    </row>
    <row r="2506" ht="22.5" customHeight="1">
      <c r="A2506" s="42"/>
      <c r="B2506" s="47"/>
      <c r="C2506" s="46"/>
      <c r="D2506" s="47"/>
      <c r="E2506" s="46"/>
      <c r="F2506" s="47"/>
      <c r="G2506" s="46"/>
      <c r="H2506" s="48"/>
      <c r="I2506" s="49"/>
    </row>
    <row r="2507" ht="22.5" customHeight="1">
      <c r="A2507" s="42"/>
      <c r="B2507" s="47"/>
      <c r="C2507" s="46"/>
      <c r="D2507" s="47"/>
      <c r="E2507" s="46"/>
      <c r="F2507" s="47"/>
      <c r="G2507" s="46"/>
      <c r="H2507" s="50"/>
      <c r="I2507" s="51"/>
    </row>
    <row r="2508" ht="22.5" customHeight="1">
      <c r="A2508" s="42"/>
      <c r="B2508" s="47"/>
      <c r="C2508" s="46"/>
      <c r="D2508" s="47"/>
      <c r="E2508" s="46"/>
      <c r="F2508" s="47"/>
      <c r="G2508" s="46"/>
      <c r="H2508" s="48"/>
      <c r="I2508" s="49"/>
    </row>
    <row r="2509" ht="22.5" customHeight="1">
      <c r="A2509" s="42"/>
      <c r="B2509" s="47"/>
      <c r="C2509" s="46"/>
      <c r="D2509" s="47"/>
      <c r="E2509" s="46"/>
      <c r="F2509" s="47"/>
      <c r="G2509" s="46"/>
      <c r="H2509" s="50"/>
      <c r="I2509" s="51"/>
    </row>
    <row r="2510" ht="22.5" customHeight="1">
      <c r="A2510" s="42"/>
      <c r="B2510" s="47"/>
      <c r="C2510" s="46"/>
      <c r="D2510" s="47"/>
      <c r="E2510" s="46"/>
      <c r="F2510" s="47"/>
      <c r="G2510" s="46"/>
      <c r="H2510" s="48"/>
      <c r="I2510" s="49"/>
    </row>
    <row r="2511" ht="22.5" customHeight="1">
      <c r="A2511" s="42"/>
      <c r="B2511" s="47"/>
      <c r="C2511" s="46"/>
      <c r="D2511" s="47"/>
      <c r="E2511" s="46"/>
      <c r="F2511" s="47"/>
      <c r="G2511" s="46"/>
      <c r="H2511" s="50"/>
      <c r="I2511" s="51"/>
    </row>
    <row r="2512" ht="22.5" customHeight="1">
      <c r="A2512" s="42"/>
      <c r="B2512" s="47"/>
      <c r="C2512" s="46"/>
      <c r="D2512" s="47"/>
      <c r="E2512" s="46"/>
      <c r="F2512" s="47"/>
      <c r="G2512" s="46"/>
      <c r="H2512" s="48"/>
      <c r="I2512" s="49"/>
    </row>
    <row r="2513" ht="22.5" customHeight="1">
      <c r="A2513" s="42"/>
      <c r="B2513" s="47"/>
      <c r="C2513" s="46"/>
      <c r="D2513" s="47"/>
      <c r="E2513" s="46"/>
      <c r="F2513" s="47"/>
      <c r="G2513" s="46"/>
      <c r="H2513" s="50"/>
      <c r="I2513" s="51"/>
    </row>
    <row r="2514" ht="22.5" customHeight="1">
      <c r="A2514" s="42"/>
      <c r="B2514" s="47"/>
      <c r="C2514" s="46"/>
      <c r="D2514" s="47"/>
      <c r="E2514" s="46"/>
      <c r="F2514" s="47"/>
      <c r="G2514" s="46"/>
      <c r="H2514" s="48"/>
      <c r="I2514" s="49"/>
    </row>
    <row r="2515" ht="22.5" customHeight="1">
      <c r="A2515" s="42"/>
      <c r="B2515" s="47"/>
      <c r="C2515" s="46"/>
      <c r="D2515" s="47"/>
      <c r="E2515" s="46"/>
      <c r="F2515" s="47"/>
      <c r="G2515" s="46"/>
      <c r="H2515" s="50"/>
      <c r="I2515" s="51"/>
    </row>
    <row r="2516" ht="22.5" customHeight="1">
      <c r="A2516" s="42"/>
      <c r="B2516" s="47"/>
      <c r="C2516" s="46"/>
      <c r="D2516" s="47"/>
      <c r="E2516" s="46"/>
      <c r="F2516" s="47"/>
      <c r="G2516" s="46"/>
      <c r="H2516" s="48"/>
      <c r="I2516" s="49"/>
    </row>
    <row r="2517" ht="22.5" customHeight="1">
      <c r="A2517" s="42"/>
      <c r="B2517" s="47"/>
      <c r="C2517" s="46"/>
      <c r="D2517" s="47"/>
      <c r="E2517" s="46"/>
      <c r="F2517" s="47"/>
      <c r="G2517" s="46"/>
      <c r="H2517" s="50"/>
      <c r="I2517" s="51"/>
    </row>
    <row r="2518" ht="22.5" customHeight="1">
      <c r="A2518" s="42"/>
      <c r="B2518" s="47"/>
      <c r="C2518" s="46"/>
      <c r="D2518" s="47"/>
      <c r="E2518" s="46"/>
      <c r="F2518" s="47"/>
      <c r="G2518" s="46"/>
      <c r="H2518" s="48"/>
      <c r="I2518" s="49"/>
    </row>
    <row r="2519" ht="22.5" customHeight="1">
      <c r="A2519" s="42"/>
      <c r="B2519" s="47"/>
      <c r="C2519" s="46"/>
      <c r="D2519" s="47"/>
      <c r="E2519" s="46"/>
      <c r="F2519" s="47"/>
      <c r="G2519" s="46"/>
      <c r="H2519" s="50"/>
      <c r="I2519" s="51"/>
    </row>
    <row r="2520" ht="22.5" customHeight="1">
      <c r="A2520" s="42"/>
      <c r="B2520" s="47"/>
      <c r="C2520" s="46"/>
      <c r="D2520" s="47"/>
      <c r="E2520" s="46"/>
      <c r="F2520" s="47"/>
      <c r="G2520" s="46"/>
      <c r="H2520" s="48"/>
      <c r="I2520" s="49"/>
    </row>
    <row r="2521" ht="22.5" customHeight="1">
      <c r="A2521" s="42"/>
      <c r="B2521" s="47"/>
      <c r="C2521" s="46"/>
      <c r="D2521" s="47"/>
      <c r="E2521" s="46"/>
      <c r="F2521" s="47"/>
      <c r="G2521" s="46"/>
      <c r="H2521" s="50"/>
      <c r="I2521" s="51"/>
    </row>
    <row r="2522" ht="22.5" customHeight="1">
      <c r="A2522" s="42"/>
      <c r="B2522" s="47"/>
      <c r="C2522" s="46"/>
      <c r="D2522" s="47"/>
      <c r="E2522" s="46"/>
      <c r="F2522" s="47"/>
      <c r="G2522" s="46"/>
      <c r="H2522" s="48"/>
      <c r="I2522" s="49"/>
    </row>
    <row r="2523" ht="22.5" customHeight="1">
      <c r="A2523" s="42"/>
      <c r="B2523" s="47"/>
      <c r="C2523" s="46"/>
      <c r="D2523" s="47"/>
      <c r="E2523" s="46"/>
      <c r="F2523" s="47"/>
      <c r="G2523" s="46"/>
      <c r="H2523" s="50"/>
      <c r="I2523" s="51"/>
    </row>
    <row r="2524" ht="22.5" customHeight="1">
      <c r="A2524" s="42"/>
      <c r="B2524" s="47"/>
      <c r="C2524" s="46"/>
      <c r="D2524" s="47"/>
      <c r="E2524" s="46"/>
      <c r="F2524" s="47"/>
      <c r="G2524" s="46"/>
      <c r="H2524" s="48"/>
      <c r="I2524" s="49"/>
    </row>
    <row r="2525" ht="22.5" customHeight="1">
      <c r="A2525" s="42"/>
      <c r="B2525" s="47"/>
      <c r="C2525" s="46"/>
      <c r="D2525" s="47"/>
      <c r="E2525" s="46"/>
      <c r="F2525" s="47"/>
      <c r="G2525" s="46"/>
      <c r="H2525" s="50"/>
      <c r="I2525" s="51"/>
    </row>
    <row r="2526" ht="22.5" customHeight="1">
      <c r="A2526" s="42"/>
      <c r="B2526" s="47"/>
      <c r="C2526" s="46"/>
      <c r="D2526" s="47"/>
      <c r="E2526" s="46"/>
      <c r="F2526" s="47"/>
      <c r="G2526" s="46"/>
      <c r="H2526" s="48"/>
      <c r="I2526" s="49"/>
    </row>
    <row r="2527" ht="22.5" customHeight="1">
      <c r="A2527" s="42"/>
      <c r="B2527" s="47"/>
      <c r="C2527" s="46"/>
      <c r="D2527" s="47"/>
      <c r="E2527" s="46"/>
      <c r="F2527" s="47"/>
      <c r="G2527" s="46"/>
      <c r="H2527" s="50"/>
      <c r="I2527" s="51"/>
    </row>
    <row r="2528" ht="22.5" customHeight="1">
      <c r="A2528" s="42"/>
      <c r="B2528" s="47"/>
      <c r="C2528" s="46"/>
      <c r="D2528" s="47"/>
      <c r="E2528" s="46"/>
      <c r="F2528" s="47"/>
      <c r="G2528" s="46"/>
      <c r="H2528" s="48"/>
      <c r="I2528" s="49"/>
    </row>
    <row r="2529" ht="22.5" customHeight="1">
      <c r="A2529" s="42"/>
      <c r="B2529" s="47"/>
      <c r="C2529" s="46"/>
      <c r="D2529" s="47"/>
      <c r="E2529" s="46"/>
      <c r="F2529" s="47"/>
      <c r="G2529" s="46"/>
      <c r="H2529" s="50"/>
      <c r="I2529" s="51"/>
    </row>
    <row r="2530" ht="22.5" customHeight="1">
      <c r="A2530" s="42"/>
      <c r="B2530" s="47"/>
      <c r="C2530" s="46"/>
      <c r="D2530" s="47"/>
      <c r="E2530" s="46"/>
      <c r="F2530" s="47"/>
      <c r="G2530" s="46"/>
      <c r="H2530" s="48"/>
      <c r="I2530" s="49"/>
    </row>
    <row r="2531" ht="22.5" customHeight="1">
      <c r="A2531" s="42"/>
      <c r="B2531" s="47"/>
      <c r="C2531" s="46"/>
      <c r="D2531" s="47"/>
      <c r="E2531" s="46"/>
      <c r="F2531" s="47"/>
      <c r="G2531" s="46"/>
      <c r="H2531" s="50"/>
      <c r="I2531" s="51"/>
    </row>
    <row r="2532" ht="22.5" customHeight="1">
      <c r="A2532" s="42"/>
      <c r="B2532" s="47"/>
      <c r="C2532" s="46"/>
      <c r="D2532" s="47"/>
      <c r="E2532" s="46"/>
      <c r="F2532" s="47"/>
      <c r="G2532" s="46"/>
      <c r="H2532" s="48"/>
      <c r="I2532" s="49"/>
    </row>
    <row r="2533" ht="22.5" customHeight="1">
      <c r="A2533" s="42"/>
      <c r="B2533" s="47"/>
      <c r="C2533" s="46"/>
      <c r="D2533" s="47"/>
      <c r="E2533" s="46"/>
      <c r="F2533" s="47"/>
      <c r="G2533" s="46"/>
      <c r="H2533" s="50"/>
      <c r="I2533" s="51"/>
    </row>
    <row r="2534" ht="22.5" customHeight="1">
      <c r="A2534" s="42"/>
      <c r="B2534" s="47"/>
      <c r="C2534" s="46"/>
      <c r="D2534" s="47"/>
      <c r="E2534" s="46"/>
      <c r="F2534" s="47"/>
      <c r="G2534" s="46"/>
      <c r="H2534" s="48"/>
      <c r="I2534" s="49"/>
    </row>
    <row r="2535" ht="22.5" customHeight="1">
      <c r="A2535" s="42"/>
      <c r="B2535" s="47"/>
      <c r="C2535" s="46"/>
      <c r="D2535" s="47"/>
      <c r="E2535" s="46"/>
      <c r="F2535" s="47"/>
      <c r="G2535" s="46"/>
      <c r="H2535" s="50"/>
      <c r="I2535" s="51"/>
    </row>
    <row r="2536" ht="22.5" customHeight="1">
      <c r="A2536" s="42"/>
      <c r="B2536" s="47"/>
      <c r="C2536" s="46"/>
      <c r="D2536" s="47"/>
      <c r="E2536" s="46"/>
      <c r="F2536" s="47"/>
      <c r="G2536" s="46"/>
      <c r="H2536" s="48"/>
      <c r="I2536" s="49"/>
    </row>
    <row r="2537" ht="22.5" customHeight="1">
      <c r="A2537" s="42"/>
      <c r="B2537" s="47"/>
      <c r="C2537" s="46"/>
      <c r="D2537" s="47"/>
      <c r="E2537" s="46"/>
      <c r="F2537" s="47"/>
      <c r="G2537" s="46"/>
      <c r="H2537" s="50"/>
      <c r="I2537" s="51"/>
    </row>
    <row r="2538" ht="22.5" customHeight="1">
      <c r="A2538" s="42"/>
      <c r="B2538" s="47"/>
      <c r="C2538" s="46"/>
      <c r="D2538" s="47"/>
      <c r="E2538" s="46"/>
      <c r="F2538" s="47"/>
      <c r="G2538" s="46"/>
      <c r="H2538" s="48"/>
      <c r="I2538" s="49"/>
    </row>
    <row r="2539" ht="22.5" customHeight="1">
      <c r="A2539" s="42"/>
      <c r="B2539" s="47"/>
      <c r="C2539" s="46"/>
      <c r="D2539" s="47"/>
      <c r="E2539" s="46"/>
      <c r="F2539" s="47"/>
      <c r="G2539" s="46"/>
      <c r="H2539" s="50"/>
      <c r="I2539" s="51"/>
    </row>
    <row r="2540" ht="22.5" customHeight="1">
      <c r="A2540" s="42"/>
      <c r="B2540" s="47"/>
      <c r="C2540" s="46"/>
      <c r="D2540" s="47"/>
      <c r="E2540" s="46"/>
      <c r="F2540" s="47"/>
      <c r="G2540" s="46"/>
      <c r="H2540" s="48"/>
      <c r="I2540" s="49"/>
    </row>
    <row r="2541" ht="22.5" customHeight="1">
      <c r="A2541" s="42"/>
      <c r="B2541" s="47"/>
      <c r="C2541" s="46"/>
      <c r="D2541" s="47"/>
      <c r="E2541" s="46"/>
      <c r="F2541" s="47"/>
      <c r="G2541" s="46"/>
      <c r="H2541" s="50"/>
      <c r="I2541" s="51"/>
    </row>
    <row r="2542" ht="22.5" customHeight="1">
      <c r="A2542" s="42"/>
      <c r="B2542" s="47"/>
      <c r="C2542" s="46"/>
      <c r="D2542" s="47"/>
      <c r="E2542" s="46"/>
      <c r="F2542" s="47"/>
      <c r="G2542" s="46"/>
      <c r="H2542" s="48"/>
      <c r="I2542" s="49"/>
    </row>
    <row r="2543" ht="22.5" customHeight="1">
      <c r="A2543" s="42"/>
      <c r="B2543" s="47"/>
      <c r="C2543" s="46"/>
      <c r="D2543" s="47"/>
      <c r="E2543" s="46"/>
      <c r="F2543" s="47"/>
      <c r="G2543" s="46"/>
      <c r="H2543" s="50"/>
      <c r="I2543" s="51"/>
    </row>
    <row r="2544" ht="22.5" customHeight="1">
      <c r="A2544" s="42"/>
      <c r="B2544" s="47"/>
      <c r="C2544" s="46"/>
      <c r="D2544" s="47"/>
      <c r="E2544" s="46"/>
      <c r="F2544" s="47"/>
      <c r="G2544" s="46"/>
      <c r="H2544" s="48"/>
      <c r="I2544" s="49"/>
    </row>
    <row r="2545" ht="22.5" customHeight="1">
      <c r="A2545" s="42"/>
      <c r="B2545" s="47"/>
      <c r="C2545" s="46"/>
      <c r="D2545" s="47"/>
      <c r="E2545" s="46"/>
      <c r="F2545" s="47"/>
      <c r="G2545" s="46"/>
      <c r="H2545" s="50"/>
      <c r="I2545" s="51"/>
    </row>
    <row r="2546" ht="22.5" customHeight="1">
      <c r="A2546" s="42"/>
      <c r="B2546" s="47"/>
      <c r="C2546" s="46"/>
      <c r="D2546" s="47"/>
      <c r="E2546" s="46"/>
      <c r="F2546" s="47"/>
      <c r="G2546" s="46"/>
      <c r="H2546" s="48"/>
      <c r="I2546" s="49"/>
    </row>
    <row r="2547" ht="22.5" customHeight="1">
      <c r="A2547" s="42"/>
      <c r="B2547" s="47"/>
      <c r="C2547" s="46"/>
      <c r="D2547" s="47"/>
      <c r="E2547" s="46"/>
      <c r="F2547" s="47"/>
      <c r="G2547" s="46"/>
      <c r="H2547" s="50"/>
      <c r="I2547" s="51"/>
    </row>
    <row r="2548" ht="22.5" customHeight="1">
      <c r="A2548" s="42"/>
      <c r="B2548" s="47"/>
      <c r="C2548" s="46"/>
      <c r="D2548" s="47"/>
      <c r="E2548" s="46"/>
      <c r="F2548" s="47"/>
      <c r="G2548" s="46"/>
      <c r="H2548" s="48"/>
      <c r="I2548" s="49"/>
    </row>
    <row r="2549" ht="22.5" customHeight="1">
      <c r="A2549" s="42"/>
      <c r="B2549" s="47"/>
      <c r="C2549" s="46"/>
      <c r="D2549" s="47"/>
      <c r="E2549" s="46"/>
      <c r="F2549" s="47"/>
      <c r="G2549" s="46"/>
      <c r="H2549" s="50"/>
      <c r="I2549" s="51"/>
    </row>
    <row r="2550" ht="22.5" customHeight="1">
      <c r="A2550" s="42"/>
      <c r="B2550" s="47"/>
      <c r="C2550" s="46"/>
      <c r="D2550" s="47"/>
      <c r="E2550" s="46"/>
      <c r="F2550" s="47"/>
      <c r="G2550" s="46"/>
      <c r="H2550" s="48"/>
      <c r="I2550" s="49"/>
    </row>
    <row r="2551" ht="22.5" customHeight="1">
      <c r="A2551" s="42"/>
      <c r="B2551" s="47"/>
      <c r="C2551" s="46"/>
      <c r="D2551" s="47"/>
      <c r="E2551" s="46"/>
      <c r="F2551" s="47"/>
      <c r="G2551" s="46"/>
      <c r="H2551" s="50"/>
      <c r="I2551" s="51"/>
    </row>
    <row r="2552" ht="22.5" customHeight="1">
      <c r="A2552" s="42"/>
      <c r="B2552" s="47"/>
      <c r="C2552" s="46"/>
      <c r="D2552" s="47"/>
      <c r="E2552" s="46"/>
      <c r="F2552" s="47"/>
      <c r="G2552" s="46"/>
      <c r="H2552" s="48"/>
      <c r="I2552" s="49"/>
    </row>
    <row r="2553" ht="22.5" customHeight="1">
      <c r="A2553" s="42"/>
      <c r="B2553" s="47"/>
      <c r="C2553" s="46"/>
      <c r="D2553" s="47"/>
      <c r="E2553" s="46"/>
      <c r="F2553" s="47"/>
      <c r="G2553" s="46"/>
      <c r="H2553" s="50"/>
      <c r="I2553" s="51"/>
    </row>
    <row r="2554" ht="22.5" customHeight="1">
      <c r="A2554" s="42"/>
      <c r="B2554" s="47"/>
      <c r="C2554" s="46"/>
      <c r="D2554" s="47"/>
      <c r="E2554" s="46"/>
      <c r="F2554" s="47"/>
      <c r="G2554" s="46"/>
      <c r="H2554" s="48"/>
      <c r="I2554" s="49"/>
    </row>
    <row r="2555" ht="22.5" customHeight="1">
      <c r="A2555" s="42"/>
      <c r="B2555" s="47"/>
      <c r="C2555" s="46"/>
      <c r="D2555" s="47"/>
      <c r="E2555" s="46"/>
      <c r="F2555" s="47"/>
      <c r="G2555" s="46"/>
      <c r="H2555" s="50"/>
      <c r="I2555" s="51"/>
    </row>
    <row r="2556" ht="22.5" customHeight="1">
      <c r="A2556" s="42"/>
      <c r="B2556" s="47"/>
      <c r="C2556" s="46"/>
      <c r="D2556" s="47"/>
      <c r="E2556" s="46"/>
      <c r="F2556" s="47"/>
      <c r="G2556" s="46"/>
      <c r="H2556" s="48"/>
      <c r="I2556" s="49"/>
    </row>
    <row r="2557" ht="22.5" customHeight="1">
      <c r="A2557" s="42"/>
      <c r="B2557" s="47"/>
      <c r="C2557" s="46"/>
      <c r="D2557" s="47"/>
      <c r="E2557" s="46"/>
      <c r="F2557" s="47"/>
      <c r="G2557" s="46"/>
      <c r="H2557" s="50"/>
      <c r="I2557" s="51"/>
    </row>
    <row r="2558" ht="22.5" customHeight="1">
      <c r="A2558" s="42"/>
      <c r="B2558" s="47"/>
      <c r="C2558" s="46"/>
      <c r="D2558" s="47"/>
      <c r="E2558" s="46"/>
      <c r="F2558" s="47"/>
      <c r="G2558" s="46"/>
      <c r="H2558" s="48"/>
      <c r="I2558" s="49"/>
    </row>
    <row r="2559" ht="22.5" customHeight="1">
      <c r="A2559" s="42"/>
      <c r="B2559" s="47"/>
      <c r="C2559" s="46"/>
      <c r="D2559" s="47"/>
      <c r="E2559" s="46"/>
      <c r="F2559" s="47"/>
      <c r="G2559" s="46"/>
      <c r="H2559" s="50"/>
      <c r="I2559" s="51"/>
    </row>
    <row r="2560" ht="22.5" customHeight="1">
      <c r="A2560" s="42"/>
      <c r="B2560" s="47"/>
      <c r="C2560" s="46"/>
      <c r="D2560" s="47"/>
      <c r="E2560" s="46"/>
      <c r="F2560" s="47"/>
      <c r="G2560" s="46"/>
      <c r="H2560" s="48"/>
      <c r="I2560" s="49"/>
    </row>
    <row r="2561" ht="22.5" customHeight="1">
      <c r="A2561" s="42"/>
      <c r="B2561" s="47"/>
      <c r="C2561" s="46"/>
      <c r="D2561" s="47"/>
      <c r="E2561" s="46"/>
      <c r="F2561" s="47"/>
      <c r="G2561" s="46"/>
      <c r="H2561" s="50"/>
      <c r="I2561" s="51"/>
    </row>
    <row r="2562" ht="22.5" customHeight="1">
      <c r="A2562" s="42"/>
      <c r="B2562" s="47"/>
      <c r="C2562" s="46"/>
      <c r="D2562" s="47"/>
      <c r="E2562" s="46"/>
      <c r="F2562" s="47"/>
      <c r="G2562" s="46"/>
      <c r="H2562" s="48"/>
      <c r="I2562" s="49"/>
    </row>
    <row r="2563" ht="22.5" customHeight="1">
      <c r="A2563" s="42"/>
      <c r="B2563" s="47"/>
      <c r="C2563" s="46"/>
      <c r="D2563" s="47"/>
      <c r="E2563" s="46"/>
      <c r="F2563" s="47"/>
      <c r="G2563" s="46"/>
      <c r="H2563" s="50"/>
      <c r="I2563" s="51"/>
    </row>
    <row r="2564" ht="22.5" customHeight="1">
      <c r="A2564" s="42"/>
      <c r="B2564" s="47"/>
      <c r="C2564" s="46"/>
      <c r="D2564" s="47"/>
      <c r="E2564" s="46"/>
      <c r="F2564" s="47"/>
      <c r="G2564" s="46"/>
      <c r="H2564" s="48"/>
      <c r="I2564" s="49"/>
    </row>
    <row r="2565" ht="22.5" customHeight="1">
      <c r="A2565" s="42"/>
      <c r="B2565" s="47"/>
      <c r="C2565" s="46"/>
      <c r="D2565" s="47"/>
      <c r="E2565" s="46"/>
      <c r="F2565" s="47"/>
      <c r="G2565" s="46"/>
      <c r="H2565" s="50"/>
      <c r="I2565" s="51"/>
    </row>
    <row r="2566" ht="22.5" customHeight="1">
      <c r="A2566" s="42"/>
      <c r="B2566" s="47"/>
      <c r="C2566" s="46"/>
      <c r="D2566" s="47"/>
      <c r="E2566" s="46"/>
      <c r="F2566" s="47"/>
      <c r="G2566" s="46"/>
      <c r="H2566" s="48"/>
      <c r="I2566" s="49"/>
    </row>
    <row r="2567" ht="22.5" customHeight="1">
      <c r="A2567" s="42"/>
      <c r="B2567" s="47"/>
      <c r="C2567" s="46"/>
      <c r="D2567" s="47"/>
      <c r="E2567" s="46"/>
      <c r="F2567" s="47"/>
      <c r="G2567" s="46"/>
      <c r="H2567" s="50"/>
      <c r="I2567" s="51"/>
    </row>
    <row r="2568" ht="22.5" customHeight="1">
      <c r="A2568" s="42"/>
      <c r="B2568" s="47"/>
      <c r="C2568" s="46"/>
      <c r="D2568" s="47"/>
      <c r="E2568" s="46"/>
      <c r="F2568" s="47"/>
      <c r="G2568" s="46"/>
      <c r="H2568" s="48"/>
      <c r="I2568" s="49"/>
    </row>
    <row r="2569" ht="22.5" customHeight="1">
      <c r="A2569" s="42"/>
      <c r="B2569" s="47"/>
      <c r="C2569" s="46"/>
      <c r="D2569" s="47"/>
      <c r="E2569" s="46"/>
      <c r="F2569" s="47"/>
      <c r="G2569" s="46"/>
      <c r="H2569" s="50"/>
      <c r="I2569" s="51"/>
    </row>
    <row r="2570" ht="22.5" customHeight="1">
      <c r="A2570" s="42"/>
      <c r="B2570" s="47"/>
      <c r="C2570" s="46"/>
      <c r="D2570" s="47"/>
      <c r="E2570" s="46"/>
      <c r="F2570" s="47"/>
      <c r="G2570" s="46"/>
      <c r="H2570" s="48"/>
      <c r="I2570" s="49"/>
    </row>
    <row r="2571" ht="22.5" customHeight="1">
      <c r="A2571" s="42"/>
      <c r="B2571" s="47"/>
      <c r="C2571" s="46"/>
      <c r="D2571" s="47"/>
      <c r="E2571" s="46"/>
      <c r="F2571" s="47"/>
      <c r="G2571" s="46"/>
      <c r="H2571" s="50"/>
      <c r="I2571" s="51"/>
    </row>
    <row r="2572" ht="22.5" customHeight="1">
      <c r="A2572" s="42"/>
      <c r="B2572" s="47"/>
      <c r="C2572" s="46"/>
      <c r="D2572" s="47"/>
      <c r="E2572" s="46"/>
      <c r="F2572" s="47"/>
      <c r="G2572" s="46"/>
      <c r="H2572" s="48"/>
      <c r="I2572" s="49"/>
    </row>
    <row r="2573" ht="22.5" customHeight="1">
      <c r="A2573" s="42"/>
      <c r="B2573" s="47"/>
      <c r="C2573" s="46"/>
      <c r="D2573" s="47"/>
      <c r="E2573" s="46"/>
      <c r="F2573" s="47"/>
      <c r="G2573" s="46"/>
      <c r="H2573" s="50"/>
      <c r="I2573" s="51"/>
    </row>
    <row r="2574" ht="22.5" customHeight="1">
      <c r="A2574" s="42"/>
      <c r="B2574" s="47"/>
      <c r="C2574" s="46"/>
      <c r="D2574" s="47"/>
      <c r="E2574" s="46"/>
      <c r="F2574" s="47"/>
      <c r="G2574" s="46"/>
      <c r="H2574" s="48"/>
      <c r="I2574" s="49"/>
    </row>
    <row r="2575" ht="22.5" customHeight="1">
      <c r="A2575" s="42"/>
      <c r="B2575" s="47"/>
      <c r="C2575" s="46"/>
      <c r="D2575" s="47"/>
      <c r="E2575" s="46"/>
      <c r="F2575" s="47"/>
      <c r="G2575" s="46"/>
      <c r="H2575" s="50"/>
      <c r="I2575" s="51"/>
    </row>
    <row r="2576" ht="22.5" customHeight="1">
      <c r="A2576" s="42"/>
      <c r="B2576" s="47"/>
      <c r="C2576" s="46"/>
      <c r="D2576" s="47"/>
      <c r="E2576" s="46"/>
      <c r="F2576" s="47"/>
      <c r="G2576" s="46"/>
      <c r="H2576" s="48"/>
      <c r="I2576" s="49"/>
    </row>
    <row r="2577" ht="22.5" customHeight="1">
      <c r="A2577" s="42"/>
      <c r="B2577" s="47"/>
      <c r="C2577" s="46"/>
      <c r="D2577" s="47"/>
      <c r="E2577" s="46"/>
      <c r="F2577" s="47"/>
      <c r="G2577" s="46"/>
      <c r="H2577" s="50"/>
      <c r="I2577" s="51"/>
    </row>
    <row r="2578" ht="22.5" customHeight="1">
      <c r="A2578" s="42"/>
      <c r="B2578" s="47"/>
      <c r="C2578" s="46"/>
      <c r="D2578" s="47"/>
      <c r="E2578" s="46"/>
      <c r="F2578" s="47"/>
      <c r="G2578" s="46"/>
      <c r="H2578" s="48"/>
      <c r="I2578" s="49"/>
    </row>
    <row r="2579" ht="22.5" customHeight="1">
      <c r="A2579" s="42"/>
      <c r="B2579" s="47"/>
      <c r="C2579" s="46"/>
      <c r="D2579" s="47"/>
      <c r="E2579" s="46"/>
      <c r="F2579" s="47"/>
      <c r="G2579" s="46"/>
      <c r="H2579" s="50"/>
      <c r="I2579" s="51"/>
    </row>
    <row r="2580" ht="22.5" customHeight="1">
      <c r="A2580" s="42"/>
      <c r="B2580" s="47"/>
      <c r="C2580" s="46"/>
      <c r="D2580" s="47"/>
      <c r="E2580" s="46"/>
      <c r="F2580" s="47"/>
      <c r="G2580" s="46"/>
      <c r="H2580" s="48"/>
      <c r="I2580" s="49"/>
    </row>
    <row r="2581" ht="22.5" customHeight="1">
      <c r="A2581" s="42"/>
      <c r="B2581" s="47"/>
      <c r="C2581" s="46"/>
      <c r="D2581" s="47"/>
      <c r="E2581" s="46"/>
      <c r="F2581" s="47"/>
      <c r="G2581" s="46"/>
      <c r="H2581" s="50"/>
      <c r="I2581" s="51"/>
    </row>
    <row r="2582" ht="22.5" customHeight="1">
      <c r="A2582" s="42"/>
      <c r="B2582" s="47"/>
      <c r="C2582" s="46"/>
      <c r="D2582" s="47"/>
      <c r="E2582" s="46"/>
      <c r="F2582" s="47"/>
      <c r="G2582" s="46"/>
      <c r="H2582" s="48"/>
      <c r="I2582" s="49"/>
    </row>
    <row r="2583" ht="22.5" customHeight="1">
      <c r="A2583" s="42"/>
      <c r="B2583" s="47"/>
      <c r="C2583" s="46"/>
      <c r="D2583" s="47"/>
      <c r="E2583" s="46"/>
      <c r="F2583" s="47"/>
      <c r="G2583" s="46"/>
      <c r="H2583" s="50"/>
      <c r="I2583" s="51"/>
    </row>
    <row r="2584" ht="22.5" customHeight="1">
      <c r="A2584" s="42"/>
      <c r="B2584" s="47"/>
      <c r="C2584" s="46"/>
      <c r="D2584" s="47"/>
      <c r="E2584" s="46"/>
      <c r="F2584" s="47"/>
      <c r="G2584" s="46"/>
      <c r="H2584" s="48"/>
      <c r="I2584" s="49"/>
    </row>
    <row r="2585" ht="22.5" customHeight="1">
      <c r="A2585" s="42"/>
      <c r="B2585" s="47"/>
      <c r="C2585" s="46"/>
      <c r="D2585" s="47"/>
      <c r="E2585" s="46"/>
      <c r="F2585" s="47"/>
      <c r="G2585" s="46"/>
      <c r="H2585" s="50"/>
      <c r="I2585" s="51"/>
    </row>
    <row r="2586" ht="22.5" customHeight="1">
      <c r="A2586" s="42"/>
      <c r="B2586" s="47"/>
      <c r="C2586" s="46"/>
      <c r="D2586" s="47"/>
      <c r="E2586" s="46"/>
      <c r="F2586" s="47"/>
      <c r="G2586" s="46"/>
      <c r="H2586" s="48"/>
      <c r="I2586" s="49"/>
    </row>
    <row r="2587" ht="22.5" customHeight="1">
      <c r="A2587" s="42"/>
      <c r="B2587" s="47"/>
      <c r="C2587" s="46"/>
      <c r="D2587" s="47"/>
      <c r="E2587" s="46"/>
      <c r="F2587" s="47"/>
      <c r="G2587" s="46"/>
      <c r="H2587" s="50"/>
      <c r="I2587" s="51"/>
    </row>
    <row r="2588" ht="22.5" customHeight="1">
      <c r="A2588" s="42"/>
      <c r="B2588" s="47"/>
      <c r="C2588" s="46"/>
      <c r="D2588" s="47"/>
      <c r="E2588" s="46"/>
      <c r="F2588" s="47"/>
      <c r="G2588" s="46"/>
      <c r="H2588" s="48"/>
      <c r="I2588" s="49"/>
    </row>
    <row r="2589" ht="22.5" customHeight="1">
      <c r="A2589" s="42"/>
      <c r="B2589" s="47"/>
      <c r="C2589" s="46"/>
      <c r="D2589" s="47"/>
      <c r="E2589" s="46"/>
      <c r="F2589" s="47"/>
      <c r="G2589" s="46"/>
      <c r="H2589" s="50"/>
      <c r="I2589" s="51"/>
    </row>
    <row r="2590" ht="22.5" customHeight="1">
      <c r="A2590" s="42"/>
      <c r="B2590" s="47"/>
      <c r="C2590" s="46"/>
      <c r="D2590" s="47"/>
      <c r="E2590" s="46"/>
      <c r="F2590" s="47"/>
      <c r="G2590" s="46"/>
      <c r="H2590" s="48"/>
      <c r="I2590" s="49"/>
    </row>
    <row r="2591" ht="22.5" customHeight="1">
      <c r="A2591" s="42"/>
      <c r="B2591" s="47"/>
      <c r="C2591" s="46"/>
      <c r="D2591" s="47"/>
      <c r="E2591" s="46"/>
      <c r="F2591" s="47"/>
      <c r="G2591" s="46"/>
      <c r="H2591" s="50"/>
      <c r="I2591" s="51"/>
    </row>
    <row r="2592" ht="22.5" customHeight="1">
      <c r="A2592" s="42"/>
      <c r="B2592" s="47"/>
      <c r="C2592" s="46"/>
      <c r="D2592" s="47"/>
      <c r="E2592" s="46"/>
      <c r="F2592" s="47"/>
      <c r="G2592" s="46"/>
      <c r="H2592" s="48"/>
      <c r="I2592" s="49"/>
    </row>
    <row r="2593" ht="22.5" customHeight="1">
      <c r="A2593" s="42"/>
      <c r="B2593" s="47"/>
      <c r="C2593" s="46"/>
      <c r="D2593" s="47"/>
      <c r="E2593" s="46"/>
      <c r="F2593" s="47"/>
      <c r="G2593" s="46"/>
      <c r="H2593" s="50"/>
      <c r="I2593" s="51"/>
    </row>
    <row r="2594" ht="22.5" customHeight="1">
      <c r="A2594" s="42"/>
      <c r="B2594" s="47"/>
      <c r="C2594" s="46"/>
      <c r="D2594" s="47"/>
      <c r="E2594" s="46"/>
      <c r="F2594" s="47"/>
      <c r="G2594" s="46"/>
      <c r="H2594" s="48"/>
      <c r="I2594" s="49"/>
    </row>
    <row r="2595" ht="22.5" customHeight="1">
      <c r="A2595" s="42"/>
      <c r="B2595" s="47"/>
      <c r="C2595" s="46"/>
      <c r="D2595" s="47"/>
      <c r="E2595" s="46"/>
      <c r="F2595" s="47"/>
      <c r="G2595" s="46"/>
      <c r="H2595" s="50"/>
      <c r="I2595" s="51"/>
    </row>
    <row r="2596" ht="22.5" customHeight="1">
      <c r="A2596" s="42"/>
      <c r="B2596" s="47"/>
      <c r="C2596" s="46"/>
      <c r="D2596" s="47"/>
      <c r="E2596" s="46"/>
      <c r="F2596" s="47"/>
      <c r="G2596" s="46"/>
      <c r="H2596" s="48"/>
      <c r="I2596" s="49"/>
    </row>
    <row r="2597" ht="22.5" customHeight="1">
      <c r="A2597" s="42"/>
      <c r="B2597" s="47"/>
      <c r="C2597" s="46"/>
      <c r="D2597" s="47"/>
      <c r="E2597" s="46"/>
      <c r="F2597" s="47"/>
      <c r="G2597" s="46"/>
      <c r="H2597" s="50"/>
      <c r="I2597" s="51"/>
    </row>
    <row r="2598" ht="22.5" customHeight="1">
      <c r="A2598" s="42"/>
      <c r="B2598" s="47"/>
      <c r="C2598" s="46"/>
      <c r="D2598" s="47"/>
      <c r="E2598" s="46"/>
      <c r="F2598" s="47"/>
      <c r="G2598" s="46"/>
      <c r="H2598" s="48"/>
      <c r="I2598" s="49"/>
    </row>
    <row r="2599" ht="22.5" customHeight="1">
      <c r="A2599" s="42"/>
      <c r="B2599" s="47"/>
      <c r="C2599" s="46"/>
      <c r="D2599" s="47"/>
      <c r="E2599" s="46"/>
      <c r="F2599" s="47"/>
      <c r="G2599" s="46"/>
      <c r="H2599" s="50"/>
      <c r="I2599" s="51"/>
    </row>
    <row r="2600" ht="22.5" customHeight="1">
      <c r="A2600" s="42"/>
      <c r="B2600" s="47"/>
      <c r="C2600" s="46"/>
      <c r="D2600" s="47"/>
      <c r="E2600" s="46"/>
      <c r="F2600" s="47"/>
      <c r="G2600" s="46"/>
      <c r="H2600" s="48"/>
      <c r="I2600" s="49"/>
    </row>
    <row r="2601" ht="22.5" customHeight="1">
      <c r="A2601" s="42"/>
      <c r="B2601" s="47"/>
      <c r="C2601" s="46"/>
      <c r="D2601" s="47"/>
      <c r="E2601" s="46"/>
      <c r="F2601" s="47"/>
      <c r="G2601" s="46"/>
      <c r="H2601" s="50"/>
      <c r="I2601" s="51"/>
    </row>
    <row r="2602" ht="22.5" customHeight="1">
      <c r="A2602" s="42"/>
      <c r="B2602" s="47"/>
      <c r="C2602" s="46"/>
      <c r="D2602" s="47"/>
      <c r="E2602" s="46"/>
      <c r="F2602" s="47"/>
      <c r="G2602" s="46"/>
      <c r="H2602" s="48"/>
      <c r="I2602" s="49"/>
    </row>
    <row r="2603" ht="22.5" customHeight="1">
      <c r="A2603" s="42"/>
      <c r="B2603" s="47"/>
      <c r="C2603" s="46"/>
      <c r="D2603" s="47"/>
      <c r="E2603" s="46"/>
      <c r="F2603" s="47"/>
      <c r="G2603" s="46"/>
      <c r="H2603" s="50"/>
      <c r="I2603" s="51"/>
    </row>
    <row r="2604" ht="22.5" customHeight="1">
      <c r="A2604" s="42"/>
      <c r="B2604" s="47"/>
      <c r="C2604" s="46"/>
      <c r="D2604" s="47"/>
      <c r="E2604" s="46"/>
      <c r="F2604" s="47"/>
      <c r="G2604" s="46"/>
      <c r="H2604" s="48"/>
      <c r="I2604" s="49"/>
    </row>
    <row r="2605" ht="22.5" customHeight="1">
      <c r="A2605" s="42"/>
      <c r="B2605" s="47"/>
      <c r="C2605" s="46"/>
      <c r="D2605" s="47"/>
      <c r="E2605" s="46"/>
      <c r="F2605" s="47"/>
      <c r="G2605" s="46"/>
      <c r="H2605" s="50"/>
      <c r="I2605" s="51"/>
    </row>
    <row r="2606" ht="22.5" customHeight="1">
      <c r="A2606" s="42"/>
      <c r="B2606" s="47"/>
      <c r="C2606" s="46"/>
      <c r="D2606" s="47"/>
      <c r="E2606" s="46"/>
      <c r="F2606" s="47"/>
      <c r="G2606" s="46"/>
      <c r="H2606" s="48"/>
      <c r="I2606" s="49"/>
    </row>
    <row r="2607" ht="22.5" customHeight="1">
      <c r="A2607" s="42"/>
      <c r="B2607" s="47"/>
      <c r="C2607" s="46"/>
      <c r="D2607" s="47"/>
      <c r="E2607" s="46"/>
      <c r="F2607" s="47"/>
      <c r="G2607" s="46"/>
      <c r="H2607" s="50"/>
      <c r="I2607" s="51"/>
    </row>
    <row r="2608" ht="22.5" customHeight="1">
      <c r="A2608" s="42"/>
      <c r="B2608" s="47"/>
      <c r="C2608" s="46"/>
      <c r="D2608" s="47"/>
      <c r="E2608" s="46"/>
      <c r="F2608" s="47"/>
      <c r="G2608" s="46"/>
      <c r="H2608" s="48"/>
      <c r="I2608" s="49"/>
    </row>
    <row r="2609" ht="22.5" customHeight="1">
      <c r="A2609" s="42"/>
      <c r="B2609" s="47"/>
      <c r="C2609" s="46"/>
      <c r="D2609" s="47"/>
      <c r="E2609" s="46"/>
      <c r="F2609" s="47"/>
      <c r="G2609" s="46"/>
      <c r="H2609" s="50"/>
      <c r="I2609" s="51"/>
    </row>
    <row r="2610" ht="22.5" customHeight="1">
      <c r="A2610" s="42"/>
      <c r="B2610" s="47"/>
      <c r="C2610" s="46"/>
      <c r="D2610" s="47"/>
      <c r="E2610" s="46"/>
      <c r="F2610" s="47"/>
      <c r="G2610" s="46"/>
      <c r="H2610" s="48"/>
      <c r="I2610" s="49"/>
    </row>
    <row r="2611" ht="22.5" customHeight="1">
      <c r="A2611" s="42"/>
      <c r="B2611" s="47"/>
      <c r="C2611" s="46"/>
      <c r="D2611" s="47"/>
      <c r="E2611" s="46"/>
      <c r="F2611" s="47"/>
      <c r="G2611" s="46"/>
      <c r="H2611" s="50"/>
      <c r="I2611" s="51"/>
    </row>
    <row r="2612" ht="22.5" customHeight="1">
      <c r="A2612" s="42"/>
      <c r="B2612" s="47"/>
      <c r="C2612" s="46"/>
      <c r="D2612" s="47"/>
      <c r="E2612" s="46"/>
      <c r="F2612" s="47"/>
      <c r="G2612" s="46"/>
      <c r="H2612" s="48"/>
      <c r="I2612" s="49"/>
    </row>
    <row r="2613" ht="22.5" customHeight="1">
      <c r="A2613" s="42"/>
      <c r="B2613" s="47"/>
      <c r="C2613" s="46"/>
      <c r="D2613" s="47"/>
      <c r="E2613" s="46"/>
      <c r="F2613" s="47"/>
      <c r="G2613" s="46"/>
      <c r="H2613" s="50"/>
      <c r="I2613" s="51"/>
    </row>
    <row r="2614" ht="22.5" customHeight="1">
      <c r="A2614" s="42"/>
      <c r="B2614" s="47"/>
      <c r="C2614" s="46"/>
      <c r="D2614" s="47"/>
      <c r="E2614" s="46"/>
      <c r="F2614" s="47"/>
      <c r="G2614" s="46"/>
      <c r="H2614" s="48"/>
      <c r="I2614" s="49"/>
    </row>
    <row r="2615" ht="22.5" customHeight="1">
      <c r="A2615" s="42"/>
      <c r="B2615" s="47"/>
      <c r="C2615" s="46"/>
      <c r="D2615" s="47"/>
      <c r="E2615" s="46"/>
      <c r="F2615" s="47"/>
      <c r="G2615" s="46"/>
      <c r="H2615" s="50"/>
      <c r="I2615" s="51"/>
    </row>
    <row r="2616" ht="22.5" customHeight="1">
      <c r="A2616" s="42"/>
      <c r="B2616" s="47"/>
      <c r="C2616" s="46"/>
      <c r="D2616" s="47"/>
      <c r="E2616" s="46"/>
      <c r="F2616" s="47"/>
      <c r="G2616" s="46"/>
      <c r="H2616" s="48"/>
      <c r="I2616" s="49"/>
    </row>
    <row r="2617" ht="22.5" customHeight="1">
      <c r="A2617" s="42"/>
      <c r="B2617" s="47"/>
      <c r="C2617" s="46"/>
      <c r="D2617" s="47"/>
      <c r="E2617" s="46"/>
      <c r="F2617" s="47"/>
      <c r="G2617" s="46"/>
      <c r="H2617" s="50"/>
      <c r="I2617" s="51"/>
    </row>
    <row r="2618" ht="22.5" customHeight="1">
      <c r="A2618" s="42"/>
      <c r="B2618" s="47"/>
      <c r="C2618" s="46"/>
      <c r="D2618" s="47"/>
      <c r="E2618" s="46"/>
      <c r="F2618" s="47"/>
      <c r="G2618" s="46"/>
      <c r="H2618" s="48"/>
      <c r="I2618" s="49"/>
    </row>
    <row r="2619" ht="22.5" customHeight="1">
      <c r="A2619" s="42"/>
      <c r="B2619" s="47"/>
      <c r="C2619" s="46"/>
      <c r="D2619" s="47"/>
      <c r="E2619" s="46"/>
      <c r="F2619" s="47"/>
      <c r="G2619" s="46"/>
      <c r="H2619" s="50"/>
      <c r="I2619" s="51"/>
    </row>
    <row r="2620" ht="22.5" customHeight="1">
      <c r="A2620" s="42"/>
      <c r="B2620" s="47"/>
      <c r="C2620" s="46"/>
      <c r="D2620" s="47"/>
      <c r="E2620" s="46"/>
      <c r="F2620" s="47"/>
      <c r="G2620" s="46"/>
      <c r="H2620" s="48"/>
      <c r="I2620" s="49"/>
    </row>
    <row r="2621" ht="22.5" customHeight="1">
      <c r="A2621" s="42"/>
      <c r="B2621" s="47"/>
      <c r="C2621" s="46"/>
      <c r="D2621" s="47"/>
      <c r="E2621" s="46"/>
      <c r="F2621" s="47"/>
      <c r="G2621" s="46"/>
      <c r="H2621" s="50"/>
      <c r="I2621" s="51"/>
    </row>
    <row r="2622" ht="22.5" customHeight="1">
      <c r="A2622" s="42"/>
      <c r="B2622" s="47"/>
      <c r="C2622" s="46"/>
      <c r="D2622" s="47"/>
      <c r="E2622" s="46"/>
      <c r="F2622" s="47"/>
      <c r="G2622" s="46"/>
      <c r="H2622" s="48"/>
      <c r="I2622" s="49"/>
    </row>
    <row r="2623" ht="22.5" customHeight="1">
      <c r="A2623" s="42"/>
      <c r="B2623" s="47"/>
      <c r="C2623" s="46"/>
      <c r="D2623" s="47"/>
      <c r="E2623" s="46"/>
      <c r="F2623" s="47"/>
      <c r="G2623" s="46"/>
      <c r="H2623" s="50"/>
      <c r="I2623" s="51"/>
    </row>
    <row r="2624" ht="22.5" customHeight="1">
      <c r="A2624" s="42"/>
      <c r="B2624" s="47"/>
      <c r="C2624" s="46"/>
      <c r="D2624" s="47"/>
      <c r="E2624" s="46"/>
      <c r="F2624" s="47"/>
      <c r="G2624" s="46"/>
      <c r="H2624" s="48"/>
      <c r="I2624" s="49"/>
    </row>
    <row r="2625" ht="22.5" customHeight="1">
      <c r="A2625" s="42"/>
      <c r="B2625" s="47"/>
      <c r="C2625" s="46"/>
      <c r="D2625" s="47"/>
      <c r="E2625" s="46"/>
      <c r="F2625" s="47"/>
      <c r="G2625" s="46"/>
      <c r="H2625" s="50"/>
      <c r="I2625" s="51"/>
    </row>
    <row r="2626" ht="22.5" customHeight="1">
      <c r="A2626" s="42"/>
      <c r="B2626" s="47"/>
      <c r="C2626" s="46"/>
      <c r="D2626" s="47"/>
      <c r="E2626" s="46"/>
      <c r="F2626" s="47"/>
      <c r="G2626" s="46"/>
      <c r="H2626" s="48"/>
      <c r="I2626" s="49"/>
    </row>
    <row r="2627" ht="22.5" customHeight="1">
      <c r="A2627" s="42"/>
      <c r="B2627" s="47"/>
      <c r="C2627" s="46"/>
      <c r="D2627" s="47"/>
      <c r="E2627" s="46"/>
      <c r="F2627" s="47"/>
      <c r="G2627" s="46"/>
      <c r="H2627" s="50"/>
      <c r="I2627" s="51"/>
    </row>
    <row r="2628" ht="22.5" customHeight="1">
      <c r="A2628" s="42"/>
      <c r="B2628" s="47"/>
      <c r="C2628" s="46"/>
      <c r="D2628" s="47"/>
      <c r="E2628" s="46"/>
      <c r="F2628" s="47"/>
      <c r="G2628" s="46"/>
      <c r="H2628" s="48"/>
      <c r="I2628" s="49"/>
    </row>
    <row r="2629" ht="22.5" customHeight="1">
      <c r="A2629" s="42"/>
      <c r="B2629" s="47"/>
      <c r="C2629" s="46"/>
      <c r="D2629" s="47"/>
      <c r="E2629" s="46"/>
      <c r="F2629" s="47"/>
      <c r="G2629" s="46"/>
      <c r="H2629" s="50"/>
      <c r="I2629" s="51"/>
    </row>
    <row r="2630" ht="22.5" customHeight="1">
      <c r="A2630" s="42"/>
      <c r="B2630" s="47"/>
      <c r="C2630" s="46"/>
      <c r="D2630" s="47"/>
      <c r="E2630" s="46"/>
      <c r="F2630" s="47"/>
      <c r="G2630" s="46"/>
      <c r="H2630" s="48"/>
      <c r="I2630" s="49"/>
    </row>
    <row r="2631" ht="22.5" customHeight="1">
      <c r="A2631" s="42"/>
      <c r="B2631" s="47"/>
      <c r="C2631" s="46"/>
      <c r="D2631" s="47"/>
      <c r="E2631" s="46"/>
      <c r="F2631" s="47"/>
      <c r="G2631" s="46"/>
      <c r="H2631" s="50"/>
      <c r="I2631" s="51"/>
    </row>
    <row r="2632" ht="22.5" customHeight="1">
      <c r="A2632" s="42"/>
      <c r="B2632" s="47"/>
      <c r="C2632" s="46"/>
      <c r="D2632" s="47"/>
      <c r="E2632" s="46"/>
      <c r="F2632" s="47"/>
      <c r="G2632" s="46"/>
      <c r="H2632" s="48"/>
      <c r="I2632" s="49"/>
    </row>
    <row r="2633" ht="22.5" customHeight="1">
      <c r="A2633" s="42"/>
      <c r="B2633" s="47"/>
      <c r="C2633" s="46"/>
      <c r="D2633" s="47"/>
      <c r="E2633" s="46"/>
      <c r="F2633" s="47"/>
      <c r="G2633" s="46"/>
      <c r="H2633" s="50"/>
      <c r="I2633" s="51"/>
    </row>
    <row r="2634" ht="22.5" customHeight="1">
      <c r="A2634" s="42"/>
      <c r="B2634" s="47"/>
      <c r="C2634" s="46"/>
      <c r="D2634" s="47"/>
      <c r="E2634" s="46"/>
      <c r="F2634" s="47"/>
      <c r="G2634" s="46"/>
      <c r="H2634" s="48"/>
      <c r="I2634" s="49"/>
    </row>
    <row r="2635" ht="22.5" customHeight="1">
      <c r="A2635" s="42"/>
      <c r="B2635" s="47"/>
      <c r="C2635" s="46"/>
      <c r="D2635" s="47"/>
      <c r="E2635" s="46"/>
      <c r="F2635" s="47"/>
      <c r="G2635" s="46"/>
      <c r="H2635" s="50"/>
      <c r="I2635" s="51"/>
    </row>
    <row r="2636" ht="22.5" customHeight="1">
      <c r="A2636" s="42"/>
      <c r="B2636" s="47"/>
      <c r="C2636" s="46"/>
      <c r="D2636" s="47"/>
      <c r="E2636" s="46"/>
      <c r="F2636" s="47"/>
      <c r="G2636" s="46"/>
      <c r="H2636" s="48"/>
      <c r="I2636" s="49"/>
    </row>
    <row r="2637" ht="22.5" customHeight="1">
      <c r="A2637" s="42"/>
      <c r="B2637" s="47"/>
      <c r="C2637" s="46"/>
      <c r="D2637" s="47"/>
      <c r="E2637" s="46"/>
      <c r="F2637" s="47"/>
      <c r="G2637" s="46"/>
      <c r="H2637" s="50"/>
      <c r="I2637" s="51"/>
    </row>
    <row r="2638" ht="22.5" customHeight="1">
      <c r="A2638" s="42"/>
      <c r="B2638" s="47"/>
      <c r="C2638" s="46"/>
      <c r="D2638" s="47"/>
      <c r="E2638" s="46"/>
      <c r="F2638" s="47"/>
      <c r="G2638" s="46"/>
      <c r="H2638" s="48"/>
      <c r="I2638" s="49"/>
    </row>
    <row r="2639" ht="22.5" customHeight="1">
      <c r="A2639" s="42"/>
      <c r="B2639" s="47"/>
      <c r="C2639" s="46"/>
      <c r="D2639" s="47"/>
      <c r="E2639" s="46"/>
      <c r="F2639" s="47"/>
      <c r="G2639" s="46"/>
      <c r="H2639" s="50"/>
      <c r="I2639" s="51"/>
    </row>
    <row r="2640" ht="22.5" customHeight="1">
      <c r="A2640" s="42"/>
      <c r="B2640" s="47"/>
      <c r="C2640" s="46"/>
      <c r="D2640" s="47"/>
      <c r="E2640" s="46"/>
      <c r="F2640" s="47"/>
      <c r="G2640" s="46"/>
      <c r="H2640" s="48"/>
      <c r="I2640" s="49"/>
    </row>
    <row r="2641" ht="22.5" customHeight="1">
      <c r="A2641" s="42"/>
      <c r="B2641" s="47"/>
      <c r="C2641" s="46"/>
      <c r="D2641" s="47"/>
      <c r="E2641" s="46"/>
      <c r="F2641" s="47"/>
      <c r="G2641" s="46"/>
      <c r="H2641" s="50"/>
      <c r="I2641" s="51"/>
    </row>
    <row r="2642" ht="22.5" customHeight="1">
      <c r="A2642" s="42"/>
      <c r="B2642" s="47"/>
      <c r="C2642" s="46"/>
      <c r="D2642" s="47"/>
      <c r="E2642" s="46"/>
      <c r="F2642" s="47"/>
      <c r="G2642" s="46"/>
      <c r="H2642" s="48"/>
      <c r="I2642" s="49"/>
    </row>
    <row r="2643" ht="22.5" customHeight="1">
      <c r="A2643" s="42"/>
      <c r="B2643" s="47"/>
      <c r="C2643" s="46"/>
      <c r="D2643" s="47"/>
      <c r="E2643" s="46"/>
      <c r="F2643" s="47"/>
      <c r="G2643" s="46"/>
      <c r="H2643" s="50"/>
      <c r="I2643" s="51"/>
    </row>
    <row r="2644" ht="22.5" customHeight="1">
      <c r="A2644" s="42"/>
      <c r="B2644" s="47"/>
      <c r="C2644" s="46"/>
      <c r="D2644" s="47"/>
      <c r="E2644" s="46"/>
      <c r="F2644" s="47"/>
      <c r="G2644" s="46"/>
      <c r="H2644" s="48"/>
      <c r="I2644" s="49"/>
    </row>
    <row r="2645" ht="22.5" customHeight="1">
      <c r="A2645" s="42"/>
      <c r="B2645" s="47"/>
      <c r="C2645" s="46"/>
      <c r="D2645" s="47"/>
      <c r="E2645" s="46"/>
      <c r="F2645" s="47"/>
      <c r="G2645" s="46"/>
      <c r="H2645" s="50"/>
      <c r="I2645" s="51"/>
    </row>
    <row r="2646" ht="22.5" customHeight="1">
      <c r="A2646" s="42"/>
      <c r="B2646" s="47"/>
      <c r="C2646" s="46"/>
      <c r="D2646" s="47"/>
      <c r="E2646" s="46"/>
      <c r="F2646" s="47"/>
      <c r="G2646" s="46"/>
      <c r="H2646" s="48"/>
      <c r="I2646" s="49"/>
    </row>
    <row r="2647" ht="22.5" customHeight="1">
      <c r="A2647" s="42"/>
      <c r="B2647" s="47"/>
      <c r="C2647" s="46"/>
      <c r="D2647" s="47"/>
      <c r="E2647" s="46"/>
      <c r="F2647" s="47"/>
      <c r="G2647" s="46"/>
      <c r="H2647" s="50"/>
      <c r="I2647" s="51"/>
    </row>
    <row r="2648" ht="22.5" customHeight="1">
      <c r="A2648" s="42"/>
      <c r="B2648" s="47"/>
      <c r="C2648" s="46"/>
      <c r="D2648" s="47"/>
      <c r="E2648" s="46"/>
      <c r="F2648" s="47"/>
      <c r="G2648" s="46"/>
      <c r="H2648" s="48"/>
      <c r="I2648" s="49"/>
    </row>
    <row r="2649" ht="22.5" customHeight="1">
      <c r="A2649" s="42"/>
      <c r="B2649" s="47"/>
      <c r="C2649" s="46"/>
      <c r="D2649" s="47"/>
      <c r="E2649" s="46"/>
      <c r="F2649" s="47"/>
      <c r="G2649" s="46"/>
      <c r="H2649" s="50"/>
      <c r="I2649" s="51"/>
    </row>
    <row r="2650" ht="22.5" customHeight="1">
      <c r="A2650" s="42"/>
      <c r="B2650" s="47"/>
      <c r="C2650" s="46"/>
      <c r="D2650" s="47"/>
      <c r="E2650" s="46"/>
      <c r="F2650" s="47"/>
      <c r="G2650" s="46"/>
      <c r="H2650" s="48"/>
      <c r="I2650" s="49"/>
    </row>
    <row r="2651" ht="22.5" customHeight="1">
      <c r="A2651" s="42"/>
      <c r="B2651" s="47"/>
      <c r="C2651" s="46"/>
      <c r="D2651" s="47"/>
      <c r="E2651" s="46"/>
      <c r="F2651" s="47"/>
      <c r="G2651" s="46"/>
      <c r="H2651" s="50"/>
      <c r="I2651" s="51"/>
    </row>
    <row r="2652" ht="22.5" customHeight="1">
      <c r="A2652" s="42"/>
      <c r="B2652" s="47"/>
      <c r="C2652" s="46"/>
      <c r="D2652" s="47"/>
      <c r="E2652" s="46"/>
      <c r="F2652" s="47"/>
      <c r="G2652" s="46"/>
      <c r="H2652" s="48"/>
      <c r="I2652" s="49"/>
    </row>
    <row r="2653" ht="22.5" customHeight="1">
      <c r="A2653" s="42"/>
      <c r="B2653" s="47"/>
      <c r="C2653" s="46"/>
      <c r="D2653" s="47"/>
      <c r="E2653" s="46"/>
      <c r="F2653" s="47"/>
      <c r="G2653" s="46"/>
      <c r="H2653" s="50"/>
      <c r="I2653" s="51"/>
    </row>
    <row r="2654" ht="22.5" customHeight="1">
      <c r="A2654" s="42"/>
      <c r="B2654" s="47"/>
      <c r="C2654" s="46"/>
      <c r="D2654" s="47"/>
      <c r="E2654" s="46"/>
      <c r="F2654" s="47"/>
      <c r="G2654" s="46"/>
      <c r="H2654" s="48"/>
      <c r="I2654" s="49"/>
    </row>
    <row r="2655" ht="22.5" customHeight="1">
      <c r="A2655" s="42"/>
      <c r="B2655" s="47"/>
      <c r="C2655" s="46"/>
      <c r="D2655" s="47"/>
      <c r="E2655" s="46"/>
      <c r="F2655" s="47"/>
      <c r="G2655" s="46"/>
      <c r="H2655" s="50"/>
      <c r="I2655" s="51"/>
    </row>
    <row r="2656" ht="22.5" customHeight="1">
      <c r="A2656" s="42"/>
      <c r="B2656" s="47"/>
      <c r="C2656" s="46"/>
      <c r="D2656" s="47"/>
      <c r="E2656" s="46"/>
      <c r="F2656" s="47"/>
      <c r="G2656" s="46"/>
      <c r="H2656" s="48"/>
      <c r="I2656" s="49"/>
    </row>
    <row r="2657" ht="22.5" customHeight="1">
      <c r="A2657" s="42"/>
      <c r="B2657" s="47"/>
      <c r="C2657" s="46"/>
      <c r="D2657" s="47"/>
      <c r="E2657" s="46"/>
      <c r="F2657" s="47"/>
      <c r="G2657" s="46"/>
      <c r="H2657" s="50"/>
      <c r="I2657" s="51"/>
    </row>
    <row r="2658" ht="22.5" customHeight="1">
      <c r="A2658" s="42"/>
      <c r="B2658" s="47"/>
      <c r="C2658" s="46"/>
      <c r="D2658" s="47"/>
      <c r="E2658" s="46"/>
      <c r="F2658" s="47"/>
      <c r="G2658" s="46"/>
      <c r="H2658" s="48"/>
      <c r="I2658" s="49"/>
    </row>
    <row r="2659" ht="22.5" customHeight="1">
      <c r="A2659" s="42"/>
      <c r="B2659" s="47"/>
      <c r="C2659" s="46"/>
      <c r="D2659" s="47"/>
      <c r="E2659" s="46"/>
      <c r="F2659" s="47"/>
      <c r="G2659" s="46"/>
      <c r="H2659" s="50"/>
      <c r="I2659" s="51"/>
    </row>
    <row r="2660" ht="22.5" customHeight="1">
      <c r="A2660" s="42"/>
      <c r="B2660" s="47"/>
      <c r="C2660" s="46"/>
      <c r="D2660" s="47"/>
      <c r="E2660" s="46"/>
      <c r="F2660" s="47"/>
      <c r="G2660" s="46"/>
      <c r="H2660" s="48"/>
      <c r="I2660" s="49"/>
    </row>
    <row r="2661" ht="22.5" customHeight="1">
      <c r="A2661" s="42"/>
      <c r="B2661" s="47"/>
      <c r="C2661" s="46"/>
      <c r="D2661" s="47"/>
      <c r="E2661" s="46"/>
      <c r="F2661" s="47"/>
      <c r="G2661" s="46"/>
      <c r="H2661" s="50"/>
      <c r="I2661" s="51"/>
    </row>
    <row r="2662" ht="22.5" customHeight="1">
      <c r="A2662" s="42"/>
      <c r="B2662" s="47"/>
      <c r="C2662" s="46"/>
      <c r="D2662" s="47"/>
      <c r="E2662" s="46"/>
      <c r="F2662" s="47"/>
      <c r="G2662" s="46"/>
      <c r="H2662" s="48"/>
      <c r="I2662" s="49"/>
    </row>
    <row r="2663" ht="22.5" customHeight="1">
      <c r="A2663" s="42"/>
      <c r="B2663" s="47"/>
      <c r="C2663" s="46"/>
      <c r="D2663" s="47"/>
      <c r="E2663" s="46"/>
      <c r="F2663" s="47"/>
      <c r="G2663" s="46"/>
      <c r="H2663" s="50"/>
      <c r="I2663" s="51"/>
    </row>
    <row r="2664" ht="22.5" customHeight="1">
      <c r="A2664" s="42"/>
      <c r="B2664" s="47"/>
      <c r="C2664" s="46"/>
      <c r="D2664" s="47"/>
      <c r="E2664" s="46"/>
      <c r="F2664" s="47"/>
      <c r="G2664" s="46"/>
      <c r="H2664" s="48"/>
      <c r="I2664" s="49"/>
    </row>
    <row r="2665" ht="22.5" customHeight="1">
      <c r="A2665" s="42"/>
      <c r="B2665" s="47"/>
      <c r="C2665" s="46"/>
      <c r="D2665" s="47"/>
      <c r="E2665" s="46"/>
      <c r="F2665" s="47"/>
      <c r="G2665" s="46"/>
      <c r="H2665" s="50"/>
      <c r="I2665" s="51"/>
    </row>
    <row r="2666" ht="22.5" customHeight="1">
      <c r="A2666" s="42"/>
      <c r="B2666" s="47"/>
      <c r="C2666" s="46"/>
      <c r="D2666" s="47"/>
      <c r="E2666" s="46"/>
      <c r="F2666" s="47"/>
      <c r="G2666" s="46"/>
      <c r="H2666" s="48"/>
      <c r="I2666" s="49"/>
    </row>
    <row r="2667" ht="22.5" customHeight="1">
      <c r="A2667" s="42"/>
      <c r="B2667" s="47"/>
      <c r="C2667" s="46"/>
      <c r="D2667" s="47"/>
      <c r="E2667" s="46"/>
      <c r="F2667" s="47"/>
      <c r="G2667" s="46"/>
      <c r="H2667" s="50"/>
      <c r="I2667" s="51"/>
    </row>
    <row r="2668" ht="22.5" customHeight="1">
      <c r="A2668" s="42"/>
      <c r="B2668" s="47"/>
      <c r="C2668" s="46"/>
      <c r="D2668" s="47"/>
      <c r="E2668" s="46"/>
      <c r="F2668" s="47"/>
      <c r="G2668" s="46"/>
      <c r="H2668" s="48"/>
      <c r="I2668" s="49"/>
    </row>
    <row r="2669" ht="22.5" customHeight="1">
      <c r="A2669" s="42"/>
      <c r="B2669" s="47"/>
      <c r="C2669" s="46"/>
      <c r="D2669" s="47"/>
      <c r="E2669" s="46"/>
      <c r="F2669" s="47"/>
      <c r="G2669" s="46"/>
      <c r="H2669" s="50"/>
      <c r="I2669" s="51"/>
    </row>
    <row r="2670" ht="22.5" customHeight="1">
      <c r="A2670" s="42"/>
      <c r="B2670" s="47"/>
      <c r="C2670" s="46"/>
      <c r="D2670" s="47"/>
      <c r="E2670" s="46"/>
      <c r="F2670" s="47"/>
      <c r="G2670" s="46"/>
      <c r="H2670" s="48"/>
      <c r="I2670" s="49"/>
    </row>
    <row r="2671" ht="22.5" customHeight="1">
      <c r="A2671" s="42"/>
      <c r="B2671" s="47"/>
      <c r="C2671" s="46"/>
      <c r="D2671" s="47"/>
      <c r="E2671" s="46"/>
      <c r="F2671" s="47"/>
      <c r="G2671" s="46"/>
      <c r="H2671" s="50"/>
      <c r="I2671" s="51"/>
    </row>
    <row r="2672" ht="22.5" customHeight="1">
      <c r="A2672" s="42"/>
      <c r="B2672" s="47"/>
      <c r="C2672" s="46"/>
      <c r="D2672" s="47"/>
      <c r="E2672" s="46"/>
      <c r="F2672" s="47"/>
      <c r="G2672" s="46"/>
      <c r="H2672" s="48"/>
      <c r="I2672" s="49"/>
    </row>
    <row r="2673" ht="22.5" customHeight="1">
      <c r="A2673" s="42"/>
      <c r="B2673" s="47"/>
      <c r="C2673" s="46"/>
      <c r="D2673" s="47"/>
      <c r="E2673" s="46"/>
      <c r="F2673" s="47"/>
      <c r="G2673" s="46"/>
      <c r="H2673" s="50"/>
      <c r="I2673" s="51"/>
    </row>
    <row r="2674" ht="22.5" customHeight="1">
      <c r="A2674" s="42"/>
      <c r="B2674" s="47"/>
      <c r="C2674" s="46"/>
      <c r="D2674" s="47"/>
      <c r="E2674" s="46"/>
      <c r="F2674" s="47"/>
      <c r="G2674" s="46"/>
      <c r="H2674" s="48"/>
      <c r="I2674" s="49"/>
    </row>
    <row r="2675" ht="22.5" customHeight="1">
      <c r="A2675" s="42"/>
      <c r="B2675" s="47"/>
      <c r="C2675" s="46"/>
      <c r="D2675" s="47"/>
      <c r="E2675" s="46"/>
      <c r="F2675" s="47"/>
      <c r="G2675" s="46"/>
      <c r="H2675" s="50"/>
      <c r="I2675" s="51"/>
    </row>
    <row r="2676" ht="22.5" customHeight="1">
      <c r="A2676" s="42"/>
      <c r="B2676" s="47"/>
      <c r="C2676" s="46"/>
      <c r="D2676" s="47"/>
      <c r="E2676" s="46"/>
      <c r="F2676" s="47"/>
      <c r="G2676" s="46"/>
      <c r="H2676" s="48"/>
      <c r="I2676" s="49"/>
    </row>
    <row r="2677" ht="22.5" customHeight="1">
      <c r="A2677" s="42"/>
      <c r="B2677" s="47"/>
      <c r="C2677" s="46"/>
      <c r="D2677" s="47"/>
      <c r="E2677" s="46"/>
      <c r="F2677" s="47"/>
      <c r="G2677" s="46"/>
      <c r="H2677" s="50"/>
      <c r="I2677" s="51"/>
    </row>
    <row r="2678" ht="22.5" customHeight="1">
      <c r="A2678" s="42"/>
      <c r="B2678" s="47"/>
      <c r="C2678" s="46"/>
      <c r="D2678" s="47"/>
      <c r="E2678" s="46"/>
      <c r="F2678" s="47"/>
      <c r="G2678" s="46"/>
      <c r="H2678" s="48"/>
      <c r="I2678" s="49"/>
    </row>
    <row r="2679" ht="22.5" customHeight="1">
      <c r="A2679" s="42"/>
      <c r="B2679" s="47"/>
      <c r="C2679" s="46"/>
      <c r="D2679" s="47"/>
      <c r="E2679" s="46"/>
      <c r="F2679" s="47"/>
      <c r="G2679" s="46"/>
      <c r="H2679" s="50"/>
      <c r="I2679" s="51"/>
    </row>
    <row r="2680" ht="22.5" customHeight="1">
      <c r="A2680" s="42"/>
      <c r="B2680" s="47"/>
      <c r="C2680" s="46"/>
      <c r="D2680" s="47"/>
      <c r="E2680" s="46"/>
      <c r="F2680" s="47"/>
      <c r="G2680" s="46"/>
      <c r="H2680" s="48"/>
      <c r="I2680" s="49"/>
    </row>
    <row r="2681" ht="22.5" customHeight="1">
      <c r="A2681" s="42"/>
      <c r="B2681" s="47"/>
      <c r="C2681" s="46"/>
      <c r="D2681" s="47"/>
      <c r="E2681" s="46"/>
      <c r="F2681" s="47"/>
      <c r="G2681" s="46"/>
      <c r="H2681" s="50"/>
      <c r="I2681" s="51"/>
    </row>
    <row r="2682" ht="22.5" customHeight="1">
      <c r="A2682" s="42"/>
      <c r="B2682" s="47"/>
      <c r="C2682" s="46"/>
      <c r="D2682" s="47"/>
      <c r="E2682" s="46"/>
      <c r="F2682" s="47"/>
      <c r="G2682" s="46"/>
      <c r="H2682" s="48"/>
      <c r="I2682" s="49"/>
    </row>
    <row r="2683" ht="22.5" customHeight="1">
      <c r="A2683" s="42"/>
      <c r="B2683" s="47"/>
      <c r="C2683" s="46"/>
      <c r="D2683" s="47"/>
      <c r="E2683" s="46"/>
      <c r="F2683" s="47"/>
      <c r="G2683" s="46"/>
      <c r="H2683" s="50"/>
      <c r="I2683" s="51"/>
    </row>
    <row r="2684" ht="22.5" customHeight="1">
      <c r="A2684" s="42"/>
      <c r="B2684" s="47"/>
      <c r="C2684" s="46"/>
      <c r="D2684" s="47"/>
      <c r="E2684" s="46"/>
      <c r="F2684" s="47"/>
      <c r="G2684" s="46"/>
      <c r="H2684" s="48"/>
      <c r="I2684" s="49"/>
    </row>
    <row r="2685" ht="22.5" customHeight="1">
      <c r="A2685" s="42"/>
      <c r="B2685" s="47"/>
      <c r="C2685" s="46"/>
      <c r="D2685" s="47"/>
      <c r="E2685" s="46"/>
      <c r="F2685" s="47"/>
      <c r="G2685" s="46"/>
      <c r="H2685" s="50"/>
      <c r="I2685" s="51"/>
    </row>
    <row r="2686" ht="22.5" customHeight="1">
      <c r="A2686" s="42"/>
      <c r="B2686" s="47"/>
      <c r="C2686" s="46"/>
      <c r="D2686" s="47"/>
      <c r="E2686" s="46"/>
      <c r="F2686" s="47"/>
      <c r="G2686" s="46"/>
      <c r="H2686" s="48"/>
      <c r="I2686" s="49"/>
    </row>
    <row r="2687" ht="22.5" customHeight="1">
      <c r="A2687" s="42"/>
      <c r="B2687" s="47"/>
      <c r="C2687" s="46"/>
      <c r="D2687" s="47"/>
      <c r="E2687" s="46"/>
      <c r="F2687" s="47"/>
      <c r="G2687" s="46"/>
      <c r="H2687" s="50"/>
      <c r="I2687" s="51"/>
    </row>
    <row r="2688" ht="22.5" customHeight="1">
      <c r="A2688" s="42"/>
      <c r="B2688" s="47"/>
      <c r="C2688" s="46"/>
      <c r="D2688" s="47"/>
      <c r="E2688" s="46"/>
      <c r="F2688" s="47"/>
      <c r="G2688" s="46"/>
      <c r="H2688" s="48"/>
      <c r="I2688" s="49"/>
    </row>
    <row r="2689" ht="22.5" customHeight="1">
      <c r="A2689" s="42"/>
      <c r="B2689" s="47"/>
      <c r="C2689" s="46"/>
      <c r="D2689" s="47"/>
      <c r="E2689" s="46"/>
      <c r="F2689" s="47"/>
      <c r="G2689" s="46"/>
      <c r="H2689" s="50"/>
      <c r="I2689" s="51"/>
    </row>
    <row r="2690" ht="22.5" customHeight="1">
      <c r="A2690" s="42"/>
      <c r="B2690" s="47"/>
      <c r="C2690" s="46"/>
      <c r="D2690" s="47"/>
      <c r="E2690" s="46"/>
      <c r="F2690" s="47"/>
      <c r="G2690" s="46"/>
      <c r="H2690" s="48"/>
      <c r="I2690" s="49"/>
    </row>
    <row r="2691" ht="22.5" customHeight="1">
      <c r="A2691" s="42"/>
      <c r="B2691" s="47"/>
      <c r="C2691" s="46"/>
      <c r="D2691" s="47"/>
      <c r="E2691" s="46"/>
      <c r="F2691" s="47"/>
      <c r="G2691" s="46"/>
      <c r="H2691" s="50"/>
      <c r="I2691" s="51"/>
    </row>
    <row r="2692" ht="22.5" customHeight="1">
      <c r="A2692" s="42"/>
      <c r="B2692" s="47"/>
      <c r="C2692" s="46"/>
      <c r="D2692" s="47"/>
      <c r="E2692" s="46"/>
      <c r="F2692" s="47"/>
      <c r="G2692" s="46"/>
      <c r="H2692" s="48"/>
      <c r="I2692" s="49"/>
    </row>
    <row r="2693" ht="22.5" customHeight="1">
      <c r="A2693" s="42"/>
      <c r="B2693" s="47"/>
      <c r="C2693" s="46"/>
      <c r="D2693" s="47"/>
      <c r="E2693" s="46"/>
      <c r="F2693" s="47"/>
      <c r="G2693" s="46"/>
      <c r="H2693" s="50"/>
      <c r="I2693" s="51"/>
    </row>
    <row r="2694" ht="22.5" customHeight="1">
      <c r="A2694" s="42"/>
      <c r="B2694" s="47"/>
      <c r="C2694" s="46"/>
      <c r="D2694" s="47"/>
      <c r="E2694" s="46"/>
      <c r="F2694" s="47"/>
      <c r="G2694" s="46"/>
      <c r="H2694" s="48"/>
      <c r="I2694" s="49"/>
    </row>
    <row r="2695" ht="22.5" customHeight="1">
      <c r="A2695" s="42"/>
      <c r="B2695" s="47"/>
      <c r="C2695" s="46"/>
      <c r="D2695" s="47"/>
      <c r="E2695" s="46"/>
      <c r="F2695" s="47"/>
      <c r="G2695" s="46"/>
      <c r="H2695" s="50"/>
      <c r="I2695" s="51"/>
    </row>
    <row r="2696" ht="22.5" customHeight="1">
      <c r="A2696" s="42"/>
      <c r="B2696" s="47"/>
      <c r="C2696" s="46"/>
      <c r="D2696" s="47"/>
      <c r="E2696" s="46"/>
      <c r="F2696" s="47"/>
      <c r="G2696" s="46"/>
      <c r="H2696" s="48"/>
      <c r="I2696" s="49"/>
    </row>
    <row r="2697" ht="22.5" customHeight="1">
      <c r="A2697" s="42"/>
      <c r="B2697" s="47"/>
      <c r="C2697" s="46"/>
      <c r="D2697" s="47"/>
      <c r="E2697" s="46"/>
      <c r="F2697" s="47"/>
      <c r="G2697" s="46"/>
      <c r="H2697" s="50"/>
      <c r="I2697" s="51"/>
    </row>
    <row r="2698" ht="22.5" customHeight="1">
      <c r="A2698" s="42"/>
      <c r="B2698" s="47"/>
      <c r="C2698" s="46"/>
      <c r="D2698" s="47"/>
      <c r="E2698" s="46"/>
      <c r="F2698" s="47"/>
      <c r="G2698" s="46"/>
      <c r="H2698" s="48"/>
      <c r="I2698" s="49"/>
    </row>
    <row r="2699" ht="22.5" customHeight="1">
      <c r="A2699" s="42"/>
      <c r="B2699" s="47"/>
      <c r="C2699" s="46"/>
      <c r="D2699" s="47"/>
      <c r="E2699" s="46"/>
      <c r="F2699" s="47"/>
      <c r="G2699" s="46"/>
      <c r="H2699" s="50"/>
      <c r="I2699" s="51"/>
    </row>
    <row r="2700" ht="22.5" customHeight="1">
      <c r="A2700" s="42"/>
      <c r="B2700" s="47"/>
      <c r="C2700" s="46"/>
      <c r="D2700" s="47"/>
      <c r="E2700" s="46"/>
      <c r="F2700" s="47"/>
      <c r="G2700" s="46"/>
      <c r="H2700" s="48"/>
      <c r="I2700" s="49"/>
    </row>
    <row r="2701" ht="22.5" customHeight="1">
      <c r="A2701" s="42"/>
      <c r="B2701" s="47"/>
      <c r="C2701" s="46"/>
      <c r="D2701" s="47"/>
      <c r="E2701" s="46"/>
      <c r="F2701" s="47"/>
      <c r="G2701" s="46"/>
      <c r="H2701" s="50"/>
      <c r="I2701" s="51"/>
    </row>
    <row r="2702" ht="22.5" customHeight="1">
      <c r="A2702" s="42"/>
      <c r="B2702" s="47"/>
      <c r="C2702" s="46"/>
      <c r="D2702" s="47"/>
      <c r="E2702" s="46"/>
      <c r="F2702" s="47"/>
      <c r="G2702" s="46"/>
      <c r="H2702" s="48"/>
      <c r="I2702" s="49"/>
    </row>
    <row r="2703" ht="22.5" customHeight="1">
      <c r="A2703" s="42"/>
      <c r="B2703" s="47"/>
      <c r="C2703" s="46"/>
      <c r="D2703" s="47"/>
      <c r="E2703" s="46"/>
      <c r="F2703" s="47"/>
      <c r="G2703" s="46"/>
      <c r="H2703" s="50"/>
      <c r="I2703" s="51"/>
    </row>
    <row r="2704" ht="22.5" customHeight="1">
      <c r="A2704" s="42"/>
      <c r="B2704" s="47"/>
      <c r="C2704" s="46"/>
      <c r="D2704" s="47"/>
      <c r="E2704" s="46"/>
      <c r="F2704" s="47"/>
      <c r="G2704" s="46"/>
      <c r="H2704" s="48"/>
      <c r="I2704" s="49"/>
    </row>
    <row r="2705" ht="22.5" customHeight="1">
      <c r="A2705" s="42"/>
      <c r="B2705" s="47"/>
      <c r="C2705" s="46"/>
      <c r="D2705" s="47"/>
      <c r="E2705" s="46"/>
      <c r="F2705" s="47"/>
      <c r="G2705" s="46"/>
      <c r="H2705" s="50"/>
      <c r="I2705" s="51"/>
    </row>
    <row r="2706" ht="22.5" customHeight="1">
      <c r="A2706" s="42"/>
      <c r="B2706" s="47"/>
      <c r="C2706" s="46"/>
      <c r="D2706" s="47"/>
      <c r="E2706" s="46"/>
      <c r="F2706" s="47"/>
      <c r="G2706" s="46"/>
      <c r="H2706" s="48"/>
      <c r="I2706" s="49"/>
    </row>
    <row r="2707" ht="22.5" customHeight="1">
      <c r="A2707" s="42"/>
      <c r="B2707" s="47"/>
      <c r="C2707" s="46"/>
      <c r="D2707" s="47"/>
      <c r="E2707" s="46"/>
      <c r="F2707" s="47"/>
      <c r="G2707" s="46"/>
      <c r="H2707" s="50"/>
      <c r="I2707" s="51"/>
    </row>
    <row r="2708" ht="22.5" customHeight="1">
      <c r="A2708" s="42"/>
      <c r="B2708" s="47"/>
      <c r="C2708" s="46"/>
      <c r="D2708" s="47"/>
      <c r="E2708" s="46"/>
      <c r="F2708" s="47"/>
      <c r="G2708" s="46"/>
      <c r="H2708" s="48"/>
      <c r="I2708" s="49"/>
    </row>
    <row r="2709" ht="22.5" customHeight="1">
      <c r="A2709" s="42"/>
      <c r="B2709" s="47"/>
      <c r="C2709" s="46"/>
      <c r="D2709" s="47"/>
      <c r="E2709" s="46"/>
      <c r="F2709" s="47"/>
      <c r="G2709" s="46"/>
      <c r="H2709" s="50"/>
      <c r="I2709" s="51"/>
    </row>
    <row r="2710" ht="22.5" customHeight="1">
      <c r="A2710" s="42"/>
      <c r="B2710" s="47"/>
      <c r="C2710" s="46"/>
      <c r="D2710" s="47"/>
      <c r="E2710" s="46"/>
      <c r="F2710" s="47"/>
      <c r="G2710" s="46"/>
      <c r="H2710" s="48"/>
      <c r="I2710" s="49"/>
    </row>
    <row r="2711" ht="22.5" customHeight="1">
      <c r="A2711" s="42"/>
      <c r="B2711" s="47"/>
      <c r="C2711" s="46"/>
      <c r="D2711" s="47"/>
      <c r="E2711" s="46"/>
      <c r="F2711" s="47"/>
      <c r="G2711" s="46"/>
      <c r="H2711" s="50"/>
      <c r="I2711" s="51"/>
    </row>
    <row r="2712" ht="22.5" customHeight="1">
      <c r="A2712" s="42"/>
      <c r="B2712" s="47"/>
      <c r="C2712" s="46"/>
      <c r="D2712" s="47"/>
      <c r="E2712" s="46"/>
      <c r="F2712" s="47"/>
      <c r="G2712" s="46"/>
      <c r="H2712" s="48"/>
      <c r="I2712" s="49"/>
    </row>
    <row r="2713" ht="22.5" customHeight="1">
      <c r="A2713" s="42"/>
      <c r="B2713" s="47"/>
      <c r="C2713" s="46"/>
      <c r="D2713" s="47"/>
      <c r="E2713" s="46"/>
      <c r="F2713" s="47"/>
      <c r="G2713" s="46"/>
      <c r="H2713" s="50"/>
      <c r="I2713" s="51"/>
    </row>
    <row r="2714" ht="22.5" customHeight="1">
      <c r="A2714" s="42"/>
      <c r="B2714" s="47"/>
      <c r="C2714" s="46"/>
      <c r="D2714" s="47"/>
      <c r="E2714" s="46"/>
      <c r="F2714" s="47"/>
      <c r="G2714" s="46"/>
      <c r="H2714" s="48"/>
      <c r="I2714" s="49"/>
    </row>
    <row r="2715" ht="22.5" customHeight="1">
      <c r="A2715" s="42"/>
      <c r="B2715" s="47"/>
      <c r="C2715" s="46"/>
      <c r="D2715" s="47"/>
      <c r="E2715" s="46"/>
      <c r="F2715" s="47"/>
      <c r="G2715" s="46"/>
      <c r="H2715" s="50"/>
      <c r="I2715" s="51"/>
    </row>
    <row r="2716" ht="22.5" customHeight="1">
      <c r="A2716" s="42"/>
      <c r="B2716" s="47"/>
      <c r="C2716" s="46"/>
      <c r="D2716" s="47"/>
      <c r="E2716" s="46"/>
      <c r="F2716" s="47"/>
      <c r="G2716" s="46"/>
      <c r="H2716" s="48"/>
      <c r="I2716" s="49"/>
    </row>
    <row r="2717" ht="22.5" customHeight="1">
      <c r="A2717" s="42"/>
      <c r="B2717" s="47"/>
      <c r="C2717" s="46"/>
      <c r="D2717" s="47"/>
      <c r="E2717" s="46"/>
      <c r="F2717" s="47"/>
      <c r="G2717" s="46"/>
      <c r="H2717" s="50"/>
      <c r="I2717" s="51"/>
    </row>
    <row r="2718" ht="22.5" customHeight="1">
      <c r="A2718" s="42"/>
      <c r="B2718" s="47"/>
      <c r="C2718" s="46"/>
      <c r="D2718" s="47"/>
      <c r="E2718" s="46"/>
      <c r="F2718" s="47"/>
      <c r="G2718" s="46"/>
      <c r="H2718" s="48"/>
      <c r="I2718" s="49"/>
    </row>
    <row r="2719" ht="22.5" customHeight="1">
      <c r="A2719" s="42"/>
      <c r="B2719" s="47"/>
      <c r="C2719" s="46"/>
      <c r="D2719" s="47"/>
      <c r="E2719" s="46"/>
      <c r="F2719" s="47"/>
      <c r="G2719" s="46"/>
      <c r="H2719" s="50"/>
      <c r="I2719" s="51"/>
    </row>
    <row r="2720" ht="22.5" customHeight="1">
      <c r="A2720" s="42"/>
      <c r="B2720" s="47"/>
      <c r="C2720" s="46"/>
      <c r="D2720" s="47"/>
      <c r="E2720" s="46"/>
      <c r="F2720" s="47"/>
      <c r="G2720" s="46"/>
      <c r="H2720" s="48"/>
      <c r="I2720" s="49"/>
    </row>
    <row r="2721" ht="22.5" customHeight="1">
      <c r="A2721" s="42"/>
      <c r="B2721" s="47"/>
      <c r="C2721" s="46"/>
      <c r="D2721" s="47"/>
      <c r="E2721" s="46"/>
      <c r="F2721" s="47"/>
      <c r="G2721" s="46"/>
      <c r="H2721" s="50"/>
      <c r="I2721" s="51"/>
    </row>
    <row r="2722" ht="22.5" customHeight="1">
      <c r="A2722" s="42"/>
      <c r="B2722" s="47"/>
      <c r="C2722" s="46"/>
      <c r="D2722" s="47"/>
      <c r="E2722" s="46"/>
      <c r="F2722" s="47"/>
      <c r="G2722" s="46"/>
      <c r="H2722" s="48"/>
      <c r="I2722" s="49"/>
    </row>
    <row r="2723" ht="22.5" customHeight="1">
      <c r="A2723" s="42"/>
      <c r="B2723" s="47"/>
      <c r="C2723" s="46"/>
      <c r="D2723" s="47"/>
      <c r="E2723" s="46"/>
      <c r="F2723" s="47"/>
      <c r="G2723" s="46"/>
      <c r="H2723" s="50"/>
      <c r="I2723" s="51"/>
    </row>
    <row r="2724" ht="22.5" customHeight="1">
      <c r="A2724" s="42"/>
      <c r="B2724" s="47"/>
      <c r="C2724" s="46"/>
      <c r="D2724" s="47"/>
      <c r="E2724" s="46"/>
      <c r="F2724" s="47"/>
      <c r="G2724" s="46"/>
      <c r="H2724" s="48"/>
      <c r="I2724" s="49"/>
    </row>
    <row r="2725" ht="22.5" customHeight="1">
      <c r="A2725" s="42"/>
      <c r="B2725" s="47"/>
      <c r="C2725" s="46"/>
      <c r="D2725" s="47"/>
      <c r="E2725" s="46"/>
      <c r="F2725" s="47"/>
      <c r="G2725" s="46"/>
      <c r="H2725" s="50"/>
      <c r="I2725" s="51"/>
    </row>
    <row r="2726" ht="22.5" customHeight="1">
      <c r="A2726" s="42"/>
      <c r="B2726" s="47"/>
      <c r="C2726" s="46"/>
      <c r="D2726" s="47"/>
      <c r="E2726" s="46"/>
      <c r="F2726" s="47"/>
      <c r="G2726" s="46"/>
      <c r="H2726" s="48"/>
      <c r="I2726" s="49"/>
    </row>
    <row r="2727" ht="22.5" customHeight="1">
      <c r="A2727" s="42"/>
      <c r="B2727" s="47"/>
      <c r="C2727" s="46"/>
      <c r="D2727" s="47"/>
      <c r="E2727" s="46"/>
      <c r="F2727" s="47"/>
      <c r="G2727" s="46"/>
      <c r="H2727" s="50"/>
      <c r="I2727" s="51"/>
    </row>
    <row r="2728" ht="22.5" customHeight="1">
      <c r="A2728" s="42"/>
      <c r="B2728" s="47"/>
      <c r="C2728" s="46"/>
      <c r="D2728" s="47"/>
      <c r="E2728" s="46"/>
      <c r="F2728" s="47"/>
      <c r="G2728" s="46"/>
      <c r="H2728" s="48"/>
      <c r="I2728" s="49"/>
    </row>
    <row r="2729" ht="22.5" customHeight="1">
      <c r="A2729" s="42"/>
      <c r="B2729" s="47"/>
      <c r="C2729" s="46"/>
      <c r="D2729" s="47"/>
      <c r="E2729" s="46"/>
      <c r="F2729" s="47"/>
      <c r="G2729" s="46"/>
      <c r="H2729" s="50"/>
      <c r="I2729" s="51"/>
    </row>
    <row r="2730" ht="22.5" customHeight="1">
      <c r="A2730" s="42"/>
      <c r="B2730" s="47"/>
      <c r="C2730" s="46"/>
      <c r="D2730" s="47"/>
      <c r="E2730" s="46"/>
      <c r="F2730" s="47"/>
      <c r="G2730" s="46"/>
      <c r="H2730" s="48"/>
      <c r="I2730" s="49"/>
    </row>
    <row r="2731" ht="22.5" customHeight="1">
      <c r="A2731" s="42"/>
      <c r="B2731" s="47"/>
      <c r="C2731" s="46"/>
      <c r="D2731" s="47"/>
      <c r="E2731" s="46"/>
      <c r="F2731" s="47"/>
      <c r="G2731" s="46"/>
      <c r="H2731" s="50"/>
      <c r="I2731" s="51"/>
    </row>
    <row r="2732" ht="22.5" customHeight="1">
      <c r="A2732" s="42"/>
      <c r="B2732" s="47"/>
      <c r="C2732" s="46"/>
      <c r="D2732" s="47"/>
      <c r="E2732" s="46"/>
      <c r="F2732" s="47"/>
      <c r="G2732" s="46"/>
      <c r="H2732" s="48"/>
      <c r="I2732" s="49"/>
    </row>
    <row r="2733" ht="22.5" customHeight="1">
      <c r="A2733" s="42"/>
      <c r="B2733" s="47"/>
      <c r="C2733" s="46"/>
      <c r="D2733" s="47"/>
      <c r="E2733" s="46"/>
      <c r="F2733" s="47"/>
      <c r="G2733" s="46"/>
      <c r="H2733" s="50"/>
      <c r="I2733" s="51"/>
    </row>
    <row r="2734" ht="22.5" customHeight="1">
      <c r="A2734" s="42"/>
      <c r="B2734" s="47"/>
      <c r="C2734" s="46"/>
      <c r="D2734" s="47"/>
      <c r="E2734" s="46"/>
      <c r="F2734" s="47"/>
      <c r="G2734" s="46"/>
      <c r="H2734" s="48"/>
      <c r="I2734" s="49"/>
    </row>
    <row r="2735" ht="22.5" customHeight="1">
      <c r="A2735" s="42"/>
      <c r="B2735" s="47"/>
      <c r="C2735" s="46"/>
      <c r="D2735" s="47"/>
      <c r="E2735" s="46"/>
      <c r="F2735" s="47"/>
      <c r="G2735" s="46"/>
      <c r="H2735" s="50"/>
      <c r="I2735" s="51"/>
    </row>
    <row r="2736" ht="22.5" customHeight="1">
      <c r="A2736" s="42"/>
      <c r="B2736" s="47"/>
      <c r="C2736" s="46"/>
      <c r="D2736" s="47"/>
      <c r="E2736" s="46"/>
      <c r="F2736" s="47"/>
      <c r="G2736" s="46"/>
      <c r="H2736" s="48"/>
      <c r="I2736" s="49"/>
    </row>
    <row r="2737" ht="22.5" customHeight="1">
      <c r="A2737" s="42"/>
      <c r="B2737" s="47"/>
      <c r="C2737" s="46"/>
      <c r="D2737" s="47"/>
      <c r="E2737" s="46"/>
      <c r="F2737" s="47"/>
      <c r="G2737" s="46"/>
      <c r="H2737" s="50"/>
      <c r="I2737" s="51"/>
    </row>
    <row r="2738" ht="22.5" customHeight="1">
      <c r="A2738" s="42"/>
      <c r="B2738" s="47"/>
      <c r="C2738" s="46"/>
      <c r="D2738" s="47"/>
      <c r="E2738" s="46"/>
      <c r="F2738" s="47"/>
      <c r="G2738" s="46"/>
      <c r="H2738" s="48"/>
      <c r="I2738" s="49"/>
    </row>
    <row r="2739" ht="22.5" customHeight="1">
      <c r="A2739" s="42"/>
      <c r="B2739" s="47"/>
      <c r="C2739" s="46"/>
      <c r="D2739" s="47"/>
      <c r="E2739" s="46"/>
      <c r="F2739" s="47"/>
      <c r="G2739" s="46"/>
      <c r="H2739" s="50"/>
      <c r="I2739" s="51"/>
    </row>
    <row r="2740" ht="22.5" customHeight="1">
      <c r="A2740" s="42"/>
      <c r="B2740" s="47"/>
      <c r="C2740" s="46"/>
      <c r="D2740" s="47"/>
      <c r="E2740" s="46"/>
      <c r="F2740" s="47"/>
      <c r="G2740" s="46"/>
      <c r="H2740" s="48"/>
      <c r="I2740" s="49"/>
    </row>
    <row r="2741" ht="22.5" customHeight="1">
      <c r="A2741" s="42"/>
      <c r="B2741" s="47"/>
      <c r="C2741" s="46"/>
      <c r="D2741" s="47"/>
      <c r="E2741" s="46"/>
      <c r="F2741" s="47"/>
      <c r="G2741" s="46"/>
      <c r="H2741" s="50"/>
      <c r="I2741" s="51"/>
    </row>
    <row r="2742" ht="22.5" customHeight="1">
      <c r="A2742" s="42"/>
      <c r="B2742" s="47"/>
      <c r="C2742" s="46"/>
      <c r="D2742" s="47"/>
      <c r="E2742" s="46"/>
      <c r="F2742" s="47"/>
      <c r="G2742" s="46"/>
      <c r="H2742" s="48"/>
      <c r="I2742" s="49"/>
    </row>
    <row r="2743" ht="22.5" customHeight="1">
      <c r="A2743" s="42"/>
      <c r="B2743" s="47"/>
      <c r="C2743" s="46"/>
      <c r="D2743" s="47"/>
      <c r="E2743" s="46"/>
      <c r="F2743" s="47"/>
      <c r="G2743" s="46"/>
      <c r="H2743" s="50"/>
      <c r="I2743" s="51"/>
    </row>
    <row r="2744" ht="22.5" customHeight="1">
      <c r="A2744" s="42"/>
      <c r="B2744" s="47"/>
      <c r="C2744" s="46"/>
      <c r="D2744" s="47"/>
      <c r="E2744" s="46"/>
      <c r="F2744" s="47"/>
      <c r="G2744" s="46"/>
      <c r="H2744" s="48"/>
      <c r="I2744" s="49"/>
    </row>
    <row r="2745" ht="22.5" customHeight="1">
      <c r="A2745" s="42"/>
      <c r="B2745" s="47"/>
      <c r="C2745" s="46"/>
      <c r="D2745" s="47"/>
      <c r="E2745" s="46"/>
      <c r="F2745" s="47"/>
      <c r="G2745" s="46"/>
      <c r="H2745" s="50"/>
      <c r="I2745" s="51"/>
    </row>
    <row r="2746" ht="22.5" customHeight="1">
      <c r="A2746" s="42"/>
      <c r="B2746" s="47"/>
      <c r="C2746" s="46"/>
      <c r="D2746" s="47"/>
      <c r="E2746" s="46"/>
      <c r="F2746" s="47"/>
      <c r="G2746" s="46"/>
      <c r="H2746" s="48"/>
      <c r="I2746" s="49"/>
    </row>
    <row r="2747" ht="22.5" customHeight="1">
      <c r="A2747" s="42"/>
      <c r="B2747" s="47"/>
      <c r="C2747" s="46"/>
      <c r="D2747" s="47"/>
      <c r="E2747" s="46"/>
      <c r="F2747" s="47"/>
      <c r="G2747" s="46"/>
      <c r="H2747" s="50"/>
      <c r="I2747" s="51"/>
    </row>
    <row r="2748" ht="22.5" customHeight="1">
      <c r="A2748" s="42"/>
      <c r="B2748" s="47"/>
      <c r="C2748" s="46"/>
      <c r="D2748" s="47"/>
      <c r="E2748" s="46"/>
      <c r="F2748" s="47"/>
      <c r="G2748" s="46"/>
      <c r="H2748" s="48"/>
      <c r="I2748" s="49"/>
    </row>
    <row r="2749" ht="22.5" customHeight="1">
      <c r="A2749" s="42"/>
      <c r="B2749" s="47"/>
      <c r="C2749" s="46"/>
      <c r="D2749" s="47"/>
      <c r="E2749" s="46"/>
      <c r="F2749" s="47"/>
      <c r="G2749" s="46"/>
      <c r="H2749" s="50"/>
      <c r="I2749" s="51"/>
    </row>
    <row r="2750" ht="22.5" customHeight="1">
      <c r="A2750" s="42"/>
      <c r="B2750" s="47"/>
      <c r="C2750" s="46"/>
      <c r="D2750" s="47"/>
      <c r="E2750" s="46"/>
      <c r="F2750" s="47"/>
      <c r="G2750" s="46"/>
      <c r="H2750" s="48"/>
      <c r="I2750" s="49"/>
    </row>
    <row r="2751" ht="22.5" customHeight="1">
      <c r="A2751" s="42"/>
      <c r="B2751" s="47"/>
      <c r="C2751" s="46"/>
      <c r="D2751" s="47"/>
      <c r="E2751" s="46"/>
      <c r="F2751" s="47"/>
      <c r="G2751" s="46"/>
      <c r="H2751" s="50"/>
      <c r="I2751" s="51"/>
    </row>
    <row r="2752" ht="22.5" customHeight="1">
      <c r="A2752" s="42"/>
      <c r="B2752" s="47"/>
      <c r="C2752" s="46"/>
      <c r="D2752" s="47"/>
      <c r="E2752" s="46"/>
      <c r="F2752" s="47"/>
      <c r="G2752" s="46"/>
      <c r="H2752" s="48"/>
      <c r="I2752" s="49"/>
    </row>
    <row r="2753" ht="22.5" customHeight="1">
      <c r="A2753" s="42"/>
      <c r="B2753" s="47"/>
      <c r="C2753" s="46"/>
      <c r="D2753" s="47"/>
      <c r="E2753" s="46"/>
      <c r="F2753" s="47"/>
      <c r="G2753" s="46"/>
      <c r="H2753" s="50"/>
      <c r="I2753" s="51"/>
    </row>
    <row r="2754" ht="22.5" customHeight="1">
      <c r="A2754" s="42"/>
      <c r="B2754" s="47"/>
      <c r="C2754" s="46"/>
      <c r="D2754" s="47"/>
      <c r="E2754" s="46"/>
      <c r="F2754" s="47"/>
      <c r="G2754" s="46"/>
      <c r="H2754" s="48"/>
      <c r="I2754" s="49"/>
    </row>
    <row r="2755" ht="22.5" customHeight="1">
      <c r="A2755" s="42"/>
      <c r="B2755" s="47"/>
      <c r="C2755" s="46"/>
      <c r="D2755" s="47"/>
      <c r="E2755" s="46"/>
      <c r="F2755" s="47"/>
      <c r="G2755" s="46"/>
      <c r="H2755" s="50"/>
      <c r="I2755" s="51"/>
    </row>
    <row r="2756" ht="22.5" customHeight="1">
      <c r="A2756" s="42"/>
      <c r="B2756" s="47"/>
      <c r="C2756" s="46"/>
      <c r="D2756" s="47"/>
      <c r="E2756" s="46"/>
      <c r="F2756" s="47"/>
      <c r="G2756" s="46"/>
      <c r="H2756" s="48"/>
      <c r="I2756" s="49"/>
    </row>
    <row r="2757" ht="22.5" customHeight="1">
      <c r="A2757" s="42"/>
      <c r="B2757" s="47"/>
      <c r="C2757" s="46"/>
      <c r="D2757" s="47"/>
      <c r="E2757" s="46"/>
      <c r="F2757" s="47"/>
      <c r="G2757" s="46"/>
      <c r="H2757" s="50"/>
      <c r="I2757" s="51"/>
    </row>
    <row r="2758" ht="22.5" customHeight="1">
      <c r="A2758" s="42"/>
      <c r="B2758" s="47"/>
      <c r="C2758" s="46"/>
      <c r="D2758" s="47"/>
      <c r="E2758" s="46"/>
      <c r="F2758" s="47"/>
      <c r="G2758" s="46"/>
      <c r="H2758" s="48"/>
      <c r="I2758" s="49"/>
    </row>
    <row r="2759" ht="22.5" customHeight="1">
      <c r="A2759" s="42"/>
      <c r="B2759" s="47"/>
      <c r="C2759" s="46"/>
      <c r="D2759" s="47"/>
      <c r="E2759" s="46"/>
      <c r="F2759" s="47"/>
      <c r="G2759" s="46"/>
      <c r="H2759" s="50"/>
      <c r="I2759" s="51"/>
    </row>
    <row r="2760" ht="22.5" customHeight="1">
      <c r="A2760" s="42"/>
      <c r="B2760" s="47"/>
      <c r="C2760" s="46"/>
      <c r="D2760" s="47"/>
      <c r="E2760" s="46"/>
      <c r="F2760" s="47"/>
      <c r="G2760" s="46"/>
      <c r="H2760" s="48"/>
      <c r="I2760" s="49"/>
    </row>
    <row r="2761" ht="22.5" customHeight="1">
      <c r="A2761" s="42"/>
      <c r="B2761" s="47"/>
      <c r="C2761" s="46"/>
      <c r="D2761" s="47"/>
      <c r="E2761" s="46"/>
      <c r="F2761" s="47"/>
      <c r="G2761" s="46"/>
      <c r="H2761" s="50"/>
      <c r="I2761" s="51"/>
    </row>
    <row r="2762" ht="22.5" customHeight="1">
      <c r="A2762" s="42"/>
      <c r="B2762" s="47"/>
      <c r="C2762" s="46"/>
      <c r="D2762" s="47"/>
      <c r="E2762" s="46"/>
      <c r="F2762" s="47"/>
      <c r="G2762" s="46"/>
      <c r="H2762" s="48"/>
      <c r="I2762" s="49"/>
    </row>
    <row r="2763" ht="22.5" customHeight="1">
      <c r="A2763" s="42"/>
      <c r="B2763" s="47"/>
      <c r="C2763" s="46"/>
      <c r="D2763" s="47"/>
      <c r="E2763" s="46"/>
      <c r="F2763" s="47"/>
      <c r="G2763" s="46"/>
      <c r="H2763" s="50"/>
      <c r="I2763" s="51"/>
    </row>
    <row r="2764" ht="22.5" customHeight="1">
      <c r="A2764" s="42"/>
      <c r="B2764" s="47"/>
      <c r="C2764" s="46"/>
      <c r="D2764" s="47"/>
      <c r="E2764" s="46"/>
      <c r="F2764" s="47"/>
      <c r="G2764" s="46"/>
      <c r="H2764" s="48"/>
      <c r="I2764" s="49"/>
    </row>
    <row r="2765" ht="22.5" customHeight="1">
      <c r="A2765" s="42"/>
      <c r="B2765" s="47"/>
      <c r="C2765" s="46"/>
      <c r="D2765" s="47"/>
      <c r="E2765" s="46"/>
      <c r="F2765" s="47"/>
      <c r="G2765" s="46"/>
      <c r="H2765" s="50"/>
      <c r="I2765" s="51"/>
    </row>
    <row r="2766" ht="22.5" customHeight="1">
      <c r="A2766" s="42"/>
      <c r="B2766" s="47"/>
      <c r="C2766" s="46"/>
      <c r="D2766" s="47"/>
      <c r="E2766" s="46"/>
      <c r="F2766" s="47"/>
      <c r="G2766" s="46"/>
      <c r="H2766" s="48"/>
      <c r="I2766" s="49"/>
    </row>
    <row r="2767" ht="22.5" customHeight="1">
      <c r="A2767" s="42"/>
      <c r="B2767" s="47"/>
      <c r="C2767" s="46"/>
      <c r="D2767" s="47"/>
      <c r="E2767" s="46"/>
      <c r="F2767" s="47"/>
      <c r="G2767" s="46"/>
      <c r="H2767" s="50"/>
      <c r="I2767" s="51"/>
    </row>
    <row r="2768" ht="22.5" customHeight="1">
      <c r="A2768" s="42"/>
      <c r="B2768" s="47"/>
      <c r="C2768" s="46"/>
      <c r="D2768" s="47"/>
      <c r="E2768" s="46"/>
      <c r="F2768" s="47"/>
      <c r="G2768" s="46"/>
      <c r="H2768" s="48"/>
      <c r="I2768" s="49"/>
    </row>
    <row r="2769" ht="22.5" customHeight="1">
      <c r="A2769" s="42"/>
      <c r="B2769" s="47"/>
      <c r="C2769" s="46"/>
      <c r="D2769" s="47"/>
      <c r="E2769" s="46"/>
      <c r="F2769" s="47"/>
      <c r="G2769" s="46"/>
      <c r="H2769" s="50"/>
      <c r="I2769" s="51"/>
    </row>
    <row r="2770" ht="22.5" customHeight="1">
      <c r="A2770" s="42"/>
      <c r="B2770" s="47"/>
      <c r="C2770" s="46"/>
      <c r="D2770" s="47"/>
      <c r="E2770" s="46"/>
      <c r="F2770" s="47"/>
      <c r="G2770" s="46"/>
      <c r="H2770" s="48"/>
      <c r="I2770" s="49"/>
    </row>
    <row r="2771" ht="22.5" customHeight="1">
      <c r="A2771" s="42"/>
      <c r="B2771" s="47"/>
      <c r="C2771" s="46"/>
      <c r="D2771" s="47"/>
      <c r="E2771" s="46"/>
      <c r="F2771" s="47"/>
      <c r="G2771" s="46"/>
      <c r="H2771" s="50"/>
      <c r="I2771" s="51"/>
    </row>
    <row r="2772" ht="22.5" customHeight="1">
      <c r="A2772" s="42"/>
      <c r="B2772" s="47"/>
      <c r="C2772" s="46"/>
      <c r="D2772" s="47"/>
      <c r="E2772" s="46"/>
      <c r="F2772" s="47"/>
      <c r="G2772" s="46"/>
      <c r="H2772" s="48"/>
      <c r="I2772" s="49"/>
    </row>
    <row r="2773" ht="22.5" customHeight="1">
      <c r="A2773" s="42"/>
      <c r="B2773" s="47"/>
      <c r="C2773" s="46"/>
      <c r="D2773" s="47"/>
      <c r="E2773" s="46"/>
      <c r="F2773" s="47"/>
      <c r="G2773" s="46"/>
      <c r="H2773" s="50"/>
      <c r="I2773" s="51"/>
    </row>
    <row r="2774" ht="22.5" customHeight="1">
      <c r="A2774" s="42"/>
      <c r="B2774" s="47"/>
      <c r="C2774" s="46"/>
      <c r="D2774" s="47"/>
      <c r="E2774" s="46"/>
      <c r="F2774" s="47"/>
      <c r="G2774" s="46"/>
      <c r="H2774" s="48"/>
      <c r="I2774" s="49"/>
    </row>
    <row r="2775" ht="22.5" customHeight="1">
      <c r="A2775" s="42"/>
      <c r="B2775" s="47"/>
      <c r="C2775" s="46"/>
      <c r="D2775" s="47"/>
      <c r="E2775" s="46"/>
      <c r="F2775" s="47"/>
      <c r="G2775" s="46"/>
      <c r="H2775" s="50"/>
      <c r="I2775" s="51"/>
    </row>
    <row r="2776" ht="22.5" customHeight="1">
      <c r="A2776" s="42"/>
      <c r="B2776" s="47"/>
      <c r="C2776" s="46"/>
      <c r="D2776" s="47"/>
      <c r="E2776" s="46"/>
      <c r="F2776" s="47"/>
      <c r="G2776" s="46"/>
      <c r="H2776" s="48"/>
      <c r="I2776" s="49"/>
    </row>
    <row r="2777" ht="22.5" customHeight="1">
      <c r="A2777" s="42"/>
      <c r="B2777" s="47"/>
      <c r="C2777" s="46"/>
      <c r="D2777" s="47"/>
      <c r="E2777" s="46"/>
      <c r="F2777" s="47"/>
      <c r="G2777" s="46"/>
      <c r="H2777" s="50"/>
      <c r="I2777" s="51"/>
    </row>
    <row r="2778" ht="22.5" customHeight="1">
      <c r="A2778" s="42"/>
      <c r="B2778" s="47"/>
      <c r="C2778" s="46"/>
      <c r="D2778" s="47"/>
      <c r="E2778" s="46"/>
      <c r="F2778" s="47"/>
      <c r="G2778" s="46"/>
      <c r="H2778" s="48"/>
      <c r="I2778" s="49"/>
    </row>
    <row r="2779" ht="22.5" customHeight="1">
      <c r="A2779" s="42"/>
      <c r="B2779" s="47"/>
      <c r="C2779" s="46"/>
      <c r="D2779" s="47"/>
      <c r="E2779" s="46"/>
      <c r="F2779" s="47"/>
      <c r="G2779" s="46"/>
      <c r="H2779" s="50"/>
      <c r="I2779" s="51"/>
    </row>
    <row r="2780" ht="22.5" customHeight="1">
      <c r="A2780" s="42"/>
      <c r="B2780" s="47"/>
      <c r="C2780" s="46"/>
      <c r="D2780" s="47"/>
      <c r="E2780" s="46"/>
      <c r="F2780" s="47"/>
      <c r="G2780" s="46"/>
      <c r="H2780" s="48"/>
      <c r="I2780" s="49"/>
    </row>
    <row r="2781" ht="22.5" customHeight="1">
      <c r="A2781" s="42"/>
      <c r="B2781" s="47"/>
      <c r="C2781" s="46"/>
      <c r="D2781" s="47"/>
      <c r="E2781" s="46"/>
      <c r="F2781" s="47"/>
      <c r="G2781" s="46"/>
      <c r="H2781" s="50"/>
      <c r="I2781" s="51"/>
    </row>
    <row r="2782" ht="22.5" customHeight="1">
      <c r="A2782" s="42"/>
      <c r="B2782" s="47"/>
      <c r="C2782" s="46"/>
      <c r="D2782" s="47"/>
      <c r="E2782" s="46"/>
      <c r="F2782" s="47"/>
      <c r="G2782" s="46"/>
      <c r="H2782" s="48"/>
      <c r="I2782" s="49"/>
    </row>
    <row r="2783" ht="22.5" customHeight="1">
      <c r="A2783" s="42"/>
      <c r="B2783" s="47"/>
      <c r="C2783" s="46"/>
      <c r="D2783" s="47"/>
      <c r="E2783" s="46"/>
      <c r="F2783" s="47"/>
      <c r="G2783" s="46"/>
      <c r="H2783" s="50"/>
      <c r="I2783" s="51"/>
    </row>
    <row r="2784" ht="22.5" customHeight="1">
      <c r="A2784" s="42"/>
      <c r="B2784" s="47"/>
      <c r="C2784" s="46"/>
      <c r="D2784" s="47"/>
      <c r="E2784" s="46"/>
      <c r="F2784" s="47"/>
      <c r="G2784" s="46"/>
      <c r="H2784" s="48"/>
      <c r="I2784" s="49"/>
    </row>
    <row r="2785" ht="22.5" customHeight="1">
      <c r="A2785" s="42"/>
      <c r="B2785" s="47"/>
      <c r="C2785" s="46"/>
      <c r="D2785" s="47"/>
      <c r="E2785" s="46"/>
      <c r="F2785" s="47"/>
      <c r="G2785" s="46"/>
      <c r="H2785" s="50"/>
      <c r="I2785" s="51"/>
    </row>
    <row r="2786" ht="22.5" customHeight="1">
      <c r="A2786" s="42"/>
      <c r="B2786" s="47"/>
      <c r="C2786" s="46"/>
      <c r="D2786" s="47"/>
      <c r="E2786" s="46"/>
      <c r="F2786" s="47"/>
      <c r="G2786" s="46"/>
      <c r="H2786" s="48"/>
      <c r="I2786" s="49"/>
    </row>
    <row r="2787" ht="22.5" customHeight="1">
      <c r="A2787" s="42"/>
      <c r="B2787" s="47"/>
      <c r="C2787" s="46"/>
      <c r="D2787" s="47"/>
      <c r="E2787" s="46"/>
      <c r="F2787" s="47"/>
      <c r="G2787" s="46"/>
      <c r="H2787" s="50"/>
      <c r="I2787" s="51"/>
    </row>
    <row r="2788" ht="22.5" customHeight="1">
      <c r="A2788" s="42"/>
      <c r="B2788" s="47"/>
      <c r="C2788" s="46"/>
      <c r="D2788" s="47"/>
      <c r="E2788" s="46"/>
      <c r="F2788" s="47"/>
      <c r="G2788" s="46"/>
      <c r="H2788" s="48"/>
      <c r="I2788" s="49"/>
    </row>
    <row r="2789" ht="22.5" customHeight="1">
      <c r="A2789" s="42"/>
      <c r="B2789" s="47"/>
      <c r="C2789" s="46"/>
      <c r="D2789" s="47"/>
      <c r="E2789" s="46"/>
      <c r="F2789" s="47"/>
      <c r="G2789" s="46"/>
      <c r="H2789" s="50"/>
      <c r="I2789" s="51"/>
    </row>
    <row r="2790" ht="22.5" customHeight="1">
      <c r="A2790" s="42"/>
      <c r="B2790" s="47"/>
      <c r="C2790" s="46"/>
      <c r="D2790" s="47"/>
      <c r="E2790" s="46"/>
      <c r="F2790" s="47"/>
      <c r="G2790" s="46"/>
      <c r="H2790" s="48"/>
      <c r="I2790" s="49"/>
    </row>
    <row r="2791" ht="22.5" customHeight="1">
      <c r="A2791" s="42"/>
      <c r="B2791" s="47"/>
      <c r="C2791" s="46"/>
      <c r="D2791" s="47"/>
      <c r="E2791" s="46"/>
      <c r="F2791" s="47"/>
      <c r="G2791" s="46"/>
      <c r="H2791" s="50"/>
      <c r="I2791" s="51"/>
    </row>
    <row r="2792" ht="22.5" customHeight="1">
      <c r="A2792" s="42"/>
      <c r="B2792" s="47"/>
      <c r="C2792" s="46"/>
      <c r="D2792" s="47"/>
      <c r="E2792" s="46"/>
      <c r="F2792" s="47"/>
      <c r="G2792" s="46"/>
      <c r="H2792" s="48"/>
      <c r="I2792" s="49"/>
    </row>
    <row r="2793" ht="22.5" customHeight="1">
      <c r="A2793" s="42"/>
      <c r="B2793" s="47"/>
      <c r="C2793" s="46"/>
      <c r="D2793" s="47"/>
      <c r="E2793" s="46"/>
      <c r="F2793" s="47"/>
      <c r="G2793" s="46"/>
      <c r="H2793" s="50"/>
      <c r="I2793" s="51"/>
    </row>
    <row r="2794" ht="22.5" customHeight="1">
      <c r="A2794" s="42"/>
      <c r="B2794" s="47"/>
      <c r="C2794" s="46"/>
      <c r="D2794" s="47"/>
      <c r="E2794" s="46"/>
      <c r="F2794" s="47"/>
      <c r="G2794" s="46"/>
      <c r="H2794" s="48"/>
      <c r="I2794" s="49"/>
    </row>
    <row r="2795" ht="22.5" customHeight="1">
      <c r="A2795" s="42"/>
      <c r="B2795" s="47"/>
      <c r="C2795" s="46"/>
      <c r="D2795" s="47"/>
      <c r="E2795" s="46"/>
      <c r="F2795" s="47"/>
      <c r="G2795" s="46"/>
      <c r="H2795" s="50"/>
      <c r="I2795" s="51"/>
    </row>
    <row r="2796" ht="22.5" customHeight="1">
      <c r="A2796" s="42"/>
      <c r="B2796" s="47"/>
      <c r="C2796" s="46"/>
      <c r="D2796" s="47"/>
      <c r="E2796" s="46"/>
      <c r="F2796" s="47"/>
      <c r="G2796" s="46"/>
      <c r="H2796" s="48"/>
      <c r="I2796" s="49"/>
    </row>
    <row r="2797" ht="22.5" customHeight="1">
      <c r="A2797" s="42"/>
      <c r="B2797" s="47"/>
      <c r="C2797" s="46"/>
      <c r="D2797" s="47"/>
      <c r="E2797" s="46"/>
      <c r="F2797" s="47"/>
      <c r="G2797" s="46"/>
      <c r="H2797" s="50"/>
      <c r="I2797" s="51"/>
    </row>
    <row r="2798" ht="22.5" customHeight="1">
      <c r="A2798" s="42"/>
      <c r="B2798" s="47"/>
      <c r="C2798" s="46"/>
      <c r="D2798" s="47"/>
      <c r="E2798" s="46"/>
      <c r="F2798" s="47"/>
      <c r="G2798" s="46"/>
      <c r="H2798" s="48"/>
      <c r="I2798" s="49"/>
    </row>
    <row r="2799" ht="22.5" customHeight="1">
      <c r="A2799" s="42"/>
      <c r="B2799" s="47"/>
      <c r="C2799" s="46"/>
      <c r="D2799" s="47"/>
      <c r="E2799" s="46"/>
      <c r="F2799" s="47"/>
      <c r="G2799" s="46"/>
      <c r="H2799" s="50"/>
      <c r="I2799" s="51"/>
    </row>
    <row r="2800" ht="22.5" customHeight="1">
      <c r="A2800" s="42"/>
      <c r="B2800" s="47"/>
      <c r="C2800" s="46"/>
      <c r="D2800" s="47"/>
      <c r="E2800" s="46"/>
      <c r="F2800" s="47"/>
      <c r="G2800" s="46"/>
      <c r="H2800" s="48"/>
      <c r="I2800" s="49"/>
    </row>
    <row r="2801" ht="22.5" customHeight="1">
      <c r="A2801" s="42"/>
      <c r="B2801" s="47"/>
      <c r="C2801" s="46"/>
      <c r="D2801" s="47"/>
      <c r="E2801" s="46"/>
      <c r="F2801" s="47"/>
      <c r="G2801" s="46"/>
      <c r="H2801" s="50"/>
      <c r="I2801" s="51"/>
    </row>
    <row r="2802" ht="22.5" customHeight="1">
      <c r="A2802" s="42"/>
      <c r="B2802" s="47"/>
      <c r="C2802" s="46"/>
      <c r="D2802" s="47"/>
      <c r="E2802" s="46"/>
      <c r="F2802" s="47"/>
      <c r="G2802" s="46"/>
      <c r="H2802" s="48"/>
      <c r="I2802" s="49"/>
    </row>
    <row r="2803" ht="22.5" customHeight="1">
      <c r="A2803" s="42"/>
      <c r="B2803" s="47"/>
      <c r="C2803" s="46"/>
      <c r="D2803" s="47"/>
      <c r="E2803" s="46"/>
      <c r="F2803" s="47"/>
      <c r="G2803" s="46"/>
      <c r="H2803" s="50"/>
      <c r="I2803" s="51"/>
    </row>
    <row r="2804" ht="22.5" customHeight="1">
      <c r="A2804" s="42"/>
      <c r="B2804" s="47"/>
      <c r="C2804" s="46"/>
      <c r="D2804" s="47"/>
      <c r="E2804" s="46"/>
      <c r="F2804" s="47"/>
      <c r="G2804" s="46"/>
      <c r="H2804" s="48"/>
      <c r="I2804" s="49"/>
    </row>
    <row r="2805" ht="22.5" customHeight="1">
      <c r="A2805" s="42"/>
      <c r="B2805" s="47"/>
      <c r="C2805" s="46"/>
      <c r="D2805" s="47"/>
      <c r="E2805" s="46"/>
      <c r="F2805" s="47"/>
      <c r="G2805" s="46"/>
      <c r="H2805" s="50"/>
      <c r="I2805" s="51"/>
    </row>
    <row r="2806" ht="22.5" customHeight="1">
      <c r="A2806" s="42"/>
      <c r="B2806" s="47"/>
      <c r="C2806" s="46"/>
      <c r="D2806" s="47"/>
      <c r="E2806" s="46"/>
      <c r="F2806" s="47"/>
      <c r="G2806" s="46"/>
      <c r="H2806" s="48"/>
      <c r="I2806" s="49"/>
    </row>
    <row r="2807" ht="22.5" customHeight="1">
      <c r="A2807" s="42"/>
      <c r="B2807" s="47"/>
      <c r="C2807" s="46"/>
      <c r="D2807" s="47"/>
      <c r="E2807" s="46"/>
      <c r="F2807" s="47"/>
      <c r="G2807" s="46"/>
      <c r="H2807" s="50"/>
      <c r="I2807" s="51"/>
    </row>
    <row r="2808" ht="22.5" customHeight="1">
      <c r="A2808" s="42"/>
      <c r="B2808" s="47"/>
      <c r="C2808" s="46"/>
      <c r="D2808" s="47"/>
      <c r="E2808" s="46"/>
      <c r="F2808" s="47"/>
      <c r="G2808" s="46"/>
      <c r="H2808" s="48"/>
      <c r="I2808" s="49"/>
    </row>
    <row r="2809" ht="22.5" customHeight="1">
      <c r="A2809" s="42"/>
      <c r="B2809" s="47"/>
      <c r="C2809" s="46"/>
      <c r="D2809" s="47"/>
      <c r="E2809" s="46"/>
      <c r="F2809" s="47"/>
      <c r="G2809" s="46"/>
      <c r="H2809" s="50"/>
      <c r="I2809" s="51"/>
    </row>
    <row r="2810" ht="22.5" customHeight="1">
      <c r="A2810" s="42"/>
      <c r="B2810" s="47"/>
      <c r="C2810" s="46"/>
      <c r="D2810" s="47"/>
      <c r="E2810" s="46"/>
      <c r="F2810" s="47"/>
      <c r="G2810" s="46"/>
      <c r="H2810" s="48"/>
      <c r="I2810" s="49"/>
    </row>
    <row r="2811" ht="22.5" customHeight="1">
      <c r="A2811" s="42"/>
      <c r="B2811" s="47"/>
      <c r="C2811" s="46"/>
      <c r="D2811" s="47"/>
      <c r="E2811" s="46"/>
      <c r="F2811" s="47"/>
      <c r="G2811" s="46"/>
      <c r="H2811" s="50"/>
      <c r="I2811" s="51"/>
    </row>
    <row r="2812" ht="22.5" customHeight="1">
      <c r="A2812" s="42"/>
      <c r="B2812" s="47"/>
      <c r="C2812" s="46"/>
      <c r="D2812" s="47"/>
      <c r="E2812" s="46"/>
      <c r="F2812" s="47"/>
      <c r="G2812" s="46"/>
      <c r="H2812" s="48"/>
      <c r="I2812" s="49"/>
    </row>
    <row r="2813" ht="22.5" customHeight="1">
      <c r="A2813" s="42"/>
      <c r="B2813" s="47"/>
      <c r="C2813" s="46"/>
      <c r="D2813" s="47"/>
      <c r="E2813" s="46"/>
      <c r="F2813" s="47"/>
      <c r="G2813" s="46"/>
      <c r="H2813" s="50"/>
      <c r="I2813" s="51"/>
    </row>
    <row r="2814" ht="22.5" customHeight="1">
      <c r="A2814" s="42"/>
      <c r="B2814" s="47"/>
      <c r="C2814" s="46"/>
      <c r="D2814" s="47"/>
      <c r="E2814" s="46"/>
      <c r="F2814" s="47"/>
      <c r="G2814" s="46"/>
      <c r="H2814" s="48"/>
      <c r="I2814" s="49"/>
    </row>
    <row r="2815" ht="22.5" customHeight="1">
      <c r="A2815" s="42"/>
      <c r="B2815" s="47"/>
      <c r="C2815" s="46"/>
      <c r="D2815" s="47"/>
      <c r="E2815" s="46"/>
      <c r="F2815" s="47"/>
      <c r="G2815" s="46"/>
      <c r="H2815" s="50"/>
      <c r="I2815" s="51"/>
    </row>
    <row r="2816" ht="22.5" customHeight="1">
      <c r="A2816" s="42"/>
      <c r="B2816" s="47"/>
      <c r="C2816" s="46"/>
      <c r="D2816" s="47"/>
      <c r="E2816" s="46"/>
      <c r="F2816" s="47"/>
      <c r="G2816" s="46"/>
      <c r="H2816" s="48"/>
      <c r="I2816" s="49"/>
    </row>
    <row r="2817" ht="22.5" customHeight="1">
      <c r="A2817" s="42"/>
      <c r="B2817" s="47"/>
      <c r="C2817" s="46"/>
      <c r="D2817" s="47"/>
      <c r="E2817" s="46"/>
      <c r="F2817" s="47"/>
      <c r="G2817" s="46"/>
      <c r="H2817" s="50"/>
      <c r="I2817" s="51"/>
    </row>
    <row r="2818" ht="22.5" customHeight="1">
      <c r="A2818" s="42"/>
      <c r="B2818" s="47"/>
      <c r="C2818" s="46"/>
      <c r="D2818" s="47"/>
      <c r="E2818" s="46"/>
      <c r="F2818" s="47"/>
      <c r="G2818" s="46"/>
      <c r="H2818" s="48"/>
      <c r="I2818" s="49"/>
    </row>
    <row r="2819" ht="22.5" customHeight="1">
      <c r="A2819" s="42"/>
      <c r="B2819" s="47"/>
      <c r="C2819" s="46"/>
      <c r="D2819" s="47"/>
      <c r="E2819" s="46"/>
      <c r="F2819" s="47"/>
      <c r="G2819" s="46"/>
      <c r="H2819" s="50"/>
      <c r="I2819" s="51"/>
    </row>
    <row r="2820" ht="22.5" customHeight="1">
      <c r="A2820" s="42"/>
      <c r="B2820" s="47"/>
      <c r="C2820" s="46"/>
      <c r="D2820" s="47"/>
      <c r="E2820" s="46"/>
      <c r="F2820" s="47"/>
      <c r="G2820" s="46"/>
      <c r="H2820" s="48"/>
      <c r="I2820" s="49"/>
    </row>
    <row r="2821" ht="22.5" customHeight="1">
      <c r="A2821" s="42"/>
      <c r="B2821" s="47"/>
      <c r="C2821" s="46"/>
      <c r="D2821" s="47"/>
      <c r="E2821" s="46"/>
      <c r="F2821" s="47"/>
      <c r="G2821" s="46"/>
      <c r="H2821" s="50"/>
      <c r="I2821" s="51"/>
    </row>
    <row r="2822" ht="22.5" customHeight="1">
      <c r="A2822" s="42"/>
      <c r="B2822" s="47"/>
      <c r="C2822" s="46"/>
      <c r="D2822" s="47"/>
      <c r="E2822" s="46"/>
      <c r="F2822" s="47"/>
      <c r="G2822" s="46"/>
      <c r="H2822" s="48"/>
      <c r="I2822" s="49"/>
    </row>
    <row r="2823" ht="22.5" customHeight="1">
      <c r="A2823" s="42"/>
      <c r="B2823" s="47"/>
      <c r="C2823" s="46"/>
      <c r="D2823" s="47"/>
      <c r="E2823" s="46"/>
      <c r="F2823" s="47"/>
      <c r="G2823" s="46"/>
      <c r="H2823" s="50"/>
      <c r="I2823" s="51"/>
    </row>
    <row r="2824" ht="22.5" customHeight="1">
      <c r="A2824" s="42"/>
      <c r="B2824" s="47"/>
      <c r="C2824" s="46"/>
      <c r="D2824" s="47"/>
      <c r="E2824" s="46"/>
      <c r="F2824" s="47"/>
      <c r="G2824" s="46"/>
      <c r="H2824" s="48"/>
      <c r="I2824" s="49"/>
    </row>
    <row r="2825" ht="22.5" customHeight="1">
      <c r="A2825" s="42"/>
      <c r="B2825" s="47"/>
      <c r="C2825" s="46"/>
      <c r="D2825" s="47"/>
      <c r="E2825" s="46"/>
      <c r="F2825" s="47"/>
      <c r="G2825" s="46"/>
      <c r="H2825" s="50"/>
      <c r="I2825" s="51"/>
    </row>
    <row r="2826" ht="22.5" customHeight="1">
      <c r="A2826" s="42"/>
      <c r="B2826" s="47"/>
      <c r="C2826" s="46"/>
      <c r="D2826" s="47"/>
      <c r="E2826" s="46"/>
      <c r="F2826" s="47"/>
      <c r="G2826" s="46"/>
      <c r="H2826" s="48"/>
      <c r="I2826" s="49"/>
    </row>
    <row r="2827" ht="22.5" customHeight="1">
      <c r="A2827" s="42"/>
      <c r="B2827" s="47"/>
      <c r="C2827" s="46"/>
      <c r="D2827" s="47"/>
      <c r="E2827" s="46"/>
      <c r="F2827" s="47"/>
      <c r="G2827" s="46"/>
      <c r="H2827" s="50"/>
      <c r="I2827" s="51"/>
    </row>
    <row r="2828" ht="22.5" customHeight="1">
      <c r="A2828" s="42"/>
      <c r="B2828" s="47"/>
      <c r="C2828" s="46"/>
      <c r="D2828" s="47"/>
      <c r="E2828" s="46"/>
      <c r="F2828" s="47"/>
      <c r="G2828" s="46"/>
      <c r="H2828" s="48"/>
      <c r="I2828" s="49"/>
    </row>
    <row r="2829" ht="22.5" customHeight="1">
      <c r="A2829" s="42"/>
      <c r="B2829" s="47"/>
      <c r="C2829" s="46"/>
      <c r="D2829" s="47"/>
      <c r="E2829" s="46"/>
      <c r="F2829" s="47"/>
      <c r="G2829" s="46"/>
      <c r="H2829" s="50"/>
      <c r="I2829" s="51"/>
    </row>
    <row r="2830" ht="22.5" customHeight="1">
      <c r="A2830" s="42"/>
      <c r="B2830" s="47"/>
      <c r="C2830" s="46"/>
      <c r="D2830" s="47"/>
      <c r="E2830" s="46"/>
      <c r="F2830" s="47"/>
      <c r="G2830" s="46"/>
      <c r="H2830" s="48"/>
      <c r="I2830" s="49"/>
    </row>
    <row r="2831" ht="22.5" customHeight="1">
      <c r="A2831" s="42"/>
      <c r="B2831" s="47"/>
      <c r="C2831" s="46"/>
      <c r="D2831" s="47"/>
      <c r="E2831" s="46"/>
      <c r="F2831" s="47"/>
      <c r="G2831" s="46"/>
      <c r="H2831" s="50"/>
      <c r="I2831" s="51"/>
    </row>
    <row r="2832" ht="22.5" customHeight="1">
      <c r="A2832" s="42"/>
      <c r="B2832" s="47"/>
      <c r="C2832" s="46"/>
      <c r="D2832" s="47"/>
      <c r="E2832" s="46"/>
      <c r="F2832" s="47"/>
      <c r="G2832" s="46"/>
      <c r="H2832" s="48"/>
      <c r="I2832" s="49"/>
    </row>
    <row r="2833" ht="22.5" customHeight="1">
      <c r="A2833" s="42"/>
      <c r="B2833" s="47"/>
      <c r="C2833" s="46"/>
      <c r="D2833" s="47"/>
      <c r="E2833" s="46"/>
      <c r="F2833" s="47"/>
      <c r="G2833" s="46"/>
      <c r="H2833" s="50"/>
      <c r="I2833" s="51"/>
    </row>
    <row r="2834" ht="22.5" customHeight="1">
      <c r="A2834" s="42"/>
      <c r="B2834" s="47"/>
      <c r="C2834" s="46"/>
      <c r="D2834" s="47"/>
      <c r="E2834" s="46"/>
      <c r="F2834" s="47"/>
      <c r="G2834" s="46"/>
      <c r="H2834" s="48"/>
      <c r="I2834" s="49"/>
    </row>
    <row r="2835" ht="22.5" customHeight="1">
      <c r="A2835" s="42"/>
      <c r="B2835" s="47"/>
      <c r="C2835" s="46"/>
      <c r="D2835" s="47"/>
      <c r="E2835" s="46"/>
      <c r="F2835" s="47"/>
      <c r="G2835" s="46"/>
      <c r="H2835" s="50"/>
      <c r="I2835" s="51"/>
    </row>
    <row r="2836" ht="22.5" customHeight="1">
      <c r="A2836" s="42"/>
      <c r="B2836" s="47"/>
      <c r="C2836" s="46"/>
      <c r="D2836" s="47"/>
      <c r="E2836" s="46"/>
      <c r="F2836" s="47"/>
      <c r="G2836" s="46"/>
      <c r="H2836" s="48"/>
      <c r="I2836" s="49"/>
    </row>
    <row r="2837" ht="22.5" customHeight="1">
      <c r="A2837" s="42"/>
      <c r="B2837" s="47"/>
      <c r="C2837" s="46"/>
      <c r="D2837" s="47"/>
      <c r="E2837" s="46"/>
      <c r="F2837" s="47"/>
      <c r="G2837" s="46"/>
      <c r="H2837" s="50"/>
      <c r="I2837" s="51"/>
    </row>
    <row r="2838" ht="22.5" customHeight="1">
      <c r="A2838" s="42"/>
      <c r="B2838" s="47"/>
      <c r="C2838" s="46"/>
      <c r="D2838" s="47"/>
      <c r="E2838" s="46"/>
      <c r="F2838" s="47"/>
      <c r="G2838" s="46"/>
      <c r="H2838" s="48"/>
      <c r="I2838" s="49"/>
    </row>
    <row r="2839" ht="22.5" customHeight="1">
      <c r="A2839" s="42"/>
      <c r="B2839" s="47"/>
      <c r="C2839" s="46"/>
      <c r="D2839" s="47"/>
      <c r="E2839" s="46"/>
      <c r="F2839" s="47"/>
      <c r="G2839" s="46"/>
      <c r="H2839" s="50"/>
      <c r="I2839" s="51"/>
    </row>
    <row r="2840" ht="22.5" customHeight="1">
      <c r="A2840" s="42"/>
      <c r="B2840" s="47"/>
      <c r="C2840" s="46"/>
      <c r="D2840" s="47"/>
      <c r="E2840" s="46"/>
      <c r="F2840" s="47"/>
      <c r="G2840" s="46"/>
      <c r="H2840" s="48"/>
      <c r="I2840" s="49"/>
    </row>
    <row r="2841" ht="22.5" customHeight="1">
      <c r="A2841" s="42"/>
      <c r="B2841" s="47"/>
      <c r="C2841" s="46"/>
      <c r="D2841" s="47"/>
      <c r="E2841" s="46"/>
      <c r="F2841" s="47"/>
      <c r="G2841" s="46"/>
      <c r="H2841" s="50"/>
      <c r="I2841" s="51"/>
    </row>
    <row r="2842" ht="22.5" customHeight="1">
      <c r="A2842" s="42"/>
      <c r="B2842" s="47"/>
      <c r="C2842" s="46"/>
      <c r="D2842" s="47"/>
      <c r="E2842" s="46"/>
      <c r="F2842" s="47"/>
      <c r="G2842" s="46"/>
      <c r="H2842" s="48"/>
      <c r="I2842" s="49"/>
    </row>
    <row r="2843" ht="22.5" customHeight="1">
      <c r="A2843" s="42"/>
      <c r="B2843" s="47"/>
      <c r="C2843" s="46"/>
      <c r="D2843" s="47"/>
      <c r="E2843" s="46"/>
      <c r="F2843" s="47"/>
      <c r="G2843" s="46"/>
      <c r="H2843" s="50"/>
      <c r="I2843" s="51"/>
    </row>
    <row r="2844" ht="22.5" customHeight="1">
      <c r="A2844" s="42"/>
      <c r="B2844" s="47"/>
      <c r="C2844" s="46"/>
      <c r="D2844" s="47"/>
      <c r="E2844" s="46"/>
      <c r="F2844" s="47"/>
      <c r="G2844" s="46"/>
      <c r="H2844" s="48"/>
      <c r="I2844" s="49"/>
    </row>
    <row r="2845" ht="22.5" customHeight="1">
      <c r="A2845" s="42"/>
      <c r="B2845" s="47"/>
      <c r="C2845" s="46"/>
      <c r="D2845" s="47"/>
      <c r="E2845" s="46"/>
      <c r="F2845" s="47"/>
      <c r="G2845" s="46"/>
      <c r="H2845" s="50"/>
      <c r="I2845" s="51"/>
    </row>
    <row r="2846" ht="22.5" customHeight="1">
      <c r="A2846" s="42"/>
      <c r="B2846" s="47"/>
      <c r="C2846" s="46"/>
      <c r="D2846" s="47"/>
      <c r="E2846" s="46"/>
      <c r="F2846" s="47"/>
      <c r="G2846" s="46"/>
      <c r="H2846" s="48"/>
      <c r="I2846" s="49"/>
    </row>
    <row r="2847" ht="22.5" customHeight="1">
      <c r="A2847" s="42"/>
      <c r="B2847" s="47"/>
      <c r="C2847" s="46"/>
      <c r="D2847" s="47"/>
      <c r="E2847" s="46"/>
      <c r="F2847" s="47"/>
      <c r="G2847" s="46"/>
      <c r="H2847" s="50"/>
      <c r="I2847" s="51"/>
    </row>
    <row r="2848" ht="22.5" customHeight="1">
      <c r="A2848" s="42"/>
      <c r="B2848" s="47"/>
      <c r="C2848" s="46"/>
      <c r="D2848" s="47"/>
      <c r="E2848" s="46"/>
      <c r="F2848" s="47"/>
      <c r="G2848" s="46"/>
      <c r="H2848" s="48"/>
      <c r="I2848" s="49"/>
    </row>
    <row r="2849" ht="22.5" customHeight="1">
      <c r="A2849" s="42"/>
      <c r="B2849" s="47"/>
      <c r="C2849" s="46"/>
      <c r="D2849" s="47"/>
      <c r="E2849" s="46"/>
      <c r="F2849" s="47"/>
      <c r="G2849" s="46"/>
      <c r="H2849" s="50"/>
      <c r="I2849" s="51"/>
    </row>
    <row r="2850" ht="22.5" customHeight="1">
      <c r="A2850" s="42"/>
      <c r="B2850" s="47"/>
      <c r="C2850" s="46"/>
      <c r="D2850" s="47"/>
      <c r="E2850" s="46"/>
      <c r="F2850" s="47"/>
      <c r="G2850" s="46"/>
      <c r="H2850" s="48"/>
      <c r="I2850" s="49"/>
    </row>
    <row r="2851" ht="22.5" customHeight="1">
      <c r="A2851" s="42"/>
      <c r="B2851" s="47"/>
      <c r="C2851" s="46"/>
      <c r="D2851" s="47"/>
      <c r="E2851" s="46"/>
      <c r="F2851" s="47"/>
      <c r="G2851" s="46"/>
      <c r="H2851" s="50"/>
      <c r="I2851" s="51"/>
    </row>
    <row r="2852" ht="22.5" customHeight="1">
      <c r="A2852" s="42"/>
      <c r="B2852" s="47"/>
      <c r="C2852" s="46"/>
      <c r="D2852" s="47"/>
      <c r="E2852" s="46"/>
      <c r="F2852" s="47"/>
      <c r="G2852" s="46"/>
      <c r="H2852" s="48"/>
      <c r="I2852" s="49"/>
    </row>
    <row r="2853" ht="22.5" customHeight="1">
      <c r="A2853" s="42"/>
      <c r="B2853" s="47"/>
      <c r="C2853" s="46"/>
      <c r="D2853" s="47"/>
      <c r="E2853" s="46"/>
      <c r="F2853" s="47"/>
      <c r="G2853" s="46"/>
      <c r="H2853" s="50"/>
      <c r="I2853" s="51"/>
    </row>
    <row r="2854" ht="22.5" customHeight="1">
      <c r="A2854" s="42"/>
      <c r="B2854" s="47"/>
      <c r="C2854" s="46"/>
      <c r="D2854" s="47"/>
      <c r="E2854" s="46"/>
      <c r="F2854" s="47"/>
      <c r="G2854" s="46"/>
      <c r="H2854" s="48"/>
      <c r="I2854" s="49"/>
    </row>
    <row r="2855" ht="22.5" customHeight="1">
      <c r="A2855" s="42"/>
      <c r="B2855" s="47"/>
      <c r="C2855" s="46"/>
      <c r="D2855" s="47"/>
      <c r="E2855" s="46"/>
      <c r="F2855" s="47"/>
      <c r="G2855" s="46"/>
      <c r="H2855" s="50"/>
      <c r="I2855" s="51"/>
    </row>
    <row r="2856" ht="22.5" customHeight="1">
      <c r="A2856" s="42"/>
      <c r="B2856" s="47"/>
      <c r="C2856" s="46"/>
      <c r="D2856" s="47"/>
      <c r="E2856" s="46"/>
      <c r="F2856" s="47"/>
      <c r="G2856" s="46"/>
      <c r="H2856" s="48"/>
      <c r="I2856" s="49"/>
    </row>
    <row r="2857" ht="22.5" customHeight="1">
      <c r="A2857" s="42"/>
      <c r="B2857" s="47"/>
      <c r="C2857" s="46"/>
      <c r="D2857" s="47"/>
      <c r="E2857" s="46"/>
      <c r="F2857" s="47"/>
      <c r="G2857" s="46"/>
      <c r="H2857" s="50"/>
      <c r="I2857" s="51"/>
    </row>
    <row r="2858" ht="22.5" customHeight="1">
      <c r="A2858" s="42"/>
      <c r="B2858" s="47"/>
      <c r="C2858" s="46"/>
      <c r="D2858" s="47"/>
      <c r="E2858" s="46"/>
      <c r="F2858" s="47"/>
      <c r="G2858" s="46"/>
      <c r="H2858" s="48"/>
      <c r="I2858" s="49"/>
    </row>
    <row r="2859" ht="22.5" customHeight="1">
      <c r="A2859" s="42"/>
      <c r="B2859" s="47"/>
      <c r="C2859" s="46"/>
      <c r="D2859" s="47"/>
      <c r="E2859" s="46"/>
      <c r="F2859" s="47"/>
      <c r="G2859" s="46"/>
      <c r="H2859" s="50"/>
      <c r="I2859" s="51"/>
    </row>
    <row r="2860" ht="22.5" customHeight="1">
      <c r="A2860" s="42"/>
      <c r="B2860" s="47"/>
      <c r="C2860" s="46"/>
      <c r="D2860" s="47"/>
      <c r="E2860" s="46"/>
      <c r="F2860" s="47"/>
      <c r="G2860" s="46"/>
      <c r="H2860" s="48"/>
      <c r="I2860" s="49"/>
    </row>
    <row r="2861" ht="22.5" customHeight="1">
      <c r="A2861" s="42"/>
      <c r="B2861" s="47"/>
      <c r="C2861" s="46"/>
      <c r="D2861" s="47"/>
      <c r="E2861" s="46"/>
      <c r="F2861" s="47"/>
      <c r="G2861" s="46"/>
      <c r="H2861" s="50"/>
      <c r="I2861" s="51"/>
    </row>
    <row r="2862" ht="22.5" customHeight="1">
      <c r="A2862" s="42"/>
      <c r="B2862" s="47"/>
      <c r="C2862" s="46"/>
      <c r="D2862" s="47"/>
      <c r="E2862" s="46"/>
      <c r="F2862" s="47"/>
      <c r="G2862" s="46"/>
      <c r="H2862" s="48"/>
      <c r="I2862" s="49"/>
    </row>
    <row r="2863" ht="22.5" customHeight="1">
      <c r="A2863" s="42"/>
      <c r="B2863" s="47"/>
      <c r="C2863" s="46"/>
      <c r="D2863" s="47"/>
      <c r="E2863" s="46"/>
      <c r="F2863" s="47"/>
      <c r="G2863" s="46"/>
      <c r="H2863" s="50"/>
      <c r="I2863" s="51"/>
    </row>
    <row r="2864" ht="22.5" customHeight="1">
      <c r="A2864" s="42"/>
      <c r="B2864" s="47"/>
      <c r="C2864" s="46"/>
      <c r="D2864" s="47"/>
      <c r="E2864" s="46"/>
      <c r="F2864" s="47"/>
      <c r="G2864" s="46"/>
      <c r="H2864" s="48"/>
      <c r="I2864" s="49"/>
    </row>
    <row r="2865" ht="22.5" customHeight="1">
      <c r="A2865" s="42"/>
      <c r="B2865" s="47"/>
      <c r="C2865" s="46"/>
      <c r="D2865" s="47"/>
      <c r="E2865" s="46"/>
      <c r="F2865" s="47"/>
      <c r="G2865" s="46"/>
      <c r="H2865" s="50"/>
      <c r="I2865" s="51"/>
    </row>
    <row r="2866" ht="22.5" customHeight="1">
      <c r="A2866" s="42"/>
      <c r="B2866" s="47"/>
      <c r="C2866" s="46"/>
      <c r="D2866" s="47"/>
      <c r="E2866" s="46"/>
      <c r="F2866" s="47"/>
      <c r="G2866" s="46"/>
      <c r="H2866" s="48"/>
      <c r="I2866" s="49"/>
    </row>
    <row r="2867" ht="22.5" customHeight="1">
      <c r="A2867" s="42"/>
      <c r="B2867" s="47"/>
      <c r="C2867" s="46"/>
      <c r="D2867" s="47"/>
      <c r="E2867" s="46"/>
      <c r="F2867" s="47"/>
      <c r="G2867" s="46"/>
      <c r="H2867" s="50"/>
      <c r="I2867" s="51"/>
    </row>
    <row r="2868" ht="22.5" customHeight="1">
      <c r="A2868" s="42"/>
      <c r="B2868" s="47"/>
      <c r="C2868" s="46"/>
      <c r="D2868" s="47"/>
      <c r="E2868" s="46"/>
      <c r="F2868" s="47"/>
      <c r="G2868" s="46"/>
      <c r="H2868" s="48"/>
      <c r="I2868" s="49"/>
    </row>
    <row r="2869" ht="22.5" customHeight="1">
      <c r="A2869" s="42"/>
      <c r="B2869" s="47"/>
      <c r="C2869" s="46"/>
      <c r="D2869" s="47"/>
      <c r="E2869" s="46"/>
      <c r="F2869" s="47"/>
      <c r="G2869" s="46"/>
      <c r="H2869" s="50"/>
      <c r="I2869" s="51"/>
    </row>
    <row r="2870" ht="22.5" customHeight="1">
      <c r="A2870" s="42"/>
      <c r="B2870" s="47"/>
      <c r="C2870" s="46"/>
      <c r="D2870" s="47"/>
      <c r="E2870" s="46"/>
      <c r="F2870" s="47"/>
      <c r="G2870" s="46"/>
      <c r="H2870" s="48"/>
      <c r="I2870" s="49"/>
    </row>
    <row r="2871" ht="22.5" customHeight="1">
      <c r="A2871" s="42"/>
      <c r="B2871" s="47"/>
      <c r="C2871" s="46"/>
      <c r="D2871" s="47"/>
      <c r="E2871" s="46"/>
      <c r="F2871" s="47"/>
      <c r="G2871" s="46"/>
      <c r="H2871" s="50"/>
      <c r="I2871" s="51"/>
    </row>
    <row r="2872" ht="22.5" customHeight="1">
      <c r="A2872" s="42"/>
      <c r="B2872" s="47"/>
      <c r="C2872" s="46"/>
      <c r="D2872" s="47"/>
      <c r="E2872" s="46"/>
      <c r="F2872" s="47"/>
      <c r="G2872" s="46"/>
      <c r="H2872" s="48"/>
      <c r="I2872" s="49"/>
    </row>
    <row r="2873" ht="22.5" customHeight="1">
      <c r="A2873" s="42"/>
      <c r="B2873" s="47"/>
      <c r="C2873" s="46"/>
      <c r="D2873" s="47"/>
      <c r="E2873" s="46"/>
      <c r="F2873" s="47"/>
      <c r="G2873" s="46"/>
      <c r="H2873" s="50"/>
      <c r="I2873" s="51"/>
    </row>
    <row r="2874" ht="22.5" customHeight="1">
      <c r="A2874" s="42"/>
      <c r="B2874" s="47"/>
      <c r="C2874" s="46"/>
      <c r="D2874" s="47"/>
      <c r="E2874" s="46"/>
      <c r="F2874" s="47"/>
      <c r="G2874" s="46"/>
      <c r="H2874" s="48"/>
      <c r="I2874" s="49"/>
    </row>
    <row r="2875" ht="22.5" customHeight="1">
      <c r="A2875" s="42"/>
      <c r="B2875" s="47"/>
      <c r="C2875" s="46"/>
      <c r="D2875" s="47"/>
      <c r="E2875" s="46"/>
      <c r="F2875" s="47"/>
      <c r="G2875" s="46"/>
      <c r="H2875" s="50"/>
      <c r="I2875" s="51"/>
    </row>
    <row r="2876" ht="22.5" customHeight="1">
      <c r="A2876" s="42"/>
      <c r="B2876" s="47"/>
      <c r="C2876" s="46"/>
      <c r="D2876" s="47"/>
      <c r="E2876" s="46"/>
      <c r="F2876" s="47"/>
      <c r="G2876" s="46"/>
      <c r="H2876" s="48"/>
      <c r="I2876" s="49"/>
    </row>
    <row r="2877" ht="22.5" customHeight="1">
      <c r="A2877" s="42"/>
      <c r="B2877" s="47"/>
      <c r="C2877" s="46"/>
      <c r="D2877" s="47"/>
      <c r="E2877" s="46"/>
      <c r="F2877" s="47"/>
      <c r="G2877" s="46"/>
      <c r="H2877" s="50"/>
      <c r="I2877" s="51"/>
    </row>
    <row r="2878" ht="22.5" customHeight="1">
      <c r="A2878" s="42"/>
      <c r="B2878" s="47"/>
      <c r="C2878" s="46"/>
      <c r="D2878" s="47"/>
      <c r="E2878" s="46"/>
      <c r="F2878" s="47"/>
      <c r="G2878" s="46"/>
      <c r="H2878" s="48"/>
      <c r="I2878" s="49"/>
    </row>
    <row r="2879" ht="22.5" customHeight="1">
      <c r="A2879" s="42"/>
      <c r="B2879" s="47"/>
      <c r="C2879" s="46"/>
      <c r="D2879" s="47"/>
      <c r="E2879" s="46"/>
      <c r="F2879" s="47"/>
      <c r="G2879" s="46"/>
      <c r="H2879" s="50"/>
      <c r="I2879" s="51"/>
    </row>
    <row r="2880" ht="22.5" customHeight="1">
      <c r="A2880" s="42"/>
      <c r="B2880" s="47"/>
      <c r="C2880" s="46"/>
      <c r="D2880" s="47"/>
      <c r="E2880" s="46"/>
      <c r="F2880" s="47"/>
      <c r="G2880" s="46"/>
      <c r="H2880" s="48"/>
      <c r="I2880" s="49"/>
    </row>
    <row r="2881" ht="22.5" customHeight="1">
      <c r="A2881" s="42"/>
      <c r="B2881" s="47"/>
      <c r="C2881" s="46"/>
      <c r="D2881" s="47"/>
      <c r="E2881" s="46"/>
      <c r="F2881" s="47"/>
      <c r="G2881" s="46"/>
      <c r="H2881" s="50"/>
      <c r="I2881" s="51"/>
    </row>
    <row r="2882" ht="22.5" customHeight="1">
      <c r="A2882" s="42"/>
      <c r="B2882" s="47"/>
      <c r="C2882" s="46"/>
      <c r="D2882" s="47"/>
      <c r="E2882" s="46"/>
      <c r="F2882" s="47"/>
      <c r="G2882" s="46"/>
      <c r="H2882" s="48"/>
      <c r="I2882" s="49"/>
    </row>
    <row r="2883" ht="22.5" customHeight="1">
      <c r="A2883" s="42"/>
      <c r="B2883" s="47"/>
      <c r="C2883" s="46"/>
      <c r="D2883" s="47"/>
      <c r="E2883" s="46"/>
      <c r="F2883" s="47"/>
      <c r="G2883" s="46"/>
      <c r="H2883" s="50"/>
      <c r="I2883" s="51"/>
    </row>
    <row r="2884" ht="22.5" customHeight="1">
      <c r="A2884" s="42"/>
      <c r="B2884" s="47"/>
      <c r="C2884" s="46"/>
      <c r="D2884" s="47"/>
      <c r="E2884" s="46"/>
      <c r="F2884" s="47"/>
      <c r="G2884" s="46"/>
      <c r="H2884" s="48"/>
      <c r="I2884" s="49"/>
    </row>
    <row r="2885" ht="22.5" customHeight="1">
      <c r="A2885" s="42"/>
      <c r="B2885" s="47"/>
      <c r="C2885" s="46"/>
      <c r="D2885" s="47"/>
      <c r="E2885" s="46"/>
      <c r="F2885" s="47"/>
      <c r="G2885" s="46"/>
      <c r="H2885" s="50"/>
      <c r="I2885" s="51"/>
    </row>
    <row r="2886" ht="22.5" customHeight="1">
      <c r="A2886" s="42"/>
      <c r="B2886" s="47"/>
      <c r="C2886" s="46"/>
      <c r="D2886" s="47"/>
      <c r="E2886" s="46"/>
      <c r="F2886" s="47"/>
      <c r="G2886" s="46"/>
      <c r="H2886" s="48"/>
      <c r="I2886" s="49"/>
    </row>
    <row r="2887" ht="22.5" customHeight="1">
      <c r="A2887" s="42"/>
      <c r="B2887" s="47"/>
      <c r="C2887" s="46"/>
      <c r="D2887" s="47"/>
      <c r="E2887" s="46"/>
      <c r="F2887" s="47"/>
      <c r="G2887" s="46"/>
      <c r="H2887" s="50"/>
      <c r="I2887" s="51"/>
    </row>
    <row r="2888" ht="22.5" customHeight="1">
      <c r="A2888" s="42"/>
      <c r="B2888" s="47"/>
      <c r="C2888" s="46"/>
      <c r="D2888" s="47"/>
      <c r="E2888" s="46"/>
      <c r="F2888" s="47"/>
      <c r="G2888" s="46"/>
      <c r="H2888" s="48"/>
      <c r="I2888" s="49"/>
    </row>
    <row r="2889" ht="22.5" customHeight="1">
      <c r="A2889" s="42"/>
      <c r="B2889" s="47"/>
      <c r="C2889" s="46"/>
      <c r="D2889" s="47"/>
      <c r="E2889" s="46"/>
      <c r="F2889" s="47"/>
      <c r="G2889" s="46"/>
      <c r="H2889" s="50"/>
      <c r="I2889" s="51"/>
    </row>
    <row r="2890" ht="22.5" customHeight="1">
      <c r="A2890" s="42"/>
      <c r="B2890" s="47"/>
      <c r="C2890" s="46"/>
      <c r="D2890" s="47"/>
      <c r="E2890" s="46"/>
      <c r="F2890" s="47"/>
      <c r="G2890" s="46"/>
      <c r="H2890" s="48"/>
      <c r="I2890" s="49"/>
    </row>
    <row r="2891" ht="22.5" customHeight="1">
      <c r="A2891" s="42"/>
      <c r="B2891" s="47"/>
      <c r="C2891" s="46"/>
      <c r="D2891" s="47"/>
      <c r="E2891" s="46"/>
      <c r="F2891" s="47"/>
      <c r="G2891" s="46"/>
      <c r="H2891" s="50"/>
      <c r="I2891" s="51"/>
    </row>
    <row r="2892" ht="22.5" customHeight="1">
      <c r="A2892" s="42"/>
      <c r="B2892" s="47"/>
      <c r="C2892" s="46"/>
      <c r="D2892" s="47"/>
      <c r="E2892" s="46"/>
      <c r="F2892" s="47"/>
      <c r="G2892" s="46"/>
      <c r="H2892" s="48"/>
      <c r="I2892" s="49"/>
    </row>
    <row r="2893" ht="22.5" customHeight="1">
      <c r="A2893" s="42"/>
      <c r="B2893" s="47"/>
      <c r="C2893" s="46"/>
      <c r="D2893" s="47"/>
      <c r="E2893" s="46"/>
      <c r="F2893" s="47"/>
      <c r="G2893" s="46"/>
      <c r="H2893" s="50"/>
      <c r="I2893" s="51"/>
    </row>
    <row r="2894" ht="22.5" customHeight="1">
      <c r="A2894" s="42"/>
      <c r="B2894" s="47"/>
      <c r="C2894" s="46"/>
      <c r="D2894" s="47"/>
      <c r="E2894" s="46"/>
      <c r="F2894" s="47"/>
      <c r="G2894" s="46"/>
      <c r="H2894" s="48"/>
      <c r="I2894" s="49"/>
    </row>
    <row r="2895" ht="22.5" customHeight="1">
      <c r="A2895" s="42"/>
      <c r="B2895" s="47"/>
      <c r="C2895" s="46"/>
      <c r="D2895" s="47"/>
      <c r="E2895" s="46"/>
      <c r="F2895" s="47"/>
      <c r="G2895" s="46"/>
      <c r="H2895" s="50"/>
      <c r="I2895" s="51"/>
    </row>
    <row r="2896" ht="22.5" customHeight="1">
      <c r="A2896" s="42"/>
      <c r="B2896" s="47"/>
      <c r="C2896" s="46"/>
      <c r="D2896" s="47"/>
      <c r="E2896" s="46"/>
      <c r="F2896" s="47"/>
      <c r="G2896" s="46"/>
      <c r="H2896" s="48"/>
      <c r="I2896" s="49"/>
    </row>
    <row r="2897" ht="22.5" customHeight="1">
      <c r="A2897" s="42"/>
      <c r="B2897" s="47"/>
      <c r="C2897" s="46"/>
      <c r="D2897" s="47"/>
      <c r="E2897" s="46"/>
      <c r="F2897" s="47"/>
      <c r="G2897" s="46"/>
      <c r="H2897" s="50"/>
      <c r="I2897" s="51"/>
    </row>
    <row r="2898" ht="22.5" customHeight="1">
      <c r="A2898" s="42"/>
      <c r="B2898" s="47"/>
      <c r="C2898" s="46"/>
      <c r="D2898" s="47"/>
      <c r="E2898" s="46"/>
      <c r="F2898" s="47"/>
      <c r="G2898" s="46"/>
      <c r="H2898" s="48"/>
      <c r="I2898" s="49"/>
    </row>
    <row r="2899" ht="22.5" customHeight="1">
      <c r="A2899" s="42"/>
      <c r="B2899" s="47"/>
      <c r="C2899" s="46"/>
      <c r="D2899" s="47"/>
      <c r="E2899" s="46"/>
      <c r="F2899" s="47"/>
      <c r="G2899" s="46"/>
      <c r="H2899" s="50"/>
      <c r="I2899" s="51"/>
    </row>
    <row r="2900" ht="22.5" customHeight="1">
      <c r="A2900" s="42"/>
      <c r="B2900" s="47"/>
      <c r="C2900" s="46"/>
      <c r="D2900" s="47"/>
      <c r="E2900" s="46"/>
      <c r="F2900" s="47"/>
      <c r="G2900" s="46"/>
      <c r="H2900" s="48"/>
      <c r="I2900" s="49"/>
    </row>
    <row r="2901" ht="22.5" customHeight="1">
      <c r="A2901" s="42"/>
      <c r="B2901" s="47"/>
      <c r="C2901" s="46"/>
      <c r="D2901" s="47"/>
      <c r="E2901" s="46"/>
      <c r="F2901" s="47"/>
      <c r="G2901" s="46"/>
      <c r="H2901" s="50"/>
      <c r="I2901" s="51"/>
    </row>
    <row r="2902" ht="22.5" customHeight="1">
      <c r="A2902" s="42"/>
      <c r="B2902" s="47"/>
      <c r="C2902" s="46"/>
      <c r="D2902" s="47"/>
      <c r="E2902" s="46"/>
      <c r="F2902" s="47"/>
      <c r="G2902" s="46"/>
      <c r="H2902" s="48"/>
      <c r="I2902" s="49"/>
    </row>
    <row r="2903" ht="22.5" customHeight="1">
      <c r="A2903" s="42"/>
      <c r="B2903" s="47"/>
      <c r="C2903" s="46"/>
      <c r="D2903" s="47"/>
      <c r="E2903" s="46"/>
      <c r="F2903" s="47"/>
      <c r="G2903" s="46"/>
      <c r="H2903" s="50"/>
      <c r="I2903" s="51"/>
    </row>
    <row r="2904" ht="22.5" customHeight="1">
      <c r="A2904" s="42"/>
      <c r="B2904" s="47"/>
      <c r="C2904" s="46"/>
      <c r="D2904" s="47"/>
      <c r="E2904" s="46"/>
      <c r="F2904" s="47"/>
      <c r="G2904" s="46"/>
      <c r="H2904" s="48"/>
      <c r="I2904" s="49"/>
    </row>
    <row r="2905" ht="22.5" customHeight="1">
      <c r="A2905" s="42"/>
      <c r="B2905" s="47"/>
      <c r="C2905" s="46"/>
      <c r="D2905" s="47"/>
      <c r="E2905" s="46"/>
      <c r="F2905" s="47"/>
      <c r="G2905" s="46"/>
      <c r="H2905" s="50"/>
      <c r="I2905" s="51"/>
    </row>
    <row r="2906" ht="22.5" customHeight="1">
      <c r="A2906" s="42"/>
      <c r="B2906" s="47"/>
      <c r="C2906" s="46"/>
      <c r="D2906" s="47"/>
      <c r="E2906" s="46"/>
      <c r="F2906" s="47"/>
      <c r="G2906" s="46"/>
      <c r="H2906" s="48"/>
      <c r="I2906" s="49"/>
    </row>
    <row r="2907" ht="22.5" customHeight="1">
      <c r="A2907" s="42"/>
      <c r="B2907" s="47"/>
      <c r="C2907" s="46"/>
      <c r="D2907" s="47"/>
      <c r="E2907" s="46"/>
      <c r="F2907" s="47"/>
      <c r="G2907" s="46"/>
      <c r="H2907" s="50"/>
      <c r="I2907" s="51"/>
    </row>
    <row r="2908" ht="22.5" customHeight="1">
      <c r="A2908" s="42"/>
      <c r="B2908" s="47"/>
      <c r="C2908" s="46"/>
      <c r="D2908" s="47"/>
      <c r="E2908" s="46"/>
      <c r="F2908" s="47"/>
      <c r="G2908" s="46"/>
      <c r="H2908" s="48"/>
      <c r="I2908" s="49"/>
    </row>
    <row r="2909" ht="22.5" customHeight="1">
      <c r="A2909" s="42"/>
      <c r="B2909" s="47"/>
      <c r="C2909" s="46"/>
      <c r="D2909" s="47"/>
      <c r="E2909" s="46"/>
      <c r="F2909" s="47"/>
      <c r="G2909" s="46"/>
      <c r="H2909" s="50"/>
      <c r="I2909" s="51"/>
    </row>
    <row r="2910" ht="22.5" customHeight="1">
      <c r="A2910" s="42"/>
      <c r="B2910" s="47"/>
      <c r="C2910" s="46"/>
      <c r="D2910" s="47"/>
      <c r="E2910" s="46"/>
      <c r="F2910" s="47"/>
      <c r="G2910" s="46"/>
      <c r="H2910" s="48"/>
      <c r="I2910" s="49"/>
    </row>
    <row r="2911" ht="22.5" customHeight="1">
      <c r="A2911" s="42"/>
      <c r="B2911" s="47"/>
      <c r="C2911" s="46"/>
      <c r="D2911" s="47"/>
      <c r="E2911" s="46"/>
      <c r="F2911" s="47"/>
      <c r="G2911" s="46"/>
      <c r="H2911" s="50"/>
      <c r="I2911" s="51"/>
    </row>
    <row r="2912" ht="22.5" customHeight="1">
      <c r="A2912" s="42"/>
      <c r="B2912" s="47"/>
      <c r="C2912" s="46"/>
      <c r="D2912" s="47"/>
      <c r="E2912" s="46"/>
      <c r="F2912" s="47"/>
      <c r="G2912" s="46"/>
      <c r="H2912" s="48"/>
      <c r="I2912" s="49"/>
    </row>
    <row r="2913" ht="22.5" customHeight="1">
      <c r="A2913" s="42"/>
      <c r="B2913" s="47"/>
      <c r="C2913" s="46"/>
      <c r="D2913" s="47"/>
      <c r="E2913" s="46"/>
      <c r="F2913" s="47"/>
      <c r="G2913" s="46"/>
      <c r="H2913" s="50"/>
      <c r="I2913" s="51"/>
    </row>
    <row r="2914" ht="22.5" customHeight="1">
      <c r="A2914" s="42"/>
      <c r="B2914" s="47"/>
      <c r="C2914" s="46"/>
      <c r="D2914" s="47"/>
      <c r="E2914" s="46"/>
      <c r="F2914" s="47"/>
      <c r="G2914" s="46"/>
      <c r="H2914" s="48"/>
      <c r="I2914" s="49"/>
    </row>
    <row r="2915" ht="22.5" customHeight="1">
      <c r="A2915" s="42"/>
      <c r="B2915" s="47"/>
      <c r="C2915" s="46"/>
      <c r="D2915" s="47"/>
      <c r="E2915" s="46"/>
      <c r="F2915" s="47"/>
      <c r="G2915" s="46"/>
      <c r="H2915" s="50"/>
      <c r="I2915" s="51"/>
    </row>
    <row r="2916" ht="22.5" customHeight="1">
      <c r="A2916" s="42"/>
      <c r="B2916" s="47"/>
      <c r="C2916" s="46"/>
      <c r="D2916" s="47"/>
      <c r="E2916" s="46"/>
      <c r="F2916" s="47"/>
      <c r="G2916" s="46"/>
      <c r="H2916" s="48"/>
      <c r="I2916" s="49"/>
    </row>
    <row r="2917" ht="22.5" customHeight="1">
      <c r="A2917" s="42"/>
      <c r="B2917" s="47"/>
      <c r="C2917" s="46"/>
      <c r="D2917" s="47"/>
      <c r="E2917" s="46"/>
      <c r="F2917" s="47"/>
      <c r="G2917" s="46"/>
      <c r="H2917" s="50"/>
      <c r="I2917" s="51"/>
    </row>
    <row r="2918" ht="22.5" customHeight="1">
      <c r="A2918" s="42"/>
      <c r="B2918" s="47"/>
      <c r="C2918" s="46"/>
      <c r="D2918" s="47"/>
      <c r="E2918" s="46"/>
      <c r="F2918" s="47"/>
      <c r="G2918" s="46"/>
      <c r="H2918" s="48"/>
      <c r="I2918" s="49"/>
    </row>
    <row r="2919" ht="22.5" customHeight="1">
      <c r="A2919" s="42"/>
      <c r="B2919" s="47"/>
      <c r="C2919" s="46"/>
      <c r="D2919" s="47"/>
      <c r="E2919" s="46"/>
      <c r="F2919" s="47"/>
      <c r="G2919" s="46"/>
      <c r="H2919" s="50"/>
      <c r="I2919" s="51"/>
    </row>
    <row r="2920" ht="22.5" customHeight="1">
      <c r="A2920" s="42"/>
      <c r="B2920" s="47"/>
      <c r="C2920" s="46"/>
      <c r="D2920" s="47"/>
      <c r="E2920" s="46"/>
      <c r="F2920" s="47"/>
      <c r="G2920" s="46"/>
      <c r="H2920" s="48"/>
      <c r="I2920" s="49"/>
    </row>
    <row r="2921" ht="22.5" customHeight="1">
      <c r="A2921" s="42"/>
      <c r="B2921" s="47"/>
      <c r="C2921" s="46"/>
      <c r="D2921" s="47"/>
      <c r="E2921" s="46"/>
      <c r="F2921" s="47"/>
      <c r="G2921" s="46"/>
      <c r="H2921" s="50"/>
      <c r="I2921" s="51"/>
    </row>
    <row r="2922" ht="22.5" customHeight="1">
      <c r="A2922" s="42"/>
      <c r="B2922" s="47"/>
      <c r="C2922" s="46"/>
      <c r="D2922" s="47"/>
      <c r="E2922" s="46"/>
      <c r="F2922" s="47"/>
      <c r="G2922" s="46"/>
      <c r="H2922" s="48"/>
      <c r="I2922" s="49"/>
    </row>
    <row r="2923" ht="22.5" customHeight="1">
      <c r="A2923" s="42"/>
      <c r="B2923" s="47"/>
      <c r="C2923" s="46"/>
      <c r="D2923" s="47"/>
      <c r="E2923" s="46"/>
      <c r="F2923" s="47"/>
      <c r="G2923" s="46"/>
      <c r="H2923" s="50"/>
      <c r="I2923" s="51"/>
    </row>
    <row r="2924" ht="22.5" customHeight="1">
      <c r="A2924" s="42"/>
      <c r="B2924" s="47"/>
      <c r="C2924" s="46"/>
      <c r="D2924" s="47"/>
      <c r="E2924" s="46"/>
      <c r="F2924" s="47"/>
      <c r="G2924" s="46"/>
      <c r="H2924" s="48"/>
      <c r="I2924" s="49"/>
    </row>
    <row r="2925" ht="22.5" customHeight="1">
      <c r="A2925" s="42"/>
      <c r="B2925" s="47"/>
      <c r="C2925" s="46"/>
      <c r="D2925" s="47"/>
      <c r="E2925" s="46"/>
      <c r="F2925" s="47"/>
      <c r="G2925" s="46"/>
      <c r="H2925" s="50"/>
      <c r="I2925" s="51"/>
    </row>
    <row r="2926" ht="22.5" customHeight="1">
      <c r="A2926" s="42"/>
      <c r="B2926" s="47"/>
      <c r="C2926" s="46"/>
      <c r="D2926" s="47"/>
      <c r="E2926" s="46"/>
      <c r="F2926" s="47"/>
      <c r="G2926" s="46"/>
      <c r="H2926" s="48"/>
      <c r="I2926" s="49"/>
    </row>
    <row r="2927" ht="22.5" customHeight="1">
      <c r="A2927" s="42"/>
      <c r="B2927" s="47"/>
      <c r="C2927" s="46"/>
      <c r="D2927" s="47"/>
      <c r="E2927" s="46"/>
      <c r="F2927" s="47"/>
      <c r="G2927" s="46"/>
      <c r="H2927" s="50"/>
      <c r="I2927" s="51"/>
    </row>
    <row r="2928" ht="22.5" customHeight="1">
      <c r="A2928" s="42"/>
      <c r="B2928" s="47"/>
      <c r="C2928" s="46"/>
      <c r="D2928" s="47"/>
      <c r="E2928" s="46"/>
      <c r="F2928" s="47"/>
      <c r="G2928" s="46"/>
      <c r="H2928" s="48"/>
      <c r="I2928" s="49"/>
    </row>
    <row r="2929" ht="22.5" customHeight="1">
      <c r="A2929" s="42"/>
      <c r="B2929" s="47"/>
      <c r="C2929" s="46"/>
      <c r="D2929" s="47"/>
      <c r="E2929" s="46"/>
      <c r="F2929" s="47"/>
      <c r="G2929" s="46"/>
      <c r="H2929" s="50"/>
      <c r="I2929" s="51"/>
    </row>
    <row r="2930" ht="22.5" customHeight="1">
      <c r="A2930" s="42"/>
      <c r="B2930" s="47"/>
      <c r="C2930" s="46"/>
      <c r="D2930" s="47"/>
      <c r="E2930" s="46"/>
      <c r="F2930" s="47"/>
      <c r="G2930" s="46"/>
      <c r="H2930" s="48"/>
      <c r="I2930" s="49"/>
    </row>
    <row r="2931" ht="22.5" customHeight="1">
      <c r="A2931" s="42"/>
      <c r="B2931" s="47"/>
      <c r="C2931" s="46"/>
      <c r="D2931" s="47"/>
      <c r="E2931" s="46"/>
      <c r="F2931" s="47"/>
      <c r="G2931" s="46"/>
      <c r="H2931" s="50"/>
      <c r="I2931" s="51"/>
    </row>
    <row r="2932" ht="22.5" customHeight="1">
      <c r="A2932" s="42"/>
      <c r="B2932" s="47"/>
      <c r="C2932" s="46"/>
      <c r="D2932" s="47"/>
      <c r="E2932" s="46"/>
      <c r="F2932" s="47"/>
      <c r="G2932" s="46"/>
      <c r="H2932" s="48"/>
      <c r="I2932" s="49"/>
    </row>
    <row r="2933" ht="22.5" customHeight="1">
      <c r="A2933" s="42"/>
      <c r="B2933" s="47"/>
      <c r="C2933" s="46"/>
      <c r="D2933" s="47"/>
      <c r="E2933" s="46"/>
      <c r="F2933" s="47"/>
      <c r="G2933" s="46"/>
      <c r="H2933" s="50"/>
      <c r="I2933" s="51"/>
    </row>
    <row r="2934" ht="22.5" customHeight="1">
      <c r="A2934" s="42"/>
      <c r="B2934" s="47"/>
      <c r="C2934" s="46"/>
      <c r="D2934" s="47"/>
      <c r="E2934" s="46"/>
      <c r="F2934" s="47"/>
      <c r="G2934" s="46"/>
      <c r="H2934" s="48"/>
      <c r="I2934" s="49"/>
    </row>
    <row r="2935" ht="22.5" customHeight="1">
      <c r="A2935" s="42"/>
      <c r="B2935" s="47"/>
      <c r="C2935" s="46"/>
      <c r="D2935" s="47"/>
      <c r="E2935" s="46"/>
      <c r="F2935" s="47"/>
      <c r="G2935" s="46"/>
      <c r="H2935" s="50"/>
      <c r="I2935" s="51"/>
    </row>
    <row r="2936" ht="22.5" customHeight="1">
      <c r="A2936" s="42"/>
      <c r="B2936" s="47"/>
      <c r="C2936" s="46"/>
      <c r="D2936" s="47"/>
      <c r="E2936" s="46"/>
      <c r="F2936" s="47"/>
      <c r="G2936" s="46"/>
      <c r="H2936" s="48"/>
      <c r="I2936" s="49"/>
    </row>
    <row r="2937" ht="22.5" customHeight="1">
      <c r="A2937" s="42"/>
      <c r="B2937" s="47"/>
      <c r="C2937" s="46"/>
      <c r="D2937" s="47"/>
      <c r="E2937" s="46"/>
      <c r="F2937" s="47"/>
      <c r="G2937" s="46"/>
      <c r="H2937" s="50"/>
      <c r="I2937" s="51"/>
    </row>
    <row r="2938" ht="22.5" customHeight="1">
      <c r="A2938" s="42"/>
      <c r="B2938" s="47"/>
      <c r="C2938" s="46"/>
      <c r="D2938" s="47"/>
      <c r="E2938" s="46"/>
      <c r="F2938" s="47"/>
      <c r="G2938" s="46"/>
      <c r="H2938" s="48"/>
      <c r="I2938" s="49"/>
    </row>
    <row r="2939" ht="22.5" customHeight="1">
      <c r="A2939" s="42"/>
      <c r="B2939" s="47"/>
      <c r="C2939" s="46"/>
      <c r="D2939" s="47"/>
      <c r="E2939" s="46"/>
      <c r="F2939" s="47"/>
      <c r="G2939" s="46"/>
      <c r="H2939" s="50"/>
      <c r="I2939" s="51"/>
    </row>
    <row r="2940" ht="22.5" customHeight="1">
      <c r="A2940" s="42"/>
      <c r="B2940" s="47"/>
      <c r="C2940" s="46"/>
      <c r="D2940" s="47"/>
      <c r="E2940" s="46"/>
      <c r="F2940" s="47"/>
      <c r="G2940" s="46"/>
      <c r="H2940" s="48"/>
      <c r="I2940" s="49"/>
    </row>
    <row r="2941" ht="22.5" customHeight="1">
      <c r="A2941" s="42"/>
      <c r="B2941" s="47"/>
      <c r="C2941" s="46"/>
      <c r="D2941" s="47"/>
      <c r="E2941" s="46"/>
      <c r="F2941" s="47"/>
      <c r="G2941" s="46"/>
      <c r="H2941" s="50"/>
      <c r="I2941" s="51"/>
    </row>
    <row r="2942" ht="22.5" customHeight="1">
      <c r="A2942" s="42"/>
      <c r="B2942" s="47"/>
      <c r="C2942" s="46"/>
      <c r="D2942" s="47"/>
      <c r="E2942" s="46"/>
      <c r="F2942" s="47"/>
      <c r="G2942" s="46"/>
      <c r="H2942" s="48"/>
      <c r="I2942" s="49"/>
    </row>
    <row r="2943" ht="22.5" customHeight="1">
      <c r="A2943" s="42"/>
      <c r="B2943" s="47"/>
      <c r="C2943" s="46"/>
      <c r="D2943" s="47"/>
      <c r="E2943" s="46"/>
      <c r="F2943" s="47"/>
      <c r="G2943" s="46"/>
      <c r="H2943" s="50"/>
      <c r="I2943" s="51"/>
    </row>
    <row r="2944" ht="22.5" customHeight="1">
      <c r="A2944" s="42"/>
      <c r="B2944" s="47"/>
      <c r="C2944" s="46"/>
      <c r="D2944" s="47"/>
      <c r="E2944" s="46"/>
      <c r="F2944" s="47"/>
      <c r="G2944" s="46"/>
      <c r="H2944" s="48"/>
      <c r="I2944" s="49"/>
    </row>
    <row r="2945" ht="22.5" customHeight="1">
      <c r="A2945" s="42"/>
      <c r="B2945" s="47"/>
      <c r="C2945" s="46"/>
      <c r="D2945" s="47"/>
      <c r="E2945" s="46"/>
      <c r="F2945" s="47"/>
      <c r="G2945" s="46"/>
      <c r="H2945" s="50"/>
      <c r="I2945" s="51"/>
    </row>
    <row r="2946" ht="22.5" customHeight="1">
      <c r="A2946" s="42"/>
      <c r="B2946" s="47"/>
      <c r="C2946" s="46"/>
      <c r="D2946" s="47"/>
      <c r="E2946" s="46"/>
      <c r="F2946" s="47"/>
      <c r="G2946" s="46"/>
      <c r="H2946" s="48"/>
      <c r="I2946" s="49"/>
    </row>
    <row r="2947" ht="22.5" customHeight="1">
      <c r="A2947" s="42"/>
      <c r="B2947" s="47"/>
      <c r="C2947" s="46"/>
      <c r="D2947" s="47"/>
      <c r="E2947" s="46"/>
      <c r="F2947" s="47"/>
      <c r="G2947" s="46"/>
      <c r="H2947" s="50"/>
      <c r="I2947" s="51"/>
    </row>
    <row r="2948" ht="22.5" customHeight="1">
      <c r="A2948" s="42"/>
      <c r="B2948" s="47"/>
      <c r="C2948" s="46"/>
      <c r="D2948" s="47"/>
      <c r="E2948" s="46"/>
      <c r="F2948" s="47"/>
      <c r="G2948" s="46"/>
      <c r="H2948" s="48"/>
      <c r="I2948" s="49"/>
    </row>
    <row r="2949" ht="22.5" customHeight="1">
      <c r="A2949" s="42"/>
      <c r="B2949" s="47"/>
      <c r="C2949" s="46"/>
      <c r="D2949" s="47"/>
      <c r="E2949" s="46"/>
      <c r="F2949" s="47"/>
      <c r="G2949" s="46"/>
      <c r="H2949" s="50"/>
      <c r="I2949" s="51"/>
    </row>
    <row r="2950" ht="22.5" customHeight="1">
      <c r="A2950" s="42"/>
      <c r="B2950" s="47"/>
      <c r="C2950" s="46"/>
      <c r="D2950" s="47"/>
      <c r="E2950" s="46"/>
      <c r="F2950" s="47"/>
      <c r="G2950" s="46"/>
      <c r="H2950" s="48"/>
      <c r="I2950" s="49"/>
    </row>
    <row r="2951" ht="22.5" customHeight="1">
      <c r="A2951" s="42"/>
      <c r="B2951" s="47"/>
      <c r="C2951" s="46"/>
      <c r="D2951" s="47"/>
      <c r="E2951" s="46"/>
      <c r="F2951" s="47"/>
      <c r="G2951" s="46"/>
      <c r="H2951" s="50"/>
      <c r="I2951" s="51"/>
    </row>
    <row r="2952" ht="22.5" customHeight="1">
      <c r="A2952" s="42"/>
      <c r="B2952" s="47"/>
      <c r="C2952" s="46"/>
      <c r="D2952" s="47"/>
      <c r="E2952" s="46"/>
      <c r="F2952" s="47"/>
      <c r="G2952" s="46"/>
      <c r="H2952" s="48"/>
      <c r="I2952" s="49"/>
    </row>
    <row r="2953" ht="22.5" customHeight="1">
      <c r="A2953" s="42"/>
      <c r="B2953" s="47"/>
      <c r="C2953" s="46"/>
      <c r="D2953" s="47"/>
      <c r="E2953" s="46"/>
      <c r="F2953" s="47"/>
      <c r="G2953" s="46"/>
      <c r="H2953" s="50"/>
      <c r="I2953" s="51"/>
    </row>
    <row r="2954" ht="22.5" customHeight="1">
      <c r="A2954" s="42"/>
      <c r="B2954" s="47"/>
      <c r="C2954" s="46"/>
      <c r="D2954" s="47"/>
      <c r="E2954" s="46"/>
      <c r="F2954" s="47"/>
      <c r="G2954" s="46"/>
      <c r="H2954" s="48"/>
      <c r="I2954" s="49"/>
    </row>
    <row r="2955" ht="22.5" customHeight="1">
      <c r="A2955" s="42"/>
      <c r="B2955" s="47"/>
      <c r="C2955" s="46"/>
      <c r="D2955" s="47"/>
      <c r="E2955" s="46"/>
      <c r="F2955" s="47"/>
      <c r="G2955" s="46"/>
      <c r="H2955" s="50"/>
      <c r="I2955" s="51"/>
    </row>
    <row r="2956" ht="22.5" customHeight="1">
      <c r="A2956" s="42"/>
      <c r="B2956" s="47"/>
      <c r="C2956" s="46"/>
      <c r="D2956" s="47"/>
      <c r="E2956" s="46"/>
      <c r="F2956" s="47"/>
      <c r="G2956" s="46"/>
      <c r="H2956" s="48"/>
      <c r="I2956" s="49"/>
    </row>
    <row r="2957" ht="22.5" customHeight="1">
      <c r="A2957" s="42"/>
      <c r="B2957" s="47"/>
      <c r="C2957" s="46"/>
      <c r="D2957" s="47"/>
      <c r="E2957" s="46"/>
      <c r="F2957" s="47"/>
      <c r="G2957" s="46"/>
      <c r="H2957" s="50"/>
      <c r="I2957" s="51"/>
    </row>
    <row r="2958" ht="22.5" customHeight="1">
      <c r="A2958" s="42"/>
      <c r="B2958" s="47"/>
      <c r="C2958" s="46"/>
      <c r="D2958" s="47"/>
      <c r="E2958" s="46"/>
      <c r="F2958" s="47"/>
      <c r="G2958" s="46"/>
      <c r="H2958" s="48"/>
      <c r="I2958" s="49"/>
    </row>
    <row r="2959" ht="22.5" customHeight="1">
      <c r="A2959" s="42"/>
      <c r="B2959" s="47"/>
      <c r="C2959" s="46"/>
      <c r="D2959" s="47"/>
      <c r="E2959" s="46"/>
      <c r="F2959" s="47"/>
      <c r="G2959" s="46"/>
      <c r="H2959" s="50"/>
      <c r="I2959" s="51"/>
    </row>
    <row r="2960" ht="22.5" customHeight="1">
      <c r="A2960" s="42"/>
      <c r="B2960" s="47"/>
      <c r="C2960" s="46"/>
      <c r="D2960" s="47"/>
      <c r="E2960" s="46"/>
      <c r="F2960" s="47"/>
      <c r="G2960" s="46"/>
      <c r="H2960" s="48"/>
      <c r="I2960" s="49"/>
    </row>
    <row r="2961" ht="22.5" customHeight="1">
      <c r="A2961" s="42"/>
      <c r="B2961" s="47"/>
      <c r="C2961" s="46"/>
      <c r="D2961" s="47"/>
      <c r="E2961" s="46"/>
      <c r="F2961" s="47"/>
      <c r="G2961" s="46"/>
      <c r="H2961" s="50"/>
      <c r="I2961" s="51"/>
    </row>
    <row r="2962" ht="22.5" customHeight="1">
      <c r="A2962" s="42"/>
      <c r="B2962" s="47"/>
      <c r="C2962" s="46"/>
      <c r="D2962" s="47"/>
      <c r="E2962" s="46"/>
      <c r="F2962" s="47"/>
      <c r="G2962" s="46"/>
      <c r="H2962" s="48"/>
      <c r="I2962" s="49"/>
    </row>
    <row r="2963" ht="22.5" customHeight="1">
      <c r="A2963" s="42"/>
      <c r="B2963" s="47"/>
      <c r="C2963" s="46"/>
      <c r="D2963" s="47"/>
      <c r="E2963" s="46"/>
      <c r="F2963" s="47"/>
      <c r="G2963" s="46"/>
      <c r="H2963" s="50"/>
      <c r="I2963" s="51"/>
    </row>
    <row r="2964" ht="22.5" customHeight="1">
      <c r="A2964" s="42"/>
      <c r="B2964" s="47"/>
      <c r="C2964" s="46"/>
      <c r="D2964" s="47"/>
      <c r="E2964" s="46"/>
      <c r="F2964" s="47"/>
      <c r="G2964" s="46"/>
      <c r="H2964" s="48"/>
      <c r="I2964" s="49"/>
    </row>
    <row r="2965" ht="22.5" customHeight="1">
      <c r="A2965" s="42"/>
      <c r="B2965" s="47"/>
      <c r="C2965" s="46"/>
      <c r="D2965" s="47"/>
      <c r="E2965" s="46"/>
      <c r="F2965" s="47"/>
      <c r="G2965" s="46"/>
      <c r="H2965" s="50"/>
      <c r="I2965" s="51"/>
    </row>
    <row r="2966" ht="22.5" customHeight="1">
      <c r="A2966" s="42"/>
      <c r="B2966" s="47"/>
      <c r="C2966" s="46"/>
      <c r="D2966" s="47"/>
      <c r="E2966" s="46"/>
      <c r="F2966" s="47"/>
      <c r="G2966" s="46"/>
      <c r="H2966" s="48"/>
      <c r="I2966" s="49"/>
    </row>
    <row r="2967" ht="22.5" customHeight="1">
      <c r="A2967" s="42"/>
      <c r="B2967" s="47"/>
      <c r="C2967" s="46"/>
      <c r="D2967" s="47"/>
      <c r="E2967" s="46"/>
      <c r="F2967" s="47"/>
      <c r="G2967" s="46"/>
      <c r="H2967" s="50"/>
      <c r="I2967" s="51"/>
    </row>
    <row r="2968" ht="22.5" customHeight="1">
      <c r="A2968" s="42"/>
      <c r="B2968" s="47"/>
      <c r="C2968" s="46"/>
      <c r="D2968" s="47"/>
      <c r="E2968" s="46"/>
      <c r="F2968" s="47"/>
      <c r="G2968" s="46"/>
      <c r="H2968" s="48"/>
      <c r="I2968" s="49"/>
    </row>
    <row r="2969" ht="22.5" customHeight="1">
      <c r="A2969" s="42"/>
      <c r="B2969" s="47"/>
      <c r="C2969" s="46"/>
      <c r="D2969" s="47"/>
      <c r="E2969" s="46"/>
      <c r="F2969" s="47"/>
      <c r="G2969" s="46"/>
      <c r="H2969" s="50"/>
      <c r="I2969" s="51"/>
    </row>
    <row r="2970" ht="22.5" customHeight="1">
      <c r="A2970" s="42"/>
      <c r="B2970" s="47"/>
      <c r="C2970" s="46"/>
      <c r="D2970" s="47"/>
      <c r="E2970" s="46"/>
      <c r="F2970" s="47"/>
      <c r="G2970" s="46"/>
      <c r="H2970" s="48"/>
      <c r="I2970" s="49"/>
    </row>
    <row r="2971" ht="22.5" customHeight="1">
      <c r="A2971" s="42"/>
      <c r="B2971" s="47"/>
      <c r="C2971" s="46"/>
      <c r="D2971" s="47"/>
      <c r="E2971" s="46"/>
      <c r="F2971" s="47"/>
      <c r="G2971" s="46"/>
      <c r="H2971" s="50"/>
      <c r="I2971" s="51"/>
    </row>
    <row r="2972" ht="22.5" customHeight="1">
      <c r="A2972" s="42"/>
      <c r="B2972" s="47"/>
      <c r="C2972" s="46"/>
      <c r="D2972" s="47"/>
      <c r="E2972" s="46"/>
      <c r="F2972" s="47"/>
      <c r="G2972" s="46"/>
      <c r="H2972" s="48"/>
      <c r="I2972" s="49"/>
    </row>
    <row r="2973" ht="22.5" customHeight="1">
      <c r="A2973" s="42"/>
      <c r="B2973" s="47"/>
      <c r="C2973" s="46"/>
      <c r="D2973" s="47"/>
      <c r="E2973" s="46"/>
      <c r="F2973" s="47"/>
      <c r="G2973" s="46"/>
      <c r="H2973" s="50"/>
      <c r="I2973" s="51"/>
    </row>
    <row r="2974" ht="22.5" customHeight="1">
      <c r="A2974" s="42"/>
      <c r="B2974" s="47"/>
      <c r="C2974" s="46"/>
      <c r="D2974" s="47"/>
      <c r="E2974" s="46"/>
      <c r="F2974" s="47"/>
      <c r="G2974" s="46"/>
      <c r="H2974" s="48"/>
      <c r="I2974" s="49"/>
    </row>
    <row r="2975" ht="22.5" customHeight="1">
      <c r="A2975" s="42"/>
      <c r="B2975" s="47"/>
      <c r="C2975" s="46"/>
      <c r="D2975" s="47"/>
      <c r="E2975" s="46"/>
      <c r="F2975" s="47"/>
      <c r="G2975" s="46"/>
      <c r="H2975" s="50"/>
      <c r="I2975" s="51"/>
    </row>
    <row r="2976" ht="22.5" customHeight="1">
      <c r="A2976" s="42"/>
      <c r="B2976" s="47"/>
      <c r="C2976" s="46"/>
      <c r="D2976" s="47"/>
      <c r="E2976" s="46"/>
      <c r="F2976" s="47"/>
      <c r="G2976" s="46"/>
      <c r="H2976" s="48"/>
      <c r="I2976" s="49"/>
    </row>
    <row r="2977" ht="22.5" customHeight="1">
      <c r="A2977" s="42"/>
      <c r="B2977" s="47"/>
      <c r="C2977" s="46"/>
      <c r="D2977" s="47"/>
      <c r="E2977" s="46"/>
      <c r="F2977" s="47"/>
      <c r="G2977" s="46"/>
      <c r="H2977" s="50"/>
      <c r="I2977" s="51"/>
    </row>
    <row r="2978" ht="22.5" customHeight="1">
      <c r="A2978" s="42"/>
      <c r="B2978" s="47"/>
      <c r="C2978" s="46"/>
      <c r="D2978" s="47"/>
      <c r="E2978" s="46"/>
      <c r="F2978" s="47"/>
      <c r="G2978" s="46"/>
      <c r="H2978" s="48"/>
      <c r="I2978" s="49"/>
    </row>
    <row r="2979" ht="22.5" customHeight="1">
      <c r="A2979" s="42"/>
      <c r="B2979" s="47"/>
      <c r="C2979" s="46"/>
      <c r="D2979" s="47"/>
      <c r="E2979" s="46"/>
      <c r="F2979" s="47"/>
      <c r="G2979" s="46"/>
      <c r="H2979" s="50"/>
      <c r="I2979" s="51"/>
    </row>
    <row r="2980" ht="22.5" customHeight="1">
      <c r="A2980" s="42"/>
      <c r="B2980" s="47"/>
      <c r="C2980" s="46"/>
      <c r="D2980" s="47"/>
      <c r="E2980" s="46"/>
      <c r="F2980" s="47"/>
      <c r="G2980" s="46"/>
      <c r="H2980" s="48"/>
      <c r="I2980" s="49"/>
    </row>
    <row r="2981" ht="22.5" customHeight="1">
      <c r="A2981" s="42"/>
      <c r="B2981" s="47"/>
      <c r="C2981" s="46"/>
      <c r="D2981" s="47"/>
      <c r="E2981" s="46"/>
      <c r="F2981" s="47"/>
      <c r="G2981" s="46"/>
      <c r="H2981" s="50"/>
      <c r="I2981" s="51"/>
    </row>
    <row r="2982" ht="22.5" customHeight="1">
      <c r="A2982" s="42"/>
      <c r="B2982" s="47"/>
      <c r="C2982" s="46"/>
      <c r="D2982" s="47"/>
      <c r="E2982" s="46"/>
      <c r="F2982" s="47"/>
      <c r="G2982" s="46"/>
      <c r="H2982" s="48"/>
      <c r="I2982" s="49"/>
    </row>
    <row r="2983" ht="22.5" customHeight="1">
      <c r="A2983" s="42"/>
      <c r="B2983" s="47"/>
      <c r="C2983" s="46"/>
      <c r="D2983" s="47"/>
      <c r="E2983" s="46"/>
      <c r="F2983" s="47"/>
      <c r="G2983" s="46"/>
      <c r="H2983" s="50"/>
      <c r="I2983" s="51"/>
    </row>
    <row r="2984" ht="22.5" customHeight="1">
      <c r="A2984" s="42"/>
      <c r="B2984" s="47"/>
      <c r="C2984" s="46"/>
      <c r="D2984" s="47"/>
      <c r="E2984" s="46"/>
      <c r="F2984" s="47"/>
      <c r="G2984" s="46"/>
      <c r="H2984" s="48"/>
      <c r="I2984" s="49"/>
    </row>
    <row r="2985" ht="22.5" customHeight="1">
      <c r="A2985" s="42"/>
      <c r="B2985" s="47"/>
      <c r="C2985" s="46"/>
      <c r="D2985" s="47"/>
      <c r="E2985" s="46"/>
      <c r="F2985" s="47"/>
      <c r="G2985" s="46"/>
      <c r="H2985" s="50"/>
      <c r="I2985" s="51"/>
    </row>
    <row r="2986" ht="22.5" customHeight="1">
      <c r="A2986" s="42"/>
      <c r="B2986" s="47"/>
      <c r="C2986" s="46"/>
      <c r="D2986" s="47"/>
      <c r="E2986" s="46"/>
      <c r="F2986" s="47"/>
      <c r="G2986" s="46"/>
      <c r="H2986" s="48"/>
      <c r="I2986" s="49"/>
    </row>
    <row r="2987" ht="22.5" customHeight="1">
      <c r="A2987" s="42"/>
      <c r="B2987" s="47"/>
      <c r="C2987" s="46"/>
      <c r="D2987" s="47"/>
      <c r="E2987" s="46"/>
      <c r="F2987" s="47"/>
      <c r="G2987" s="46"/>
      <c r="H2987" s="50"/>
      <c r="I2987" s="51"/>
    </row>
    <row r="2988" ht="22.5" customHeight="1">
      <c r="A2988" s="42"/>
      <c r="B2988" s="47"/>
      <c r="C2988" s="46"/>
      <c r="D2988" s="47"/>
      <c r="E2988" s="46"/>
      <c r="F2988" s="47"/>
      <c r="G2988" s="46"/>
      <c r="H2988" s="48"/>
      <c r="I2988" s="49"/>
    </row>
    <row r="2989" ht="22.5" customHeight="1">
      <c r="A2989" s="42"/>
      <c r="B2989" s="47"/>
      <c r="C2989" s="46"/>
      <c r="D2989" s="47"/>
      <c r="E2989" s="46"/>
      <c r="F2989" s="47"/>
      <c r="G2989" s="46"/>
      <c r="H2989" s="50"/>
      <c r="I2989" s="51"/>
    </row>
    <row r="2990" ht="22.5" customHeight="1">
      <c r="A2990" s="42"/>
      <c r="B2990" s="47"/>
      <c r="C2990" s="46"/>
      <c r="D2990" s="47"/>
      <c r="E2990" s="46"/>
      <c r="F2990" s="47"/>
      <c r="G2990" s="46"/>
      <c r="H2990" s="48"/>
      <c r="I2990" s="49"/>
    </row>
    <row r="2991" ht="22.5" customHeight="1">
      <c r="A2991" s="42"/>
      <c r="B2991" s="47"/>
      <c r="C2991" s="46"/>
      <c r="D2991" s="47"/>
      <c r="E2991" s="46"/>
      <c r="F2991" s="47"/>
      <c r="G2991" s="46"/>
      <c r="H2991" s="50"/>
      <c r="I2991" s="51"/>
    </row>
    <row r="2992" ht="22.5" customHeight="1">
      <c r="A2992" s="42"/>
      <c r="B2992" s="47"/>
      <c r="C2992" s="46"/>
      <c r="D2992" s="47"/>
      <c r="E2992" s="46"/>
      <c r="F2992" s="47"/>
      <c r="G2992" s="46"/>
      <c r="H2992" s="48"/>
      <c r="I2992" s="49"/>
    </row>
    <row r="2993" ht="22.5" customHeight="1">
      <c r="A2993" s="42"/>
      <c r="B2993" s="47"/>
      <c r="C2993" s="46"/>
      <c r="D2993" s="47"/>
      <c r="E2993" s="46"/>
      <c r="F2993" s="47"/>
      <c r="G2993" s="46"/>
      <c r="H2993" s="50"/>
      <c r="I2993" s="51"/>
    </row>
    <row r="2994" ht="22.5" customHeight="1">
      <c r="A2994" s="42"/>
      <c r="B2994" s="47"/>
      <c r="C2994" s="46"/>
      <c r="D2994" s="47"/>
      <c r="E2994" s="46"/>
      <c r="F2994" s="47"/>
      <c r="G2994" s="46"/>
      <c r="H2994" s="48"/>
      <c r="I2994" s="49"/>
    </row>
    <row r="2995" ht="22.5" customHeight="1">
      <c r="A2995" s="42"/>
      <c r="B2995" s="47"/>
      <c r="C2995" s="46"/>
      <c r="D2995" s="47"/>
      <c r="E2995" s="46"/>
      <c r="F2995" s="47"/>
      <c r="G2995" s="46"/>
      <c r="H2995" s="50"/>
      <c r="I2995" s="51"/>
    </row>
    <row r="2996" ht="22.5" customHeight="1">
      <c r="A2996" s="42"/>
      <c r="B2996" s="47"/>
      <c r="C2996" s="46"/>
      <c r="D2996" s="47"/>
      <c r="E2996" s="46"/>
      <c r="F2996" s="47"/>
      <c r="G2996" s="46"/>
      <c r="H2996" s="48"/>
      <c r="I2996" s="49"/>
    </row>
    <row r="2997" ht="22.5" customHeight="1">
      <c r="A2997" s="42"/>
      <c r="B2997" s="47"/>
      <c r="C2997" s="46"/>
      <c r="D2997" s="47"/>
      <c r="E2997" s="46"/>
      <c r="F2997" s="47"/>
      <c r="G2997" s="46"/>
      <c r="H2997" s="50"/>
      <c r="I2997" s="51"/>
    </row>
    <row r="2998" ht="22.5" customHeight="1">
      <c r="A2998" s="42"/>
      <c r="B2998" s="47"/>
      <c r="C2998" s="46"/>
      <c r="D2998" s="47"/>
      <c r="E2998" s="46"/>
      <c r="F2998" s="47"/>
      <c r="G2998" s="46"/>
      <c r="H2998" s="48"/>
      <c r="I2998" s="49"/>
    </row>
    <row r="2999" ht="22.5" customHeight="1">
      <c r="A2999" s="42"/>
      <c r="B2999" s="47"/>
      <c r="C2999" s="46"/>
      <c r="D2999" s="47"/>
      <c r="E2999" s="46"/>
      <c r="F2999" s="47"/>
      <c r="G2999" s="46"/>
      <c r="H2999" s="50"/>
      <c r="I2999" s="51"/>
    </row>
    <row r="3000" ht="22.5" customHeight="1">
      <c r="A3000" s="42"/>
      <c r="B3000" s="47"/>
      <c r="C3000" s="46"/>
      <c r="D3000" s="47"/>
      <c r="E3000" s="46"/>
      <c r="F3000" s="47"/>
      <c r="G3000" s="46"/>
      <c r="H3000" s="48"/>
      <c r="I3000" s="49"/>
    </row>
    <row r="3001" ht="22.5" customHeight="1">
      <c r="A3001" s="42"/>
      <c r="B3001" s="47"/>
      <c r="C3001" s="46"/>
      <c r="D3001" s="47"/>
      <c r="E3001" s="46"/>
      <c r="F3001" s="47"/>
      <c r="G3001" s="46"/>
      <c r="H3001" s="50"/>
      <c r="I3001" s="51"/>
    </row>
    <row r="3002" ht="22.5" customHeight="1">
      <c r="A3002" s="42"/>
      <c r="B3002" s="47"/>
      <c r="C3002" s="46"/>
      <c r="D3002" s="47"/>
      <c r="E3002" s="46"/>
      <c r="F3002" s="47"/>
      <c r="G3002" s="46"/>
      <c r="H3002" s="48"/>
      <c r="I3002" s="49"/>
    </row>
    <row r="3003" ht="22.5" customHeight="1">
      <c r="A3003" s="42"/>
      <c r="B3003" s="47"/>
      <c r="C3003" s="46"/>
      <c r="D3003" s="47"/>
      <c r="E3003" s="46"/>
      <c r="F3003" s="47"/>
      <c r="G3003" s="46"/>
      <c r="H3003" s="50"/>
      <c r="I3003" s="51"/>
    </row>
    <row r="3004" ht="22.5" customHeight="1">
      <c r="A3004" s="42"/>
      <c r="B3004" s="47"/>
      <c r="C3004" s="46"/>
      <c r="D3004" s="47"/>
      <c r="E3004" s="46"/>
      <c r="F3004" s="47"/>
      <c r="G3004" s="46"/>
      <c r="H3004" s="48"/>
      <c r="I3004" s="49"/>
    </row>
    <row r="3005" ht="22.5" customHeight="1">
      <c r="A3005" s="42"/>
      <c r="B3005" s="47"/>
      <c r="C3005" s="46"/>
      <c r="D3005" s="47"/>
      <c r="E3005" s="46"/>
      <c r="F3005" s="47"/>
      <c r="G3005" s="46"/>
      <c r="H3005" s="50"/>
      <c r="I3005" s="51"/>
    </row>
    <row r="3006" ht="22.5" customHeight="1">
      <c r="A3006" s="42"/>
      <c r="B3006" s="47"/>
      <c r="C3006" s="46"/>
      <c r="D3006" s="47"/>
      <c r="E3006" s="46"/>
      <c r="F3006" s="47"/>
      <c r="G3006" s="46"/>
      <c r="H3006" s="48"/>
      <c r="I3006" s="49"/>
    </row>
    <row r="3007" ht="22.5" customHeight="1">
      <c r="A3007" s="42"/>
      <c r="B3007" s="47"/>
      <c r="C3007" s="46"/>
      <c r="D3007" s="47"/>
      <c r="E3007" s="46"/>
      <c r="F3007" s="47"/>
      <c r="G3007" s="46"/>
      <c r="H3007" s="50"/>
      <c r="I3007" s="51"/>
    </row>
    <row r="3008" ht="22.5" customHeight="1">
      <c r="A3008" s="42"/>
      <c r="B3008" s="47"/>
      <c r="C3008" s="46"/>
      <c r="D3008" s="47"/>
      <c r="E3008" s="46"/>
      <c r="F3008" s="47"/>
      <c r="G3008" s="46"/>
      <c r="H3008" s="48"/>
      <c r="I3008" s="49"/>
    </row>
    <row r="3009" ht="22.5" customHeight="1">
      <c r="A3009" s="42"/>
      <c r="B3009" s="47"/>
      <c r="C3009" s="46"/>
      <c r="D3009" s="47"/>
      <c r="E3009" s="46"/>
      <c r="F3009" s="47"/>
      <c r="G3009" s="46"/>
      <c r="H3009" s="50"/>
      <c r="I3009" s="51"/>
    </row>
    <row r="3010" ht="22.5" customHeight="1">
      <c r="A3010" s="42"/>
      <c r="B3010" s="47"/>
      <c r="C3010" s="46"/>
      <c r="D3010" s="47"/>
      <c r="E3010" s="46"/>
      <c r="F3010" s="47"/>
      <c r="G3010" s="46"/>
      <c r="H3010" s="48"/>
      <c r="I3010" s="49"/>
    </row>
    <row r="3011" ht="22.5" customHeight="1">
      <c r="A3011" s="42"/>
      <c r="B3011" s="47"/>
      <c r="C3011" s="46"/>
      <c r="D3011" s="47"/>
      <c r="E3011" s="46"/>
      <c r="F3011" s="47"/>
      <c r="G3011" s="46"/>
      <c r="H3011" s="50"/>
      <c r="I3011" s="51"/>
    </row>
    <row r="3012" ht="22.5" customHeight="1">
      <c r="A3012" s="42"/>
      <c r="B3012" s="47"/>
      <c r="C3012" s="46"/>
      <c r="D3012" s="47"/>
      <c r="E3012" s="46"/>
      <c r="F3012" s="47"/>
      <c r="G3012" s="46"/>
      <c r="H3012" s="48"/>
      <c r="I3012" s="49"/>
    </row>
    <row r="3013" ht="22.5" customHeight="1">
      <c r="A3013" s="42"/>
      <c r="B3013" s="47"/>
      <c r="C3013" s="46"/>
      <c r="D3013" s="47"/>
      <c r="E3013" s="46"/>
      <c r="F3013" s="47"/>
      <c r="G3013" s="46"/>
      <c r="H3013" s="50"/>
      <c r="I3013" s="51"/>
    </row>
    <row r="3014" ht="22.5" customHeight="1">
      <c r="A3014" s="42"/>
      <c r="B3014" s="47"/>
      <c r="C3014" s="46"/>
      <c r="D3014" s="47"/>
      <c r="E3014" s="46"/>
      <c r="F3014" s="47"/>
      <c r="G3014" s="46"/>
      <c r="H3014" s="48"/>
      <c r="I3014" s="49"/>
    </row>
    <row r="3015" ht="22.5" customHeight="1">
      <c r="A3015" s="42"/>
      <c r="B3015" s="47"/>
      <c r="C3015" s="46"/>
      <c r="D3015" s="47"/>
      <c r="E3015" s="46"/>
      <c r="F3015" s="47"/>
      <c r="G3015" s="46"/>
      <c r="H3015" s="50"/>
      <c r="I3015" s="51"/>
    </row>
    <row r="3016" ht="22.5" customHeight="1">
      <c r="A3016" s="42"/>
      <c r="B3016" s="47"/>
      <c r="C3016" s="46"/>
      <c r="D3016" s="47"/>
      <c r="E3016" s="46"/>
      <c r="F3016" s="47"/>
      <c r="G3016" s="46"/>
      <c r="H3016" s="48"/>
      <c r="I3016" s="49"/>
    </row>
    <row r="3017" ht="22.5" customHeight="1">
      <c r="A3017" s="42"/>
      <c r="B3017" s="47"/>
      <c r="C3017" s="46"/>
      <c r="D3017" s="47"/>
      <c r="E3017" s="46"/>
      <c r="F3017" s="47"/>
      <c r="G3017" s="46"/>
      <c r="H3017" s="50"/>
      <c r="I3017" s="51"/>
    </row>
    <row r="3018" ht="22.5" customHeight="1">
      <c r="A3018" s="42"/>
      <c r="B3018" s="47"/>
      <c r="C3018" s="46"/>
      <c r="D3018" s="47"/>
      <c r="E3018" s="46"/>
      <c r="F3018" s="47"/>
      <c r="G3018" s="46"/>
      <c r="H3018" s="48"/>
      <c r="I3018" s="49"/>
    </row>
    <row r="3019" ht="22.5" customHeight="1">
      <c r="A3019" s="42"/>
      <c r="B3019" s="47"/>
      <c r="C3019" s="46"/>
      <c r="D3019" s="47"/>
      <c r="E3019" s="46"/>
      <c r="F3019" s="47"/>
      <c r="G3019" s="46"/>
      <c r="H3019" s="50"/>
      <c r="I3019" s="51"/>
    </row>
    <row r="3020" ht="22.5" customHeight="1">
      <c r="A3020" s="42"/>
      <c r="B3020" s="47"/>
      <c r="C3020" s="46"/>
      <c r="D3020" s="47"/>
      <c r="E3020" s="46"/>
      <c r="F3020" s="47"/>
      <c r="G3020" s="46"/>
      <c r="H3020" s="48"/>
      <c r="I3020" s="49"/>
    </row>
    <row r="3021" ht="22.5" customHeight="1">
      <c r="A3021" s="42"/>
      <c r="B3021" s="47"/>
      <c r="C3021" s="46"/>
      <c r="D3021" s="47"/>
      <c r="E3021" s="46"/>
      <c r="F3021" s="47"/>
      <c r="G3021" s="46"/>
      <c r="H3021" s="50"/>
      <c r="I3021" s="51"/>
    </row>
    <row r="3022" ht="22.5" customHeight="1">
      <c r="A3022" s="42"/>
      <c r="B3022" s="47"/>
      <c r="C3022" s="46"/>
      <c r="D3022" s="47"/>
      <c r="E3022" s="46"/>
      <c r="F3022" s="47"/>
      <c r="G3022" s="46"/>
      <c r="H3022" s="48"/>
      <c r="I3022" s="49"/>
    </row>
    <row r="3023" ht="22.5" customHeight="1">
      <c r="A3023" s="42"/>
      <c r="B3023" s="47"/>
      <c r="C3023" s="46"/>
      <c r="D3023" s="47"/>
      <c r="E3023" s="46"/>
      <c r="F3023" s="47"/>
      <c r="G3023" s="46"/>
      <c r="H3023" s="50"/>
      <c r="I3023" s="51"/>
    </row>
    <row r="3024" ht="22.5" customHeight="1">
      <c r="A3024" s="42"/>
      <c r="B3024" s="47"/>
      <c r="C3024" s="46"/>
      <c r="D3024" s="47"/>
      <c r="E3024" s="46"/>
      <c r="F3024" s="47"/>
      <c r="G3024" s="46"/>
      <c r="H3024" s="48"/>
      <c r="I3024" s="49"/>
    </row>
    <row r="3025" ht="22.5" customHeight="1">
      <c r="A3025" s="42"/>
      <c r="B3025" s="47"/>
      <c r="C3025" s="46"/>
      <c r="D3025" s="47"/>
      <c r="E3025" s="46"/>
      <c r="F3025" s="47"/>
      <c r="G3025" s="46"/>
      <c r="H3025" s="50"/>
      <c r="I3025" s="51"/>
    </row>
    <row r="3026" ht="22.5" customHeight="1">
      <c r="A3026" s="42"/>
      <c r="B3026" s="47"/>
      <c r="C3026" s="46"/>
      <c r="D3026" s="47"/>
      <c r="E3026" s="46"/>
      <c r="F3026" s="47"/>
      <c r="G3026" s="46"/>
      <c r="H3026" s="48"/>
      <c r="I3026" s="49"/>
    </row>
    <row r="3027" ht="22.5" customHeight="1">
      <c r="A3027" s="42"/>
      <c r="B3027" s="47"/>
      <c r="C3027" s="46"/>
      <c r="D3027" s="47"/>
      <c r="E3027" s="46"/>
      <c r="F3027" s="47"/>
      <c r="G3027" s="46"/>
      <c r="H3027" s="50"/>
      <c r="I3027" s="51"/>
    </row>
    <row r="3028" ht="22.5" customHeight="1">
      <c r="A3028" s="42"/>
      <c r="B3028" s="47"/>
      <c r="C3028" s="46"/>
      <c r="D3028" s="47"/>
      <c r="E3028" s="46"/>
      <c r="F3028" s="47"/>
      <c r="G3028" s="46"/>
      <c r="H3028" s="48"/>
      <c r="I3028" s="49"/>
    </row>
    <row r="3029" ht="22.5" customHeight="1">
      <c r="A3029" s="42"/>
      <c r="B3029" s="47"/>
      <c r="C3029" s="46"/>
      <c r="D3029" s="47"/>
      <c r="E3029" s="46"/>
      <c r="F3029" s="47"/>
      <c r="G3029" s="46"/>
      <c r="H3029" s="50"/>
      <c r="I3029" s="51"/>
    </row>
    <row r="3030" ht="22.5" customHeight="1">
      <c r="A3030" s="42"/>
      <c r="B3030" s="47"/>
      <c r="C3030" s="46"/>
      <c r="D3030" s="47"/>
      <c r="E3030" s="46"/>
      <c r="F3030" s="47"/>
      <c r="G3030" s="46"/>
      <c r="H3030" s="48"/>
      <c r="I3030" s="49"/>
    </row>
    <row r="3031" ht="22.5" customHeight="1">
      <c r="A3031" s="42"/>
      <c r="B3031" s="47"/>
      <c r="C3031" s="46"/>
      <c r="D3031" s="47"/>
      <c r="E3031" s="46"/>
      <c r="F3031" s="47"/>
      <c r="G3031" s="46"/>
      <c r="H3031" s="50"/>
      <c r="I3031" s="51"/>
    </row>
    <row r="3032" ht="22.5" customHeight="1">
      <c r="A3032" s="42"/>
      <c r="B3032" s="47"/>
      <c r="C3032" s="46"/>
      <c r="D3032" s="47"/>
      <c r="E3032" s="46"/>
      <c r="F3032" s="47"/>
      <c r="G3032" s="46"/>
      <c r="H3032" s="48"/>
      <c r="I3032" s="49"/>
    </row>
    <row r="3033" ht="22.5" customHeight="1">
      <c r="A3033" s="42"/>
      <c r="B3033" s="47"/>
      <c r="C3033" s="46"/>
      <c r="D3033" s="47"/>
      <c r="E3033" s="46"/>
      <c r="F3033" s="47"/>
      <c r="G3033" s="46"/>
      <c r="H3033" s="50"/>
      <c r="I3033" s="51"/>
    </row>
    <row r="3034" ht="22.5" customHeight="1">
      <c r="A3034" s="42"/>
      <c r="B3034" s="47"/>
      <c r="C3034" s="46"/>
      <c r="D3034" s="47"/>
      <c r="E3034" s="46"/>
      <c r="F3034" s="47"/>
      <c r="G3034" s="46"/>
      <c r="H3034" s="48"/>
      <c r="I3034" s="49"/>
    </row>
    <row r="3035" ht="22.5" customHeight="1">
      <c r="A3035" s="42"/>
      <c r="B3035" s="47"/>
      <c r="C3035" s="46"/>
      <c r="D3035" s="47"/>
      <c r="E3035" s="46"/>
      <c r="F3035" s="47"/>
      <c r="G3035" s="46"/>
      <c r="H3035" s="50"/>
      <c r="I3035" s="51"/>
    </row>
    <row r="3036" ht="22.5" customHeight="1">
      <c r="A3036" s="42"/>
      <c r="B3036" s="47"/>
      <c r="C3036" s="46"/>
      <c r="D3036" s="47"/>
      <c r="E3036" s="46"/>
      <c r="F3036" s="47"/>
      <c r="G3036" s="46"/>
      <c r="H3036" s="48"/>
      <c r="I3036" s="49"/>
    </row>
    <row r="3037" ht="22.5" customHeight="1">
      <c r="A3037" s="42"/>
      <c r="B3037" s="47"/>
      <c r="C3037" s="46"/>
      <c r="D3037" s="47"/>
      <c r="E3037" s="46"/>
      <c r="F3037" s="47"/>
      <c r="G3037" s="46"/>
      <c r="H3037" s="50"/>
      <c r="I3037" s="51"/>
    </row>
    <row r="3038" ht="22.5" customHeight="1">
      <c r="A3038" s="42"/>
      <c r="B3038" s="47"/>
      <c r="C3038" s="46"/>
      <c r="D3038" s="47"/>
      <c r="E3038" s="46"/>
      <c r="F3038" s="47"/>
      <c r="G3038" s="46"/>
      <c r="H3038" s="48"/>
      <c r="I3038" s="49"/>
    </row>
    <row r="3039" ht="22.5" customHeight="1">
      <c r="A3039" s="42"/>
      <c r="B3039" s="47"/>
      <c r="C3039" s="46"/>
      <c r="D3039" s="47"/>
      <c r="E3039" s="46"/>
      <c r="F3039" s="47"/>
      <c r="G3039" s="46"/>
      <c r="H3039" s="50"/>
      <c r="I3039" s="51"/>
    </row>
    <row r="3040" ht="22.5" customHeight="1">
      <c r="A3040" s="42"/>
      <c r="B3040" s="47"/>
      <c r="C3040" s="46"/>
      <c r="D3040" s="47"/>
      <c r="E3040" s="46"/>
      <c r="F3040" s="47"/>
      <c r="G3040" s="46"/>
      <c r="H3040" s="48"/>
      <c r="I3040" s="49"/>
    </row>
    <row r="3041" ht="22.5" customHeight="1">
      <c r="A3041" s="42"/>
      <c r="B3041" s="47"/>
      <c r="C3041" s="46"/>
      <c r="D3041" s="47"/>
      <c r="E3041" s="46"/>
      <c r="F3041" s="47"/>
      <c r="G3041" s="46"/>
      <c r="H3041" s="50"/>
      <c r="I3041" s="51"/>
    </row>
    <row r="3042" ht="22.5" customHeight="1">
      <c r="A3042" s="42"/>
      <c r="B3042" s="47"/>
      <c r="C3042" s="46"/>
      <c r="D3042" s="47"/>
      <c r="E3042" s="46"/>
      <c r="F3042" s="47"/>
      <c r="G3042" s="46"/>
      <c r="H3042" s="48"/>
      <c r="I3042" s="49"/>
    </row>
    <row r="3043" ht="22.5" customHeight="1">
      <c r="A3043" s="42"/>
      <c r="B3043" s="47"/>
      <c r="C3043" s="46"/>
      <c r="D3043" s="47"/>
      <c r="E3043" s="46"/>
      <c r="F3043" s="47"/>
      <c r="G3043" s="46"/>
      <c r="H3043" s="50"/>
      <c r="I3043" s="51"/>
    </row>
    <row r="3044" ht="22.5" customHeight="1">
      <c r="A3044" s="42"/>
      <c r="B3044" s="47"/>
      <c r="C3044" s="46"/>
      <c r="D3044" s="47"/>
      <c r="E3044" s="46"/>
      <c r="F3044" s="47"/>
      <c r="G3044" s="46"/>
      <c r="H3044" s="48"/>
      <c r="I3044" s="49"/>
    </row>
    <row r="3045" ht="22.5" customHeight="1">
      <c r="A3045" s="42"/>
      <c r="B3045" s="47"/>
      <c r="C3045" s="46"/>
      <c r="D3045" s="47"/>
      <c r="E3045" s="46"/>
      <c r="F3045" s="47"/>
      <c r="G3045" s="46"/>
      <c r="H3045" s="50"/>
      <c r="I3045" s="51"/>
    </row>
    <row r="3046" ht="22.5" customHeight="1">
      <c r="A3046" s="42"/>
      <c r="B3046" s="47"/>
      <c r="C3046" s="46"/>
      <c r="D3046" s="47"/>
      <c r="E3046" s="46"/>
      <c r="F3046" s="47"/>
      <c r="G3046" s="46"/>
      <c r="H3046" s="48"/>
      <c r="I3046" s="49"/>
    </row>
    <row r="3047" ht="22.5" customHeight="1">
      <c r="A3047" s="42"/>
      <c r="B3047" s="47"/>
      <c r="C3047" s="46"/>
      <c r="D3047" s="47"/>
      <c r="E3047" s="46"/>
      <c r="F3047" s="47"/>
      <c r="G3047" s="46"/>
      <c r="H3047" s="50"/>
      <c r="I3047" s="51"/>
    </row>
    <row r="3048" ht="22.5" customHeight="1">
      <c r="A3048" s="42"/>
      <c r="B3048" s="47"/>
      <c r="C3048" s="46"/>
      <c r="D3048" s="47"/>
      <c r="E3048" s="46"/>
      <c r="F3048" s="47"/>
      <c r="G3048" s="46"/>
      <c r="H3048" s="48"/>
      <c r="I3048" s="49"/>
    </row>
    <row r="3049" ht="22.5" customHeight="1">
      <c r="A3049" s="42"/>
      <c r="B3049" s="47"/>
      <c r="C3049" s="46"/>
      <c r="D3049" s="47"/>
      <c r="E3049" s="46"/>
      <c r="F3049" s="47"/>
      <c r="G3049" s="46"/>
      <c r="H3049" s="50"/>
      <c r="I3049" s="51"/>
    </row>
    <row r="3050" ht="22.5" customHeight="1">
      <c r="A3050" s="42"/>
      <c r="B3050" s="47"/>
      <c r="C3050" s="46"/>
      <c r="D3050" s="47"/>
      <c r="E3050" s="46"/>
      <c r="F3050" s="47"/>
      <c r="G3050" s="46"/>
      <c r="H3050" s="48"/>
      <c r="I3050" s="49"/>
    </row>
    <row r="3051" ht="22.5" customHeight="1">
      <c r="A3051" s="42"/>
      <c r="B3051" s="47"/>
      <c r="C3051" s="46"/>
      <c r="D3051" s="47"/>
      <c r="E3051" s="46"/>
      <c r="F3051" s="47"/>
      <c r="G3051" s="46"/>
      <c r="H3051" s="50"/>
      <c r="I3051" s="51"/>
    </row>
    <row r="3052" ht="22.5" customHeight="1">
      <c r="A3052" s="42"/>
      <c r="B3052" s="47"/>
      <c r="C3052" s="46"/>
      <c r="D3052" s="47"/>
      <c r="E3052" s="46"/>
      <c r="F3052" s="47"/>
      <c r="G3052" s="46"/>
      <c r="H3052" s="48"/>
      <c r="I3052" s="49"/>
    </row>
    <row r="3053" ht="22.5" customHeight="1">
      <c r="A3053" s="42"/>
      <c r="B3053" s="47"/>
      <c r="C3053" s="46"/>
      <c r="D3053" s="47"/>
      <c r="E3053" s="46"/>
      <c r="F3053" s="47"/>
      <c r="G3053" s="46"/>
      <c r="H3053" s="50"/>
      <c r="I3053" s="51"/>
    </row>
    <row r="3054" ht="22.5" customHeight="1">
      <c r="A3054" s="42"/>
      <c r="B3054" s="47"/>
      <c r="C3054" s="46"/>
      <c r="D3054" s="47"/>
      <c r="E3054" s="46"/>
      <c r="F3054" s="47"/>
      <c r="G3054" s="46"/>
      <c r="H3054" s="48"/>
      <c r="I3054" s="49"/>
    </row>
    <row r="3055" ht="22.5" customHeight="1">
      <c r="A3055" s="42"/>
      <c r="B3055" s="47"/>
      <c r="C3055" s="46"/>
      <c r="D3055" s="47"/>
      <c r="E3055" s="46"/>
      <c r="F3055" s="47"/>
      <c r="G3055" s="46"/>
      <c r="H3055" s="50"/>
      <c r="I3055" s="51"/>
    </row>
    <row r="3056" ht="22.5" customHeight="1">
      <c r="A3056" s="42"/>
      <c r="B3056" s="47"/>
      <c r="C3056" s="46"/>
      <c r="D3056" s="47"/>
      <c r="E3056" s="46"/>
      <c r="F3056" s="47"/>
      <c r="G3056" s="46"/>
      <c r="H3056" s="48"/>
      <c r="I3056" s="49"/>
    </row>
    <row r="3057" ht="22.5" customHeight="1">
      <c r="A3057" s="42"/>
      <c r="B3057" s="47"/>
      <c r="C3057" s="46"/>
      <c r="D3057" s="47"/>
      <c r="E3057" s="46"/>
      <c r="F3057" s="47"/>
      <c r="G3057" s="46"/>
      <c r="H3057" s="50"/>
      <c r="I3057" s="51"/>
    </row>
    <row r="3058" ht="22.5" customHeight="1">
      <c r="A3058" s="42"/>
      <c r="B3058" s="47"/>
      <c r="C3058" s="46"/>
      <c r="D3058" s="47"/>
      <c r="E3058" s="46"/>
      <c r="F3058" s="47"/>
      <c r="G3058" s="46"/>
      <c r="H3058" s="48"/>
      <c r="I3058" s="49"/>
    </row>
    <row r="3059" ht="22.5" customHeight="1">
      <c r="A3059" s="42"/>
      <c r="B3059" s="47"/>
      <c r="C3059" s="46"/>
      <c r="D3059" s="47"/>
      <c r="E3059" s="46"/>
      <c r="F3059" s="47"/>
      <c r="G3059" s="46"/>
      <c r="H3059" s="50"/>
      <c r="I3059" s="51"/>
    </row>
    <row r="3060" ht="22.5" customHeight="1">
      <c r="A3060" s="42"/>
      <c r="B3060" s="47"/>
      <c r="C3060" s="46"/>
      <c r="D3060" s="47"/>
      <c r="E3060" s="46"/>
      <c r="F3060" s="47"/>
      <c r="G3060" s="46"/>
      <c r="H3060" s="48"/>
      <c r="I3060" s="49"/>
    </row>
    <row r="3061" ht="22.5" customHeight="1">
      <c r="A3061" s="42"/>
      <c r="B3061" s="47"/>
      <c r="C3061" s="46"/>
      <c r="D3061" s="47"/>
      <c r="E3061" s="46"/>
      <c r="F3061" s="47"/>
      <c r="G3061" s="46"/>
      <c r="H3061" s="50"/>
      <c r="I3061" s="51"/>
    </row>
    <row r="3062" ht="22.5" customHeight="1">
      <c r="A3062" s="42"/>
      <c r="B3062" s="47"/>
      <c r="C3062" s="46"/>
      <c r="D3062" s="47"/>
      <c r="E3062" s="46"/>
      <c r="F3062" s="47"/>
      <c r="G3062" s="46"/>
      <c r="H3062" s="48"/>
      <c r="I3062" s="49"/>
    </row>
    <row r="3063" ht="22.5" customHeight="1">
      <c r="A3063" s="42"/>
      <c r="B3063" s="47"/>
      <c r="C3063" s="46"/>
      <c r="D3063" s="47"/>
      <c r="E3063" s="46"/>
      <c r="F3063" s="47"/>
      <c r="G3063" s="46"/>
      <c r="H3063" s="50"/>
      <c r="I3063" s="51"/>
    </row>
    <row r="3064" ht="22.5" customHeight="1">
      <c r="A3064" s="42"/>
      <c r="B3064" s="47"/>
      <c r="C3064" s="46"/>
      <c r="D3064" s="47"/>
      <c r="E3064" s="46"/>
      <c r="F3064" s="47"/>
      <c r="G3064" s="46"/>
      <c r="H3064" s="48"/>
      <c r="I3064" s="49"/>
    </row>
    <row r="3065" ht="22.5" customHeight="1">
      <c r="A3065" s="42"/>
      <c r="B3065" s="47"/>
      <c r="C3065" s="46"/>
      <c r="D3065" s="47"/>
      <c r="E3065" s="46"/>
      <c r="F3065" s="47"/>
      <c r="G3065" s="46"/>
      <c r="H3065" s="50"/>
      <c r="I3065" s="51"/>
    </row>
    <row r="3066" ht="22.5" customHeight="1">
      <c r="A3066" s="42"/>
      <c r="B3066" s="47"/>
      <c r="C3066" s="46"/>
      <c r="D3066" s="47"/>
      <c r="E3066" s="46"/>
      <c r="F3066" s="47"/>
      <c r="G3066" s="46"/>
      <c r="H3066" s="48"/>
      <c r="I3066" s="49"/>
    </row>
    <row r="3067" ht="22.5" customHeight="1">
      <c r="A3067" s="42"/>
      <c r="B3067" s="47"/>
      <c r="C3067" s="46"/>
      <c r="D3067" s="47"/>
      <c r="E3067" s="46"/>
      <c r="F3067" s="47"/>
      <c r="G3067" s="46"/>
      <c r="H3067" s="50"/>
      <c r="I3067" s="51"/>
    </row>
    <row r="3068" ht="22.5" customHeight="1">
      <c r="A3068" s="42"/>
      <c r="B3068" s="47"/>
      <c r="C3068" s="46"/>
      <c r="D3068" s="47"/>
      <c r="E3068" s="46"/>
      <c r="F3068" s="47"/>
      <c r="G3068" s="46"/>
      <c r="H3068" s="48"/>
      <c r="I3068" s="49"/>
    </row>
    <row r="3069" ht="22.5" customHeight="1">
      <c r="A3069" s="42"/>
      <c r="B3069" s="47"/>
      <c r="C3069" s="46"/>
      <c r="D3069" s="47"/>
      <c r="E3069" s="46"/>
      <c r="F3069" s="47"/>
      <c r="G3069" s="46"/>
      <c r="H3069" s="50"/>
      <c r="I3069" s="51"/>
    </row>
    <row r="3070" ht="22.5" customHeight="1">
      <c r="A3070" s="42"/>
      <c r="B3070" s="47"/>
      <c r="C3070" s="46"/>
      <c r="D3070" s="47"/>
      <c r="E3070" s="46"/>
      <c r="F3070" s="47"/>
      <c r="G3070" s="46"/>
      <c r="H3070" s="48"/>
      <c r="I3070" s="49"/>
    </row>
    <row r="3071" ht="22.5" customHeight="1">
      <c r="A3071" s="42"/>
      <c r="B3071" s="47"/>
      <c r="C3071" s="46"/>
      <c r="D3071" s="47"/>
      <c r="E3071" s="46"/>
      <c r="F3071" s="47"/>
      <c r="G3071" s="46"/>
      <c r="H3071" s="50"/>
      <c r="I3071" s="51"/>
    </row>
    <row r="3072" ht="22.5" customHeight="1">
      <c r="A3072" s="42"/>
      <c r="B3072" s="47"/>
      <c r="C3072" s="46"/>
      <c r="D3072" s="47"/>
      <c r="E3072" s="46"/>
      <c r="F3072" s="47"/>
      <c r="G3072" s="46"/>
      <c r="H3072" s="48"/>
      <c r="I3072" s="49"/>
    </row>
    <row r="3073" ht="22.5" customHeight="1">
      <c r="A3073" s="42"/>
      <c r="B3073" s="47"/>
      <c r="C3073" s="46"/>
      <c r="D3073" s="47"/>
      <c r="E3073" s="46"/>
      <c r="F3073" s="47"/>
      <c r="G3073" s="46"/>
      <c r="H3073" s="50"/>
      <c r="I3073" s="51"/>
    </row>
    <row r="3074" ht="22.5" customHeight="1">
      <c r="A3074" s="42"/>
      <c r="B3074" s="47"/>
      <c r="C3074" s="46"/>
      <c r="D3074" s="47"/>
      <c r="E3074" s="46"/>
      <c r="F3074" s="47"/>
      <c r="G3074" s="46"/>
      <c r="H3074" s="48"/>
      <c r="I3074" s="49"/>
    </row>
    <row r="3075" ht="22.5" customHeight="1">
      <c r="A3075" s="42"/>
      <c r="B3075" s="47"/>
      <c r="C3075" s="46"/>
      <c r="D3075" s="47"/>
      <c r="E3075" s="46"/>
      <c r="F3075" s="47"/>
      <c r="G3075" s="46"/>
      <c r="H3075" s="50"/>
      <c r="I3075" s="51"/>
    </row>
    <row r="3076" ht="22.5" customHeight="1">
      <c r="A3076" s="42"/>
      <c r="B3076" s="47"/>
      <c r="C3076" s="46"/>
      <c r="D3076" s="47"/>
      <c r="E3076" s="46"/>
      <c r="F3076" s="47"/>
      <c r="G3076" s="46"/>
      <c r="H3076" s="48"/>
      <c r="I3076" s="49"/>
    </row>
    <row r="3077" ht="22.5" customHeight="1">
      <c r="A3077" s="42"/>
      <c r="B3077" s="47"/>
      <c r="C3077" s="46"/>
      <c r="D3077" s="47"/>
      <c r="E3077" s="46"/>
      <c r="F3077" s="47"/>
      <c r="G3077" s="46"/>
      <c r="H3077" s="50"/>
      <c r="I3077" s="51"/>
    </row>
    <row r="3078" ht="22.5" customHeight="1">
      <c r="A3078" s="42"/>
      <c r="B3078" s="47"/>
      <c r="C3078" s="46"/>
      <c r="D3078" s="47"/>
      <c r="E3078" s="46"/>
      <c r="F3078" s="47"/>
      <c r="G3078" s="46"/>
      <c r="H3078" s="48"/>
      <c r="I3078" s="49"/>
    </row>
    <row r="3079" ht="22.5" customHeight="1">
      <c r="A3079" s="42"/>
      <c r="B3079" s="47"/>
      <c r="C3079" s="46"/>
      <c r="D3079" s="47"/>
      <c r="E3079" s="46"/>
      <c r="F3079" s="47"/>
      <c r="G3079" s="46"/>
      <c r="H3079" s="50"/>
      <c r="I3079" s="51"/>
    </row>
    <row r="3080" ht="22.5" customHeight="1">
      <c r="A3080" s="42"/>
      <c r="B3080" s="47"/>
      <c r="C3080" s="46"/>
      <c r="D3080" s="47"/>
      <c r="E3080" s="46"/>
      <c r="F3080" s="47"/>
      <c r="G3080" s="46"/>
      <c r="H3080" s="48"/>
      <c r="I3080" s="49"/>
    </row>
    <row r="3081" ht="22.5" customHeight="1">
      <c r="A3081" s="42"/>
      <c r="B3081" s="47"/>
      <c r="C3081" s="46"/>
      <c r="D3081" s="47"/>
      <c r="E3081" s="46"/>
      <c r="F3081" s="47"/>
      <c r="G3081" s="46"/>
      <c r="H3081" s="50"/>
      <c r="I3081" s="51"/>
    </row>
    <row r="3082" ht="22.5" customHeight="1">
      <c r="A3082" s="42"/>
      <c r="B3082" s="47"/>
      <c r="C3082" s="46"/>
      <c r="D3082" s="47"/>
      <c r="E3082" s="46"/>
      <c r="F3082" s="47"/>
      <c r="G3082" s="46"/>
      <c r="H3082" s="48"/>
      <c r="I3082" s="49"/>
    </row>
    <row r="3083" ht="22.5" customHeight="1">
      <c r="A3083" s="42"/>
      <c r="B3083" s="47"/>
      <c r="C3083" s="46"/>
      <c r="D3083" s="47"/>
      <c r="E3083" s="46"/>
      <c r="F3083" s="47"/>
      <c r="G3083" s="46"/>
      <c r="H3083" s="50"/>
      <c r="I3083" s="51"/>
    </row>
    <row r="3084" ht="22.5" customHeight="1">
      <c r="A3084" s="42"/>
      <c r="B3084" s="47"/>
      <c r="C3084" s="46"/>
      <c r="D3084" s="47"/>
      <c r="E3084" s="46"/>
      <c r="F3084" s="47"/>
      <c r="G3084" s="46"/>
      <c r="H3084" s="48"/>
      <c r="I3084" s="49"/>
    </row>
    <row r="3085" ht="22.5" customHeight="1">
      <c r="A3085" s="42"/>
      <c r="B3085" s="47"/>
      <c r="C3085" s="46"/>
      <c r="D3085" s="47"/>
      <c r="E3085" s="46"/>
      <c r="F3085" s="47"/>
      <c r="G3085" s="46"/>
      <c r="H3085" s="50"/>
      <c r="I3085" s="51"/>
    </row>
    <row r="3086" ht="22.5" customHeight="1">
      <c r="A3086" s="42"/>
      <c r="B3086" s="47"/>
      <c r="C3086" s="46"/>
      <c r="D3086" s="47"/>
      <c r="E3086" s="46"/>
      <c r="F3086" s="47"/>
      <c r="G3086" s="46"/>
      <c r="H3086" s="48"/>
      <c r="I3086" s="49"/>
    </row>
    <row r="3087" ht="22.5" customHeight="1">
      <c r="A3087" s="42"/>
      <c r="B3087" s="47"/>
      <c r="C3087" s="46"/>
      <c r="D3087" s="47"/>
      <c r="E3087" s="46"/>
      <c r="F3087" s="47"/>
      <c r="G3087" s="46"/>
      <c r="H3087" s="50"/>
      <c r="I3087" s="51"/>
    </row>
    <row r="3088" ht="22.5" customHeight="1">
      <c r="A3088" s="42"/>
      <c r="B3088" s="47"/>
      <c r="C3088" s="46"/>
      <c r="D3088" s="47"/>
      <c r="E3088" s="46"/>
      <c r="F3088" s="47"/>
      <c r="G3088" s="46"/>
      <c r="H3088" s="48"/>
      <c r="I3088" s="49"/>
    </row>
    <row r="3089" ht="22.5" customHeight="1">
      <c r="A3089" s="42"/>
      <c r="B3089" s="47"/>
      <c r="C3089" s="46"/>
      <c r="D3089" s="47"/>
      <c r="E3089" s="46"/>
      <c r="F3089" s="47"/>
      <c r="G3089" s="46"/>
      <c r="H3089" s="50"/>
      <c r="I3089" s="51"/>
    </row>
    <row r="3090" ht="22.5" customHeight="1">
      <c r="A3090" s="42"/>
      <c r="B3090" s="47"/>
      <c r="C3090" s="46"/>
      <c r="D3090" s="47"/>
      <c r="E3090" s="46"/>
      <c r="F3090" s="47"/>
      <c r="G3090" s="46"/>
      <c r="H3090" s="48"/>
      <c r="I3090" s="49"/>
    </row>
    <row r="3091" ht="22.5" customHeight="1">
      <c r="A3091" s="42"/>
      <c r="B3091" s="47"/>
      <c r="C3091" s="46"/>
      <c r="D3091" s="47"/>
      <c r="E3091" s="46"/>
      <c r="F3091" s="47"/>
      <c r="G3091" s="46"/>
      <c r="H3091" s="50"/>
      <c r="I3091" s="51"/>
    </row>
    <row r="3092" ht="22.5" customHeight="1">
      <c r="A3092" s="42"/>
      <c r="B3092" s="47"/>
      <c r="C3092" s="46"/>
      <c r="D3092" s="47"/>
      <c r="E3092" s="46"/>
      <c r="F3092" s="47"/>
      <c r="G3092" s="46"/>
      <c r="H3092" s="48"/>
      <c r="I3092" s="49"/>
    </row>
    <row r="3093" ht="22.5" customHeight="1">
      <c r="A3093" s="42"/>
      <c r="B3093" s="47"/>
      <c r="C3093" s="46"/>
      <c r="D3093" s="47"/>
      <c r="E3093" s="46"/>
      <c r="F3093" s="47"/>
      <c r="G3093" s="46"/>
      <c r="H3093" s="50"/>
      <c r="I3093" s="51"/>
    </row>
    <row r="3094" ht="22.5" customHeight="1">
      <c r="A3094" s="42"/>
      <c r="B3094" s="47"/>
      <c r="C3094" s="46"/>
      <c r="D3094" s="47"/>
      <c r="E3094" s="46"/>
      <c r="F3094" s="47"/>
      <c r="G3094" s="46"/>
      <c r="H3094" s="48"/>
      <c r="I3094" s="49"/>
    </row>
    <row r="3095" ht="22.5" customHeight="1">
      <c r="A3095" s="42"/>
      <c r="B3095" s="47"/>
      <c r="C3095" s="46"/>
      <c r="D3095" s="47"/>
      <c r="E3095" s="46"/>
      <c r="F3095" s="47"/>
      <c r="G3095" s="46"/>
      <c r="H3095" s="50"/>
      <c r="I3095" s="51"/>
    </row>
    <row r="3096" ht="22.5" customHeight="1">
      <c r="A3096" s="42"/>
      <c r="B3096" s="47"/>
      <c r="C3096" s="46"/>
      <c r="D3096" s="47"/>
      <c r="E3096" s="46"/>
      <c r="F3096" s="47"/>
      <c r="G3096" s="46"/>
      <c r="H3096" s="48"/>
      <c r="I3096" s="49"/>
    </row>
    <row r="3097" ht="22.5" customHeight="1">
      <c r="A3097" s="42"/>
      <c r="B3097" s="47"/>
      <c r="C3097" s="46"/>
      <c r="D3097" s="47"/>
      <c r="E3097" s="46"/>
      <c r="F3097" s="47"/>
      <c r="G3097" s="46"/>
      <c r="H3097" s="50"/>
      <c r="I3097" s="51"/>
    </row>
    <row r="3098" ht="22.5" customHeight="1">
      <c r="A3098" s="42"/>
      <c r="B3098" s="47"/>
      <c r="C3098" s="46"/>
      <c r="D3098" s="47"/>
      <c r="E3098" s="46"/>
      <c r="F3098" s="47"/>
      <c r="G3098" s="46"/>
      <c r="H3098" s="48"/>
      <c r="I3098" s="49"/>
    </row>
    <row r="3099" ht="22.5" customHeight="1">
      <c r="A3099" s="42"/>
      <c r="B3099" s="47"/>
      <c r="C3099" s="46"/>
      <c r="D3099" s="47"/>
      <c r="E3099" s="46"/>
      <c r="F3099" s="47"/>
      <c r="G3099" s="46"/>
      <c r="H3099" s="50"/>
      <c r="I3099" s="51"/>
    </row>
    <row r="3100" ht="22.5" customHeight="1">
      <c r="A3100" s="42"/>
      <c r="B3100" s="47"/>
      <c r="C3100" s="46"/>
      <c r="D3100" s="47"/>
      <c r="E3100" s="46"/>
      <c r="F3100" s="47"/>
      <c r="G3100" s="46"/>
      <c r="H3100" s="48"/>
      <c r="I3100" s="49"/>
    </row>
    <row r="3101" ht="22.5" customHeight="1">
      <c r="A3101" s="42"/>
      <c r="B3101" s="47"/>
      <c r="C3101" s="46"/>
      <c r="D3101" s="47"/>
      <c r="E3101" s="46"/>
      <c r="F3101" s="47"/>
      <c r="G3101" s="46"/>
      <c r="H3101" s="50"/>
      <c r="I3101" s="51"/>
    </row>
    <row r="3102" ht="22.5" customHeight="1">
      <c r="A3102" s="42"/>
      <c r="B3102" s="47"/>
      <c r="C3102" s="46"/>
      <c r="D3102" s="47"/>
      <c r="E3102" s="46"/>
      <c r="F3102" s="47"/>
      <c r="G3102" s="46"/>
      <c r="H3102" s="48"/>
      <c r="I3102" s="49"/>
    </row>
    <row r="3103" ht="22.5" customHeight="1">
      <c r="A3103" s="42"/>
      <c r="B3103" s="47"/>
      <c r="C3103" s="46"/>
      <c r="D3103" s="47"/>
      <c r="E3103" s="46"/>
      <c r="F3103" s="47"/>
      <c r="G3103" s="46"/>
      <c r="H3103" s="50"/>
      <c r="I3103" s="51"/>
    </row>
    <row r="3104" ht="22.5" customHeight="1">
      <c r="A3104" s="42"/>
      <c r="B3104" s="47"/>
      <c r="C3104" s="46"/>
      <c r="D3104" s="47"/>
      <c r="E3104" s="46"/>
      <c r="F3104" s="47"/>
      <c r="G3104" s="46"/>
      <c r="H3104" s="48"/>
      <c r="I3104" s="49"/>
    </row>
    <row r="3105" ht="22.5" customHeight="1">
      <c r="A3105" s="42"/>
      <c r="B3105" s="47"/>
      <c r="C3105" s="46"/>
      <c r="D3105" s="47"/>
      <c r="E3105" s="46"/>
      <c r="F3105" s="47"/>
      <c r="G3105" s="46"/>
      <c r="H3105" s="50"/>
      <c r="I3105" s="51"/>
    </row>
    <row r="3106" ht="22.5" customHeight="1">
      <c r="A3106" s="42"/>
      <c r="B3106" s="47"/>
      <c r="C3106" s="46"/>
      <c r="D3106" s="47"/>
      <c r="E3106" s="46"/>
      <c r="F3106" s="47"/>
      <c r="G3106" s="46"/>
      <c r="H3106" s="48"/>
      <c r="I3106" s="49"/>
    </row>
    <row r="3107" ht="22.5" customHeight="1">
      <c r="A3107" s="42"/>
      <c r="B3107" s="47"/>
      <c r="C3107" s="46"/>
      <c r="D3107" s="47"/>
      <c r="E3107" s="46"/>
      <c r="F3107" s="47"/>
      <c r="G3107" s="46"/>
      <c r="H3107" s="50"/>
      <c r="I3107" s="51"/>
    </row>
    <row r="3108" ht="22.5" customHeight="1">
      <c r="A3108" s="42"/>
      <c r="B3108" s="47"/>
      <c r="C3108" s="46"/>
      <c r="D3108" s="47"/>
      <c r="E3108" s="46"/>
      <c r="F3108" s="47"/>
      <c r="G3108" s="46"/>
      <c r="H3108" s="48"/>
      <c r="I3108" s="49"/>
    </row>
    <row r="3109" ht="22.5" customHeight="1">
      <c r="A3109" s="42"/>
      <c r="B3109" s="47"/>
      <c r="C3109" s="46"/>
      <c r="D3109" s="47"/>
      <c r="E3109" s="46"/>
      <c r="F3109" s="47"/>
      <c r="G3109" s="46"/>
      <c r="H3109" s="50"/>
      <c r="I3109" s="51"/>
    </row>
    <row r="3110" ht="22.5" customHeight="1">
      <c r="A3110" s="42"/>
      <c r="B3110" s="47"/>
      <c r="C3110" s="46"/>
      <c r="D3110" s="47"/>
      <c r="E3110" s="46"/>
      <c r="F3110" s="47"/>
      <c r="G3110" s="46"/>
      <c r="H3110" s="48"/>
      <c r="I3110" s="49"/>
    </row>
    <row r="3111" ht="22.5" customHeight="1">
      <c r="A3111" s="42"/>
      <c r="B3111" s="47"/>
      <c r="C3111" s="46"/>
      <c r="D3111" s="47"/>
      <c r="E3111" s="46"/>
      <c r="F3111" s="47"/>
      <c r="G3111" s="46"/>
      <c r="H3111" s="50"/>
      <c r="I3111" s="51"/>
    </row>
    <row r="3112" ht="22.5" customHeight="1">
      <c r="A3112" s="42"/>
      <c r="B3112" s="47"/>
      <c r="C3112" s="46"/>
      <c r="D3112" s="47"/>
      <c r="E3112" s="46"/>
      <c r="F3112" s="47"/>
      <c r="G3112" s="46"/>
      <c r="H3112" s="48"/>
      <c r="I3112" s="49"/>
    </row>
    <row r="3113" ht="22.5" customHeight="1">
      <c r="A3113" s="42"/>
      <c r="B3113" s="47"/>
      <c r="C3113" s="46"/>
      <c r="D3113" s="47"/>
      <c r="E3113" s="46"/>
      <c r="F3113" s="47"/>
      <c r="G3113" s="46"/>
      <c r="H3113" s="50"/>
      <c r="I3113" s="51"/>
    </row>
    <row r="3114" ht="22.5" customHeight="1">
      <c r="A3114" s="42"/>
      <c r="B3114" s="47"/>
      <c r="C3114" s="46"/>
      <c r="D3114" s="47"/>
      <c r="E3114" s="46"/>
      <c r="F3114" s="47"/>
      <c r="G3114" s="46"/>
      <c r="H3114" s="48"/>
      <c r="I3114" s="49"/>
    </row>
    <row r="3115" ht="22.5" customHeight="1">
      <c r="A3115" s="42"/>
      <c r="B3115" s="47"/>
      <c r="C3115" s="46"/>
      <c r="D3115" s="47"/>
      <c r="E3115" s="46"/>
      <c r="F3115" s="47"/>
      <c r="G3115" s="46"/>
      <c r="H3115" s="50"/>
      <c r="I3115" s="51"/>
    </row>
    <row r="3116" ht="22.5" customHeight="1">
      <c r="A3116" s="42"/>
      <c r="B3116" s="47"/>
      <c r="C3116" s="46"/>
      <c r="D3116" s="47"/>
      <c r="E3116" s="46"/>
      <c r="F3116" s="47"/>
      <c r="G3116" s="46"/>
      <c r="H3116" s="48"/>
      <c r="I3116" s="49"/>
    </row>
    <row r="3117" ht="22.5" customHeight="1">
      <c r="A3117" s="42"/>
      <c r="B3117" s="47"/>
      <c r="C3117" s="46"/>
      <c r="D3117" s="47"/>
      <c r="E3117" s="46"/>
      <c r="F3117" s="47"/>
      <c r="G3117" s="46"/>
      <c r="H3117" s="50"/>
      <c r="I3117" s="51"/>
    </row>
    <row r="3118" ht="22.5" customHeight="1">
      <c r="A3118" s="42"/>
      <c r="B3118" s="47"/>
      <c r="C3118" s="46"/>
      <c r="D3118" s="47"/>
      <c r="E3118" s="46"/>
      <c r="F3118" s="47"/>
      <c r="G3118" s="46"/>
      <c r="H3118" s="48"/>
      <c r="I3118" s="49"/>
    </row>
    <row r="3119" ht="22.5" customHeight="1">
      <c r="A3119" s="42"/>
      <c r="B3119" s="47"/>
      <c r="C3119" s="46"/>
      <c r="D3119" s="47"/>
      <c r="E3119" s="46"/>
      <c r="F3119" s="47"/>
      <c r="G3119" s="46"/>
      <c r="H3119" s="50"/>
      <c r="I3119" s="51"/>
    </row>
    <row r="3120" ht="22.5" customHeight="1">
      <c r="A3120" s="42"/>
      <c r="B3120" s="47"/>
      <c r="C3120" s="46"/>
      <c r="D3120" s="47"/>
      <c r="E3120" s="46"/>
      <c r="F3120" s="47"/>
      <c r="G3120" s="46"/>
      <c r="H3120" s="48"/>
      <c r="I3120" s="49"/>
    </row>
    <row r="3121" ht="22.5" customHeight="1">
      <c r="A3121" s="42"/>
      <c r="B3121" s="47"/>
      <c r="C3121" s="46"/>
      <c r="D3121" s="47"/>
      <c r="E3121" s="46"/>
      <c r="F3121" s="47"/>
      <c r="G3121" s="46"/>
      <c r="H3121" s="50"/>
      <c r="I3121" s="51"/>
    </row>
    <row r="3122" ht="22.5" customHeight="1">
      <c r="A3122" s="42"/>
      <c r="B3122" s="47"/>
      <c r="C3122" s="46"/>
      <c r="D3122" s="47"/>
      <c r="E3122" s="46"/>
      <c r="F3122" s="47"/>
      <c r="G3122" s="46"/>
      <c r="H3122" s="48"/>
      <c r="I3122" s="49"/>
    </row>
    <row r="3123" ht="22.5" customHeight="1">
      <c r="A3123" s="42"/>
      <c r="B3123" s="47"/>
      <c r="C3123" s="46"/>
      <c r="D3123" s="47"/>
      <c r="E3123" s="46"/>
      <c r="F3123" s="47"/>
      <c r="G3123" s="46"/>
      <c r="H3123" s="50"/>
      <c r="I3123" s="51"/>
    </row>
    <row r="3124" ht="22.5" customHeight="1">
      <c r="A3124" s="42"/>
      <c r="B3124" s="47"/>
      <c r="C3124" s="46"/>
      <c r="D3124" s="47"/>
      <c r="E3124" s="46"/>
      <c r="F3124" s="47"/>
      <c r="G3124" s="46"/>
      <c r="H3124" s="48"/>
      <c r="I3124" s="49"/>
    </row>
    <row r="3125" ht="22.5" customHeight="1">
      <c r="A3125" s="42"/>
      <c r="B3125" s="47"/>
      <c r="C3125" s="46"/>
      <c r="D3125" s="47"/>
      <c r="E3125" s="46"/>
      <c r="F3125" s="47"/>
      <c r="G3125" s="46"/>
      <c r="H3125" s="50"/>
      <c r="I3125" s="51"/>
    </row>
    <row r="3126" ht="22.5" customHeight="1">
      <c r="A3126" s="42"/>
      <c r="B3126" s="47"/>
      <c r="C3126" s="46"/>
      <c r="D3126" s="47"/>
      <c r="E3126" s="46"/>
      <c r="F3126" s="47"/>
      <c r="G3126" s="46"/>
      <c r="H3126" s="48"/>
      <c r="I3126" s="49"/>
    </row>
    <row r="3127" ht="22.5" customHeight="1">
      <c r="A3127" s="42"/>
      <c r="B3127" s="47"/>
      <c r="C3127" s="46"/>
      <c r="D3127" s="47"/>
      <c r="E3127" s="46"/>
      <c r="F3127" s="47"/>
      <c r="G3127" s="46"/>
      <c r="H3127" s="50"/>
      <c r="I3127" s="51"/>
    </row>
    <row r="3128" ht="22.5" customHeight="1">
      <c r="A3128" s="42"/>
      <c r="B3128" s="47"/>
      <c r="C3128" s="46"/>
      <c r="D3128" s="47"/>
      <c r="E3128" s="46"/>
      <c r="F3128" s="47"/>
      <c r="G3128" s="46"/>
      <c r="H3128" s="48"/>
      <c r="I3128" s="49"/>
    </row>
    <row r="3129" ht="22.5" customHeight="1">
      <c r="A3129" s="42"/>
      <c r="B3129" s="47"/>
      <c r="C3129" s="46"/>
      <c r="D3129" s="47"/>
      <c r="E3129" s="46"/>
      <c r="F3129" s="47"/>
      <c r="G3129" s="46"/>
      <c r="H3129" s="50"/>
      <c r="I3129" s="51"/>
    </row>
    <row r="3130" ht="22.5" customHeight="1">
      <c r="A3130" s="42"/>
      <c r="B3130" s="47"/>
      <c r="C3130" s="46"/>
      <c r="D3130" s="47"/>
      <c r="E3130" s="46"/>
      <c r="F3130" s="47"/>
      <c r="G3130" s="46"/>
      <c r="H3130" s="48"/>
      <c r="I3130" s="49"/>
    </row>
    <row r="3131" ht="22.5" customHeight="1">
      <c r="A3131" s="42"/>
      <c r="B3131" s="47"/>
      <c r="C3131" s="46"/>
      <c r="D3131" s="47"/>
      <c r="E3131" s="46"/>
      <c r="F3131" s="47"/>
      <c r="G3131" s="46"/>
      <c r="H3131" s="50"/>
      <c r="I3131" s="51"/>
    </row>
    <row r="3132" ht="22.5" customHeight="1">
      <c r="A3132" s="42"/>
      <c r="B3132" s="47"/>
      <c r="C3132" s="46"/>
      <c r="D3132" s="47"/>
      <c r="E3132" s="46"/>
      <c r="F3132" s="47"/>
      <c r="G3132" s="46"/>
      <c r="H3132" s="48"/>
      <c r="I3132" s="49"/>
    </row>
    <row r="3133" ht="22.5" customHeight="1">
      <c r="A3133" s="42"/>
      <c r="B3133" s="47"/>
      <c r="C3133" s="46"/>
      <c r="D3133" s="47"/>
      <c r="E3133" s="46"/>
      <c r="F3133" s="47"/>
      <c r="G3133" s="46"/>
      <c r="H3133" s="50"/>
      <c r="I3133" s="51"/>
    </row>
    <row r="3134" ht="22.5" customHeight="1">
      <c r="A3134" s="42"/>
      <c r="B3134" s="47"/>
      <c r="C3134" s="46"/>
      <c r="D3134" s="47"/>
      <c r="E3134" s="46"/>
      <c r="F3134" s="47"/>
      <c r="G3134" s="46"/>
      <c r="H3134" s="48"/>
      <c r="I3134" s="49"/>
    </row>
    <row r="3135" ht="22.5" customHeight="1">
      <c r="A3135" s="42"/>
      <c r="B3135" s="47"/>
      <c r="C3135" s="46"/>
      <c r="D3135" s="47"/>
      <c r="E3135" s="46"/>
      <c r="F3135" s="47"/>
      <c r="G3135" s="46"/>
      <c r="H3135" s="50"/>
      <c r="I3135" s="51"/>
    </row>
    <row r="3136" ht="22.5" customHeight="1">
      <c r="A3136" s="42"/>
      <c r="B3136" s="47"/>
      <c r="C3136" s="46"/>
      <c r="D3136" s="47"/>
      <c r="E3136" s="46"/>
      <c r="F3136" s="47"/>
      <c r="G3136" s="46"/>
      <c r="H3136" s="48"/>
      <c r="I3136" s="49"/>
    </row>
    <row r="3137" ht="22.5" customHeight="1">
      <c r="A3137" s="42"/>
      <c r="B3137" s="47"/>
      <c r="C3137" s="46"/>
      <c r="D3137" s="47"/>
      <c r="E3137" s="46"/>
      <c r="F3137" s="47"/>
      <c r="G3137" s="46"/>
      <c r="H3137" s="50"/>
      <c r="I3137" s="51"/>
    </row>
    <row r="3138" ht="22.5" customHeight="1">
      <c r="A3138" s="42"/>
      <c r="B3138" s="47"/>
      <c r="C3138" s="46"/>
      <c r="D3138" s="47"/>
      <c r="E3138" s="46"/>
      <c r="F3138" s="47"/>
      <c r="G3138" s="46"/>
      <c r="H3138" s="48"/>
      <c r="I3138" s="49"/>
    </row>
    <row r="3139" ht="22.5" customHeight="1">
      <c r="A3139" s="42"/>
      <c r="B3139" s="47"/>
      <c r="C3139" s="46"/>
      <c r="D3139" s="47"/>
      <c r="E3139" s="46"/>
      <c r="F3139" s="47"/>
      <c r="G3139" s="46"/>
      <c r="H3139" s="50"/>
      <c r="I3139" s="51"/>
    </row>
    <row r="3140" ht="22.5" customHeight="1">
      <c r="A3140" s="42"/>
      <c r="B3140" s="47"/>
      <c r="C3140" s="46"/>
      <c r="D3140" s="47"/>
      <c r="E3140" s="46"/>
      <c r="F3140" s="47"/>
      <c r="G3140" s="46"/>
      <c r="H3140" s="48"/>
      <c r="I3140" s="49"/>
    </row>
    <row r="3141" ht="22.5" customHeight="1">
      <c r="A3141" s="42"/>
      <c r="B3141" s="47"/>
      <c r="C3141" s="46"/>
      <c r="D3141" s="47"/>
      <c r="E3141" s="46"/>
      <c r="F3141" s="47"/>
      <c r="G3141" s="46"/>
      <c r="H3141" s="50"/>
      <c r="I3141" s="51"/>
    </row>
    <row r="3142" ht="22.5" customHeight="1">
      <c r="A3142" s="42"/>
      <c r="B3142" s="47"/>
      <c r="C3142" s="46"/>
      <c r="D3142" s="47"/>
      <c r="E3142" s="46"/>
      <c r="F3142" s="47"/>
      <c r="G3142" s="46"/>
      <c r="H3142" s="48"/>
      <c r="I3142" s="49"/>
    </row>
    <row r="3143" ht="22.5" customHeight="1">
      <c r="A3143" s="42"/>
      <c r="B3143" s="47"/>
      <c r="C3143" s="46"/>
      <c r="D3143" s="47"/>
      <c r="E3143" s="46"/>
      <c r="F3143" s="47"/>
      <c r="G3143" s="46"/>
      <c r="H3143" s="50"/>
      <c r="I3143" s="51"/>
    </row>
    <row r="3144" ht="22.5" customHeight="1">
      <c r="A3144" s="42"/>
      <c r="B3144" s="47"/>
      <c r="C3144" s="46"/>
      <c r="D3144" s="47"/>
      <c r="E3144" s="46"/>
      <c r="F3144" s="47"/>
      <c r="G3144" s="46"/>
      <c r="H3144" s="48"/>
      <c r="I3144" s="49"/>
    </row>
    <row r="3145" ht="22.5" customHeight="1">
      <c r="A3145" s="42"/>
      <c r="B3145" s="47"/>
      <c r="C3145" s="46"/>
      <c r="D3145" s="47"/>
      <c r="E3145" s="46"/>
      <c r="F3145" s="47"/>
      <c r="G3145" s="46"/>
      <c r="H3145" s="50"/>
      <c r="I3145" s="51"/>
    </row>
    <row r="3146" ht="22.5" customHeight="1">
      <c r="A3146" s="42"/>
      <c r="B3146" s="47"/>
      <c r="C3146" s="46"/>
      <c r="D3146" s="47"/>
      <c r="E3146" s="46"/>
      <c r="F3146" s="47"/>
      <c r="G3146" s="46"/>
      <c r="H3146" s="48"/>
      <c r="I3146" s="49"/>
    </row>
    <row r="3147" ht="22.5" customHeight="1">
      <c r="A3147" s="42"/>
      <c r="B3147" s="47"/>
      <c r="C3147" s="46"/>
      <c r="D3147" s="47"/>
      <c r="E3147" s="46"/>
      <c r="F3147" s="47"/>
      <c r="G3147" s="46"/>
      <c r="H3147" s="50"/>
      <c r="I3147" s="51"/>
    </row>
    <row r="3148" ht="22.5" customHeight="1">
      <c r="A3148" s="42"/>
      <c r="B3148" s="47"/>
      <c r="C3148" s="46"/>
      <c r="D3148" s="47"/>
      <c r="E3148" s="46"/>
      <c r="F3148" s="47"/>
      <c r="G3148" s="46"/>
      <c r="H3148" s="48"/>
      <c r="I3148" s="49"/>
    </row>
    <row r="3149" ht="22.5" customHeight="1">
      <c r="A3149" s="42"/>
      <c r="B3149" s="47"/>
      <c r="C3149" s="46"/>
      <c r="D3149" s="47"/>
      <c r="E3149" s="46"/>
      <c r="F3149" s="47"/>
      <c r="G3149" s="46"/>
      <c r="H3149" s="50"/>
      <c r="I3149" s="51"/>
    </row>
    <row r="3150" ht="22.5" customHeight="1">
      <c r="A3150" s="42"/>
      <c r="B3150" s="47"/>
      <c r="C3150" s="46"/>
      <c r="D3150" s="47"/>
      <c r="E3150" s="46"/>
      <c r="F3150" s="47"/>
      <c r="G3150" s="46"/>
      <c r="H3150" s="48"/>
      <c r="I3150" s="49"/>
    </row>
    <row r="3151" ht="22.5" customHeight="1">
      <c r="A3151" s="42"/>
      <c r="B3151" s="47"/>
      <c r="C3151" s="46"/>
      <c r="D3151" s="47"/>
      <c r="E3151" s="46"/>
      <c r="F3151" s="47"/>
      <c r="G3151" s="46"/>
      <c r="H3151" s="50"/>
      <c r="I3151" s="51"/>
    </row>
    <row r="3152" ht="22.5" customHeight="1">
      <c r="A3152" s="42"/>
      <c r="B3152" s="47"/>
      <c r="C3152" s="46"/>
      <c r="D3152" s="47"/>
      <c r="E3152" s="46"/>
      <c r="F3152" s="47"/>
      <c r="G3152" s="46"/>
      <c r="H3152" s="48"/>
      <c r="I3152" s="49"/>
    </row>
    <row r="3153" ht="22.5" customHeight="1">
      <c r="A3153" s="42"/>
      <c r="B3153" s="47"/>
      <c r="C3153" s="46"/>
      <c r="D3153" s="47"/>
      <c r="E3153" s="46"/>
      <c r="F3153" s="47"/>
      <c r="G3153" s="46"/>
      <c r="H3153" s="50"/>
      <c r="I3153" s="51"/>
    </row>
    <row r="3154" ht="22.5" customHeight="1">
      <c r="A3154" s="42"/>
      <c r="B3154" s="47"/>
      <c r="C3154" s="46"/>
      <c r="D3154" s="47"/>
      <c r="E3154" s="46"/>
      <c r="F3154" s="47"/>
      <c r="G3154" s="46"/>
      <c r="H3154" s="48"/>
      <c r="I3154" s="49"/>
    </row>
    <row r="3155" ht="22.5" customHeight="1">
      <c r="A3155" s="42"/>
      <c r="B3155" s="47"/>
      <c r="C3155" s="46"/>
      <c r="D3155" s="47"/>
      <c r="E3155" s="46"/>
      <c r="F3155" s="47"/>
      <c r="G3155" s="46"/>
      <c r="H3155" s="50"/>
      <c r="I3155" s="51"/>
    </row>
    <row r="3156" ht="22.5" customHeight="1">
      <c r="A3156" s="42"/>
      <c r="B3156" s="47"/>
      <c r="C3156" s="46"/>
      <c r="D3156" s="47"/>
      <c r="E3156" s="46"/>
      <c r="F3156" s="47"/>
      <c r="G3156" s="46"/>
      <c r="H3156" s="48"/>
      <c r="I3156" s="49"/>
    </row>
    <row r="3157" ht="22.5" customHeight="1">
      <c r="A3157" s="42"/>
      <c r="B3157" s="47"/>
      <c r="C3157" s="46"/>
      <c r="D3157" s="47"/>
      <c r="E3157" s="46"/>
      <c r="F3157" s="47"/>
      <c r="G3157" s="46"/>
      <c r="H3157" s="50"/>
      <c r="I3157" s="51"/>
    </row>
    <row r="3158" ht="22.5" customHeight="1">
      <c r="A3158" s="42"/>
      <c r="B3158" s="47"/>
      <c r="C3158" s="46"/>
      <c r="D3158" s="47"/>
      <c r="E3158" s="46"/>
      <c r="F3158" s="47"/>
      <c r="G3158" s="46"/>
      <c r="H3158" s="48"/>
      <c r="I3158" s="49"/>
    </row>
    <row r="3159" ht="22.5" customHeight="1">
      <c r="A3159" s="42"/>
      <c r="B3159" s="47"/>
      <c r="C3159" s="46"/>
      <c r="D3159" s="47"/>
      <c r="E3159" s="46"/>
      <c r="F3159" s="47"/>
      <c r="G3159" s="46"/>
      <c r="H3159" s="50"/>
      <c r="I3159" s="51"/>
    </row>
    <row r="3160" ht="22.5" customHeight="1">
      <c r="A3160" s="42"/>
      <c r="B3160" s="47"/>
      <c r="C3160" s="46"/>
      <c r="D3160" s="47"/>
      <c r="E3160" s="46"/>
      <c r="F3160" s="47"/>
      <c r="G3160" s="46"/>
      <c r="H3160" s="48"/>
      <c r="I3160" s="49"/>
    </row>
    <row r="3161" ht="22.5" customHeight="1">
      <c r="A3161" s="42"/>
      <c r="B3161" s="47"/>
      <c r="C3161" s="46"/>
      <c r="D3161" s="47"/>
      <c r="E3161" s="46"/>
      <c r="F3161" s="47"/>
      <c r="G3161" s="46"/>
      <c r="H3161" s="50"/>
      <c r="I3161" s="51"/>
    </row>
    <row r="3162" ht="22.5" customHeight="1">
      <c r="A3162" s="42"/>
      <c r="B3162" s="47"/>
      <c r="C3162" s="46"/>
      <c r="D3162" s="47"/>
      <c r="E3162" s="46"/>
      <c r="F3162" s="47"/>
      <c r="G3162" s="46"/>
      <c r="H3162" s="48"/>
      <c r="I3162" s="49"/>
    </row>
    <row r="3163" ht="22.5" customHeight="1">
      <c r="A3163" s="42"/>
      <c r="B3163" s="47"/>
      <c r="C3163" s="46"/>
      <c r="D3163" s="47"/>
      <c r="E3163" s="46"/>
      <c r="F3163" s="47"/>
      <c r="G3163" s="46"/>
      <c r="H3163" s="50"/>
      <c r="I3163" s="51"/>
    </row>
    <row r="3164" ht="22.5" customHeight="1">
      <c r="A3164" s="42"/>
      <c r="B3164" s="47"/>
      <c r="C3164" s="46"/>
      <c r="D3164" s="47"/>
      <c r="E3164" s="46"/>
      <c r="F3164" s="47"/>
      <c r="G3164" s="46"/>
      <c r="H3164" s="48"/>
      <c r="I3164" s="49"/>
    </row>
    <row r="3165" ht="22.5" customHeight="1">
      <c r="A3165" s="42"/>
      <c r="B3165" s="47"/>
      <c r="C3165" s="46"/>
      <c r="D3165" s="47"/>
      <c r="E3165" s="46"/>
      <c r="F3165" s="47"/>
      <c r="G3165" s="46"/>
      <c r="H3165" s="50"/>
      <c r="I3165" s="51"/>
    </row>
    <row r="3166" ht="22.5" customHeight="1">
      <c r="A3166" s="42"/>
      <c r="B3166" s="47"/>
      <c r="C3166" s="46"/>
      <c r="D3166" s="47"/>
      <c r="E3166" s="46"/>
      <c r="F3166" s="47"/>
      <c r="G3166" s="46"/>
      <c r="H3166" s="48"/>
      <c r="I3166" s="49"/>
    </row>
    <row r="3167" ht="22.5" customHeight="1">
      <c r="A3167" s="42"/>
      <c r="B3167" s="47"/>
      <c r="C3167" s="46"/>
      <c r="D3167" s="47"/>
      <c r="E3167" s="46"/>
      <c r="F3167" s="47"/>
      <c r="G3167" s="46"/>
      <c r="H3167" s="50"/>
      <c r="I3167" s="51"/>
    </row>
    <row r="3168" ht="22.5" customHeight="1">
      <c r="A3168" s="42"/>
      <c r="B3168" s="47"/>
      <c r="C3168" s="46"/>
      <c r="D3168" s="47"/>
      <c r="E3168" s="46"/>
      <c r="F3168" s="47"/>
      <c r="G3168" s="46"/>
      <c r="H3168" s="48"/>
      <c r="I3168" s="49"/>
    </row>
    <row r="3169" ht="22.5" customHeight="1">
      <c r="A3169" s="42"/>
      <c r="B3169" s="47"/>
      <c r="C3169" s="46"/>
      <c r="D3169" s="47"/>
      <c r="E3169" s="46"/>
      <c r="F3169" s="47"/>
      <c r="G3169" s="46"/>
      <c r="H3169" s="50"/>
      <c r="I3169" s="51"/>
    </row>
    <row r="3170" ht="22.5" customHeight="1">
      <c r="A3170" s="42"/>
      <c r="B3170" s="47"/>
      <c r="C3170" s="46"/>
      <c r="D3170" s="47"/>
      <c r="E3170" s="46"/>
      <c r="F3170" s="47"/>
      <c r="G3170" s="46"/>
      <c r="H3170" s="48"/>
      <c r="I3170" s="49"/>
    </row>
    <row r="3171" ht="22.5" customHeight="1">
      <c r="A3171" s="42"/>
      <c r="B3171" s="47"/>
      <c r="C3171" s="46"/>
      <c r="D3171" s="47"/>
      <c r="E3171" s="46"/>
      <c r="F3171" s="47"/>
      <c r="G3171" s="46"/>
      <c r="H3171" s="50"/>
      <c r="I3171" s="51"/>
    </row>
    <row r="3172" ht="22.5" customHeight="1">
      <c r="A3172" s="42"/>
      <c r="B3172" s="47"/>
      <c r="C3172" s="46"/>
      <c r="D3172" s="47"/>
      <c r="E3172" s="46"/>
      <c r="F3172" s="47"/>
      <c r="G3172" s="46"/>
      <c r="H3172" s="48"/>
      <c r="I3172" s="49"/>
    </row>
    <row r="3173" ht="22.5" customHeight="1">
      <c r="A3173" s="42"/>
      <c r="B3173" s="47"/>
      <c r="C3173" s="46"/>
      <c r="D3173" s="47"/>
      <c r="E3173" s="46"/>
      <c r="F3173" s="47"/>
      <c r="G3173" s="46"/>
      <c r="H3173" s="50"/>
      <c r="I3173" s="51"/>
    </row>
    <row r="3174" ht="22.5" customHeight="1">
      <c r="A3174" s="42"/>
      <c r="B3174" s="47"/>
      <c r="C3174" s="46"/>
      <c r="D3174" s="47"/>
      <c r="E3174" s="46"/>
      <c r="F3174" s="47"/>
      <c r="G3174" s="46"/>
      <c r="H3174" s="48"/>
      <c r="I3174" s="49"/>
    </row>
    <row r="3175" ht="22.5" customHeight="1">
      <c r="A3175" s="42"/>
      <c r="B3175" s="47"/>
      <c r="C3175" s="46"/>
      <c r="D3175" s="47"/>
      <c r="E3175" s="46"/>
      <c r="F3175" s="47"/>
      <c r="G3175" s="46"/>
      <c r="H3175" s="50"/>
      <c r="I3175" s="51"/>
    </row>
    <row r="3176" ht="22.5" customHeight="1">
      <c r="A3176" s="42"/>
      <c r="B3176" s="47"/>
      <c r="C3176" s="46"/>
      <c r="D3176" s="47"/>
      <c r="E3176" s="46"/>
      <c r="F3176" s="47"/>
      <c r="G3176" s="46"/>
      <c r="H3176" s="48"/>
      <c r="I3176" s="49"/>
    </row>
    <row r="3177" ht="22.5" customHeight="1">
      <c r="A3177" s="42"/>
      <c r="B3177" s="47"/>
      <c r="C3177" s="46"/>
      <c r="D3177" s="47"/>
      <c r="E3177" s="46"/>
      <c r="F3177" s="47"/>
      <c r="G3177" s="46"/>
      <c r="H3177" s="50"/>
      <c r="I3177" s="51"/>
    </row>
    <row r="3178" ht="22.5" customHeight="1">
      <c r="A3178" s="42"/>
      <c r="B3178" s="47"/>
      <c r="C3178" s="46"/>
      <c r="D3178" s="47"/>
      <c r="E3178" s="46"/>
      <c r="F3178" s="47"/>
      <c r="G3178" s="46"/>
      <c r="H3178" s="48"/>
      <c r="I3178" s="49"/>
    </row>
    <row r="3179" ht="22.5" customHeight="1">
      <c r="A3179" s="42"/>
      <c r="B3179" s="47"/>
      <c r="C3179" s="46"/>
      <c r="D3179" s="47"/>
      <c r="E3179" s="46"/>
      <c r="F3179" s="47"/>
      <c r="G3179" s="46"/>
      <c r="H3179" s="50"/>
      <c r="I3179" s="51"/>
    </row>
    <row r="3180" ht="22.5" customHeight="1">
      <c r="A3180" s="42"/>
      <c r="B3180" s="47"/>
      <c r="C3180" s="46"/>
      <c r="D3180" s="47"/>
      <c r="E3180" s="46"/>
      <c r="F3180" s="47"/>
      <c r="G3180" s="46"/>
      <c r="H3180" s="48"/>
      <c r="I3180" s="49"/>
    </row>
    <row r="3181" ht="22.5" customHeight="1">
      <c r="A3181" s="42"/>
      <c r="B3181" s="47"/>
      <c r="C3181" s="46"/>
      <c r="D3181" s="47"/>
      <c r="E3181" s="46"/>
      <c r="F3181" s="47"/>
      <c r="G3181" s="46"/>
      <c r="H3181" s="50"/>
      <c r="I3181" s="51"/>
    </row>
    <row r="3182" ht="22.5" customHeight="1">
      <c r="A3182" s="42"/>
      <c r="B3182" s="47"/>
      <c r="C3182" s="46"/>
      <c r="D3182" s="47"/>
      <c r="E3182" s="46"/>
      <c r="F3182" s="47"/>
      <c r="G3182" s="46"/>
      <c r="H3182" s="48"/>
      <c r="I3182" s="49"/>
    </row>
    <row r="3183" ht="22.5" customHeight="1">
      <c r="A3183" s="42"/>
      <c r="B3183" s="47"/>
      <c r="C3183" s="46"/>
      <c r="D3183" s="47"/>
      <c r="E3183" s="46"/>
      <c r="F3183" s="47"/>
      <c r="G3183" s="46"/>
      <c r="H3183" s="50"/>
      <c r="I3183" s="51"/>
    </row>
    <row r="3184" ht="22.5" customHeight="1">
      <c r="A3184" s="42"/>
      <c r="B3184" s="47"/>
      <c r="C3184" s="46"/>
      <c r="D3184" s="47"/>
      <c r="E3184" s="46"/>
      <c r="F3184" s="47"/>
      <c r="G3184" s="46"/>
      <c r="H3184" s="48"/>
      <c r="I3184" s="49"/>
    </row>
    <row r="3185" ht="22.5" customHeight="1">
      <c r="A3185" s="42"/>
      <c r="B3185" s="47"/>
      <c r="C3185" s="46"/>
      <c r="D3185" s="47"/>
      <c r="E3185" s="46"/>
      <c r="F3185" s="47"/>
      <c r="G3185" s="46"/>
      <c r="H3185" s="50"/>
      <c r="I3185" s="51"/>
    </row>
    <row r="3186" ht="22.5" customHeight="1">
      <c r="A3186" s="42"/>
      <c r="B3186" s="47"/>
      <c r="C3186" s="46"/>
      <c r="D3186" s="47"/>
      <c r="E3186" s="46"/>
      <c r="F3186" s="47"/>
      <c r="G3186" s="46"/>
      <c r="H3186" s="48"/>
      <c r="I3186" s="49"/>
    </row>
    <row r="3187" ht="22.5" customHeight="1">
      <c r="A3187" s="42"/>
      <c r="B3187" s="47"/>
      <c r="C3187" s="46"/>
      <c r="D3187" s="47"/>
      <c r="E3187" s="46"/>
      <c r="F3187" s="47"/>
      <c r="G3187" s="46"/>
      <c r="H3187" s="50"/>
      <c r="I3187" s="51"/>
    </row>
    <row r="3188" ht="22.5" customHeight="1">
      <c r="A3188" s="42"/>
      <c r="B3188" s="47"/>
      <c r="C3188" s="46"/>
      <c r="D3188" s="47"/>
      <c r="E3188" s="46"/>
      <c r="F3188" s="47"/>
      <c r="G3188" s="46"/>
      <c r="H3188" s="48"/>
      <c r="I3188" s="49"/>
    </row>
    <row r="3189" ht="22.5" customHeight="1">
      <c r="A3189" s="42"/>
      <c r="B3189" s="47"/>
      <c r="C3189" s="46"/>
      <c r="D3189" s="47"/>
      <c r="E3189" s="46"/>
      <c r="F3189" s="47"/>
      <c r="G3189" s="46"/>
      <c r="H3189" s="50"/>
      <c r="I3189" s="51"/>
    </row>
    <row r="3190" ht="22.5" customHeight="1">
      <c r="A3190" s="42"/>
      <c r="B3190" s="47"/>
      <c r="C3190" s="46"/>
      <c r="D3190" s="47"/>
      <c r="E3190" s="46"/>
      <c r="F3190" s="47"/>
      <c r="G3190" s="46"/>
      <c r="H3190" s="48"/>
      <c r="I3190" s="49"/>
    </row>
    <row r="3191" ht="22.5" customHeight="1">
      <c r="A3191" s="42"/>
      <c r="B3191" s="47"/>
      <c r="C3191" s="46"/>
      <c r="D3191" s="47"/>
      <c r="E3191" s="46"/>
      <c r="F3191" s="47"/>
      <c r="G3191" s="46"/>
      <c r="H3191" s="50"/>
      <c r="I3191" s="51"/>
    </row>
    <row r="3192" ht="22.5" customHeight="1">
      <c r="A3192" s="42"/>
      <c r="B3192" s="47"/>
      <c r="C3192" s="46"/>
      <c r="D3192" s="47"/>
      <c r="E3192" s="46"/>
      <c r="F3192" s="47"/>
      <c r="G3192" s="46"/>
      <c r="H3192" s="48"/>
      <c r="I3192" s="49"/>
    </row>
    <row r="3193" ht="22.5" customHeight="1">
      <c r="A3193" s="42"/>
      <c r="B3193" s="47"/>
      <c r="C3193" s="46"/>
      <c r="D3193" s="47"/>
      <c r="E3193" s="46"/>
      <c r="F3193" s="47"/>
      <c r="G3193" s="46"/>
      <c r="H3193" s="50"/>
      <c r="I3193" s="51"/>
    </row>
    <row r="3194" ht="22.5" customHeight="1">
      <c r="A3194" s="42"/>
      <c r="B3194" s="47"/>
      <c r="C3194" s="46"/>
      <c r="D3194" s="47"/>
      <c r="E3194" s="46"/>
      <c r="F3194" s="47"/>
      <c r="G3194" s="46"/>
      <c r="H3194" s="48"/>
      <c r="I3194" s="49"/>
    </row>
    <row r="3195" ht="22.5" customHeight="1">
      <c r="A3195" s="42"/>
      <c r="B3195" s="47"/>
      <c r="C3195" s="46"/>
      <c r="D3195" s="47"/>
      <c r="E3195" s="46"/>
      <c r="F3195" s="47"/>
      <c r="G3195" s="46"/>
      <c r="H3195" s="50"/>
      <c r="I3195" s="51"/>
    </row>
    <row r="3196" ht="22.5" customHeight="1">
      <c r="A3196" s="42"/>
      <c r="B3196" s="47"/>
      <c r="C3196" s="46"/>
      <c r="D3196" s="47"/>
      <c r="E3196" s="46"/>
      <c r="F3196" s="47"/>
      <c r="G3196" s="46"/>
      <c r="H3196" s="48"/>
      <c r="I3196" s="49"/>
    </row>
    <row r="3197" ht="22.5" customHeight="1">
      <c r="A3197" s="42"/>
      <c r="B3197" s="47"/>
      <c r="C3197" s="46"/>
      <c r="D3197" s="47"/>
      <c r="E3197" s="46"/>
      <c r="F3197" s="47"/>
      <c r="G3197" s="46"/>
      <c r="H3197" s="50"/>
      <c r="I3197" s="51"/>
    </row>
    <row r="3198" ht="22.5" customHeight="1">
      <c r="A3198" s="42"/>
      <c r="B3198" s="47"/>
      <c r="C3198" s="46"/>
      <c r="D3198" s="47"/>
      <c r="E3198" s="46"/>
      <c r="F3198" s="47"/>
      <c r="G3198" s="46"/>
      <c r="H3198" s="48"/>
      <c r="I3198" s="49"/>
    </row>
    <row r="3199" ht="22.5" customHeight="1">
      <c r="A3199" s="42"/>
      <c r="B3199" s="47"/>
      <c r="C3199" s="46"/>
      <c r="D3199" s="47"/>
      <c r="E3199" s="46"/>
      <c r="F3199" s="47"/>
      <c r="G3199" s="46"/>
      <c r="H3199" s="50"/>
      <c r="I3199" s="51"/>
    </row>
    <row r="3200" ht="22.5" customHeight="1">
      <c r="A3200" s="42"/>
      <c r="B3200" s="47"/>
      <c r="C3200" s="46"/>
      <c r="D3200" s="47"/>
      <c r="E3200" s="46"/>
      <c r="F3200" s="47"/>
      <c r="G3200" s="46"/>
      <c r="H3200" s="48"/>
      <c r="I3200" s="49"/>
    </row>
    <row r="3201" ht="22.5" customHeight="1">
      <c r="A3201" s="42"/>
      <c r="B3201" s="47"/>
      <c r="C3201" s="46"/>
      <c r="D3201" s="47"/>
      <c r="E3201" s="46"/>
      <c r="F3201" s="47"/>
      <c r="G3201" s="46"/>
      <c r="H3201" s="50"/>
      <c r="I3201" s="51"/>
    </row>
    <row r="3202" ht="22.5" customHeight="1">
      <c r="A3202" s="42"/>
      <c r="B3202" s="47"/>
      <c r="C3202" s="46"/>
      <c r="D3202" s="47"/>
      <c r="E3202" s="46"/>
      <c r="F3202" s="47"/>
      <c r="G3202" s="46"/>
      <c r="H3202" s="48"/>
      <c r="I3202" s="49"/>
    </row>
    <row r="3203" ht="22.5" customHeight="1">
      <c r="A3203" s="42"/>
      <c r="B3203" s="47"/>
      <c r="C3203" s="46"/>
      <c r="D3203" s="47"/>
      <c r="E3203" s="46"/>
      <c r="F3203" s="47"/>
      <c r="G3203" s="46"/>
      <c r="H3203" s="50"/>
      <c r="I3203" s="51"/>
    </row>
    <row r="3204" ht="22.5" customHeight="1">
      <c r="A3204" s="42"/>
      <c r="B3204" s="47"/>
      <c r="C3204" s="46"/>
      <c r="D3204" s="47"/>
      <c r="E3204" s="46"/>
      <c r="F3204" s="47"/>
      <c r="G3204" s="46"/>
      <c r="H3204" s="48"/>
      <c r="I3204" s="49"/>
    </row>
    <row r="3205" ht="22.5" customHeight="1">
      <c r="A3205" s="42"/>
      <c r="B3205" s="47"/>
      <c r="C3205" s="46"/>
      <c r="D3205" s="47"/>
      <c r="E3205" s="46"/>
      <c r="F3205" s="47"/>
      <c r="G3205" s="46"/>
      <c r="H3205" s="50"/>
      <c r="I3205" s="51"/>
    </row>
    <row r="3206" ht="22.5" customHeight="1">
      <c r="A3206" s="42"/>
      <c r="B3206" s="47"/>
      <c r="C3206" s="46"/>
      <c r="D3206" s="47"/>
      <c r="E3206" s="46"/>
      <c r="F3206" s="47"/>
      <c r="G3206" s="46"/>
      <c r="H3206" s="48"/>
      <c r="I3206" s="49"/>
    </row>
    <row r="3207" ht="22.5" customHeight="1">
      <c r="A3207" s="42"/>
      <c r="B3207" s="47"/>
      <c r="C3207" s="46"/>
      <c r="D3207" s="47"/>
      <c r="E3207" s="46"/>
      <c r="F3207" s="47"/>
      <c r="G3207" s="46"/>
      <c r="H3207" s="50"/>
      <c r="I3207" s="51"/>
    </row>
    <row r="3208" ht="22.5" customHeight="1">
      <c r="A3208" s="42"/>
      <c r="B3208" s="47"/>
      <c r="C3208" s="46"/>
      <c r="D3208" s="47"/>
      <c r="E3208" s="46"/>
      <c r="F3208" s="47"/>
      <c r="G3208" s="46"/>
      <c r="H3208" s="48"/>
      <c r="I3208" s="49"/>
    </row>
    <row r="3209" ht="22.5" customHeight="1">
      <c r="A3209" s="42"/>
      <c r="B3209" s="47"/>
      <c r="C3209" s="46"/>
      <c r="D3209" s="47"/>
      <c r="E3209" s="46"/>
      <c r="F3209" s="47"/>
      <c r="G3209" s="46"/>
      <c r="H3209" s="50"/>
      <c r="I3209" s="51"/>
    </row>
    <row r="3210" ht="22.5" customHeight="1">
      <c r="A3210" s="42"/>
      <c r="B3210" s="47"/>
      <c r="C3210" s="46"/>
      <c r="D3210" s="47"/>
      <c r="E3210" s="46"/>
      <c r="F3210" s="47"/>
      <c r="G3210" s="46"/>
      <c r="H3210" s="48"/>
      <c r="I3210" s="49"/>
    </row>
    <row r="3211" ht="22.5" customHeight="1">
      <c r="A3211" s="42"/>
      <c r="B3211" s="47"/>
      <c r="C3211" s="46"/>
      <c r="D3211" s="47"/>
      <c r="E3211" s="46"/>
      <c r="F3211" s="47"/>
      <c r="G3211" s="46"/>
      <c r="H3211" s="50"/>
      <c r="I3211" s="51"/>
    </row>
    <row r="3212" ht="22.5" customHeight="1">
      <c r="A3212" s="42"/>
      <c r="B3212" s="47"/>
      <c r="C3212" s="46"/>
      <c r="D3212" s="47"/>
      <c r="E3212" s="46"/>
      <c r="F3212" s="47"/>
      <c r="G3212" s="46"/>
      <c r="H3212" s="48"/>
      <c r="I3212" s="49"/>
    </row>
    <row r="3213" ht="22.5" customHeight="1">
      <c r="A3213" s="42"/>
      <c r="B3213" s="47"/>
      <c r="C3213" s="46"/>
      <c r="D3213" s="47"/>
      <c r="E3213" s="46"/>
      <c r="F3213" s="47"/>
      <c r="G3213" s="46"/>
      <c r="H3213" s="50"/>
      <c r="I3213" s="51"/>
    </row>
    <row r="3214" ht="22.5" customHeight="1">
      <c r="A3214" s="42"/>
      <c r="B3214" s="47"/>
      <c r="C3214" s="46"/>
      <c r="D3214" s="47"/>
      <c r="E3214" s="46"/>
      <c r="F3214" s="47"/>
      <c r="G3214" s="46"/>
      <c r="H3214" s="48"/>
      <c r="I3214" s="49"/>
    </row>
    <row r="3215" ht="22.5" customHeight="1">
      <c r="A3215" s="42"/>
      <c r="B3215" s="47"/>
      <c r="C3215" s="46"/>
      <c r="D3215" s="47"/>
      <c r="E3215" s="46"/>
      <c r="F3215" s="47"/>
      <c r="G3215" s="46"/>
      <c r="H3215" s="50"/>
      <c r="I3215" s="51"/>
    </row>
    <row r="3216" ht="22.5" customHeight="1">
      <c r="A3216" s="42"/>
      <c r="B3216" s="47"/>
      <c r="C3216" s="46"/>
      <c r="D3216" s="47"/>
      <c r="E3216" s="46"/>
      <c r="F3216" s="47"/>
      <c r="G3216" s="46"/>
      <c r="H3216" s="48"/>
      <c r="I3216" s="49"/>
    </row>
    <row r="3217" ht="22.5" customHeight="1">
      <c r="A3217" s="42"/>
      <c r="B3217" s="47"/>
      <c r="C3217" s="46"/>
      <c r="D3217" s="47"/>
      <c r="E3217" s="46"/>
      <c r="F3217" s="47"/>
      <c r="G3217" s="46"/>
      <c r="H3217" s="50"/>
      <c r="I3217" s="51"/>
    </row>
    <row r="3218" ht="22.5" customHeight="1">
      <c r="A3218" s="42"/>
      <c r="B3218" s="47"/>
      <c r="C3218" s="46"/>
      <c r="D3218" s="47"/>
      <c r="E3218" s="46"/>
      <c r="F3218" s="47"/>
      <c r="G3218" s="46"/>
      <c r="H3218" s="48"/>
      <c r="I3218" s="49"/>
    </row>
    <row r="3219" ht="22.5" customHeight="1">
      <c r="A3219" s="42"/>
      <c r="B3219" s="47"/>
      <c r="C3219" s="46"/>
      <c r="D3219" s="47"/>
      <c r="E3219" s="46"/>
      <c r="F3219" s="47"/>
      <c r="G3219" s="46"/>
      <c r="H3219" s="50"/>
      <c r="I3219" s="51"/>
    </row>
    <row r="3220" ht="22.5" customHeight="1">
      <c r="A3220" s="42"/>
      <c r="B3220" s="47"/>
      <c r="C3220" s="46"/>
      <c r="D3220" s="47"/>
      <c r="E3220" s="46"/>
      <c r="F3220" s="47"/>
      <c r="G3220" s="46"/>
      <c r="H3220" s="48"/>
      <c r="I3220" s="49"/>
    </row>
    <row r="3221" ht="22.5" customHeight="1">
      <c r="A3221" s="42"/>
      <c r="B3221" s="47"/>
      <c r="C3221" s="46"/>
      <c r="D3221" s="47"/>
      <c r="E3221" s="46"/>
      <c r="F3221" s="47"/>
      <c r="G3221" s="46"/>
      <c r="H3221" s="50"/>
      <c r="I3221" s="51"/>
    </row>
    <row r="3222" ht="22.5" customHeight="1">
      <c r="A3222" s="42"/>
      <c r="B3222" s="47"/>
      <c r="C3222" s="46"/>
      <c r="D3222" s="47"/>
      <c r="E3222" s="46"/>
      <c r="F3222" s="47"/>
      <c r="G3222" s="46"/>
      <c r="H3222" s="48"/>
      <c r="I3222" s="49"/>
    </row>
    <row r="3223" ht="22.5" customHeight="1">
      <c r="A3223" s="42"/>
      <c r="B3223" s="47"/>
      <c r="C3223" s="46"/>
      <c r="D3223" s="47"/>
      <c r="E3223" s="46"/>
      <c r="F3223" s="47"/>
      <c r="G3223" s="46"/>
      <c r="H3223" s="50"/>
      <c r="I3223" s="51"/>
    </row>
    <row r="3224" ht="22.5" customHeight="1">
      <c r="A3224" s="42"/>
      <c r="B3224" s="47"/>
      <c r="C3224" s="46"/>
      <c r="D3224" s="47"/>
      <c r="E3224" s="46"/>
      <c r="F3224" s="47"/>
      <c r="G3224" s="46"/>
      <c r="H3224" s="48"/>
      <c r="I3224" s="49"/>
    </row>
    <row r="3225" ht="22.5" customHeight="1">
      <c r="A3225" s="42"/>
      <c r="B3225" s="47"/>
      <c r="C3225" s="46"/>
      <c r="D3225" s="47"/>
      <c r="E3225" s="46"/>
      <c r="F3225" s="47"/>
      <c r="G3225" s="46"/>
      <c r="H3225" s="50"/>
      <c r="I3225" s="51"/>
    </row>
    <row r="3226" ht="22.5" customHeight="1">
      <c r="A3226" s="42"/>
      <c r="B3226" s="47"/>
      <c r="C3226" s="46"/>
      <c r="D3226" s="47"/>
      <c r="E3226" s="46"/>
      <c r="F3226" s="47"/>
      <c r="G3226" s="46"/>
      <c r="H3226" s="48"/>
      <c r="I3226" s="49"/>
    </row>
    <row r="3227" ht="22.5" customHeight="1">
      <c r="A3227" s="42"/>
      <c r="B3227" s="47"/>
      <c r="C3227" s="46"/>
      <c r="D3227" s="47"/>
      <c r="E3227" s="46"/>
      <c r="F3227" s="47"/>
      <c r="G3227" s="46"/>
      <c r="H3227" s="50"/>
      <c r="I3227" s="51"/>
    </row>
    <row r="3228" ht="22.5" customHeight="1">
      <c r="A3228" s="42"/>
      <c r="B3228" s="47"/>
      <c r="C3228" s="46"/>
      <c r="D3228" s="47"/>
      <c r="E3228" s="46"/>
      <c r="F3228" s="47"/>
      <c r="G3228" s="46"/>
      <c r="H3228" s="48"/>
      <c r="I3228" s="49"/>
    </row>
    <row r="3229" ht="22.5" customHeight="1">
      <c r="A3229" s="42"/>
      <c r="B3229" s="47"/>
      <c r="C3229" s="46"/>
      <c r="D3229" s="47"/>
      <c r="E3229" s="46"/>
      <c r="F3229" s="47"/>
      <c r="G3229" s="46"/>
      <c r="H3229" s="50"/>
      <c r="I3229" s="51"/>
    </row>
    <row r="3230" ht="22.5" customHeight="1">
      <c r="A3230" s="42"/>
      <c r="B3230" s="47"/>
      <c r="C3230" s="46"/>
      <c r="D3230" s="47"/>
      <c r="E3230" s="46"/>
      <c r="F3230" s="47"/>
      <c r="G3230" s="46"/>
      <c r="H3230" s="48"/>
      <c r="I3230" s="49"/>
    </row>
    <row r="3231" ht="22.5" customHeight="1">
      <c r="A3231" s="42"/>
      <c r="B3231" s="47"/>
      <c r="C3231" s="46"/>
      <c r="D3231" s="47"/>
      <c r="E3231" s="46"/>
      <c r="F3231" s="47"/>
      <c r="G3231" s="46"/>
      <c r="H3231" s="50"/>
      <c r="I3231" s="51"/>
    </row>
    <row r="3232" ht="22.5" customHeight="1">
      <c r="A3232" s="42"/>
      <c r="B3232" s="47"/>
      <c r="C3232" s="46"/>
      <c r="D3232" s="47"/>
      <c r="E3232" s="46"/>
      <c r="F3232" s="47"/>
      <c r="G3232" s="46"/>
      <c r="H3232" s="48"/>
      <c r="I3232" s="49"/>
    </row>
    <row r="3233" ht="22.5" customHeight="1">
      <c r="A3233" s="42"/>
      <c r="B3233" s="47"/>
      <c r="C3233" s="46"/>
      <c r="D3233" s="47"/>
      <c r="E3233" s="46"/>
      <c r="F3233" s="47"/>
      <c r="G3233" s="46"/>
      <c r="H3233" s="50"/>
      <c r="I3233" s="51"/>
    </row>
    <row r="3234" ht="22.5" customHeight="1">
      <c r="A3234" s="42"/>
      <c r="B3234" s="47"/>
      <c r="C3234" s="46"/>
      <c r="D3234" s="47"/>
      <c r="E3234" s="46"/>
      <c r="F3234" s="47"/>
      <c r="G3234" s="46"/>
      <c r="H3234" s="48"/>
      <c r="I3234" s="49"/>
    </row>
    <row r="3235" ht="22.5" customHeight="1">
      <c r="A3235" s="42"/>
      <c r="B3235" s="47"/>
      <c r="C3235" s="46"/>
      <c r="D3235" s="47"/>
      <c r="E3235" s="46"/>
      <c r="F3235" s="47"/>
      <c r="G3235" s="46"/>
      <c r="H3235" s="50"/>
      <c r="I3235" s="51"/>
    </row>
    <row r="3236" ht="22.5" customHeight="1">
      <c r="A3236" s="42"/>
      <c r="B3236" s="47"/>
      <c r="C3236" s="46"/>
      <c r="D3236" s="47"/>
      <c r="E3236" s="46"/>
      <c r="F3236" s="47"/>
      <c r="G3236" s="46"/>
      <c r="H3236" s="48"/>
      <c r="I3236" s="49"/>
    </row>
    <row r="3237" ht="22.5" customHeight="1">
      <c r="A3237" s="42"/>
      <c r="B3237" s="47"/>
      <c r="C3237" s="46"/>
      <c r="D3237" s="47"/>
      <c r="E3237" s="46"/>
      <c r="F3237" s="47"/>
      <c r="G3237" s="46"/>
      <c r="H3237" s="50"/>
      <c r="I3237" s="51"/>
    </row>
    <row r="3238" ht="22.5" customHeight="1">
      <c r="A3238" s="42"/>
      <c r="B3238" s="47"/>
      <c r="C3238" s="46"/>
      <c r="D3238" s="47"/>
      <c r="E3238" s="46"/>
      <c r="F3238" s="47"/>
      <c r="G3238" s="46"/>
      <c r="H3238" s="48"/>
      <c r="I3238" s="49"/>
    </row>
    <row r="3239" ht="22.5" customHeight="1">
      <c r="A3239" s="42"/>
      <c r="B3239" s="47"/>
      <c r="C3239" s="46"/>
      <c r="D3239" s="47"/>
      <c r="E3239" s="46"/>
      <c r="F3239" s="47"/>
      <c r="G3239" s="46"/>
      <c r="H3239" s="50"/>
      <c r="I3239" s="51"/>
    </row>
    <row r="3240" ht="22.5" customHeight="1">
      <c r="A3240" s="42"/>
      <c r="B3240" s="47"/>
      <c r="C3240" s="46"/>
      <c r="D3240" s="47"/>
      <c r="E3240" s="46"/>
      <c r="F3240" s="47"/>
      <c r="G3240" s="46"/>
      <c r="H3240" s="48"/>
      <c r="I3240" s="49"/>
    </row>
    <row r="3241" ht="22.5" customHeight="1">
      <c r="A3241" s="42"/>
      <c r="B3241" s="47"/>
      <c r="C3241" s="46"/>
      <c r="D3241" s="47"/>
      <c r="E3241" s="46"/>
      <c r="F3241" s="47"/>
      <c r="G3241" s="46"/>
      <c r="H3241" s="50"/>
      <c r="I3241" s="51"/>
    </row>
    <row r="3242" ht="22.5" customHeight="1">
      <c r="A3242" s="42"/>
      <c r="B3242" s="47"/>
      <c r="C3242" s="46"/>
      <c r="D3242" s="47"/>
      <c r="E3242" s="46"/>
      <c r="F3242" s="47"/>
      <c r="G3242" s="46"/>
      <c r="H3242" s="48"/>
      <c r="I3242" s="49"/>
    </row>
    <row r="3243" ht="22.5" customHeight="1">
      <c r="A3243" s="42"/>
      <c r="B3243" s="47"/>
      <c r="C3243" s="46"/>
      <c r="D3243" s="47"/>
      <c r="E3243" s="46"/>
      <c r="F3243" s="47"/>
      <c r="G3243" s="46"/>
      <c r="H3243" s="50"/>
      <c r="I3243" s="51"/>
    </row>
    <row r="3244" ht="22.5" customHeight="1">
      <c r="A3244" s="42"/>
      <c r="B3244" s="47"/>
      <c r="C3244" s="46"/>
      <c r="D3244" s="47"/>
      <c r="E3244" s="46"/>
      <c r="F3244" s="47"/>
      <c r="G3244" s="46"/>
      <c r="H3244" s="48"/>
      <c r="I3244" s="49"/>
    </row>
    <row r="3245" ht="22.5" customHeight="1">
      <c r="A3245" s="42"/>
      <c r="B3245" s="47"/>
      <c r="C3245" s="46"/>
      <c r="D3245" s="47"/>
      <c r="E3245" s="46"/>
      <c r="F3245" s="47"/>
      <c r="G3245" s="46"/>
      <c r="H3245" s="50"/>
      <c r="I3245" s="51"/>
    </row>
    <row r="3246" ht="22.5" customHeight="1">
      <c r="A3246" s="42"/>
      <c r="B3246" s="47"/>
      <c r="C3246" s="46"/>
      <c r="D3246" s="47"/>
      <c r="E3246" s="46"/>
      <c r="F3246" s="47"/>
      <c r="G3246" s="46"/>
      <c r="H3246" s="48"/>
      <c r="I3246" s="49"/>
    </row>
    <row r="3247" ht="22.5" customHeight="1">
      <c r="A3247" s="42"/>
      <c r="B3247" s="47"/>
      <c r="C3247" s="46"/>
      <c r="D3247" s="47"/>
      <c r="E3247" s="46"/>
      <c r="F3247" s="47"/>
      <c r="G3247" s="46"/>
      <c r="H3247" s="50"/>
      <c r="I3247" s="51"/>
    </row>
    <row r="3248" ht="22.5" customHeight="1">
      <c r="A3248" s="42"/>
      <c r="B3248" s="47"/>
      <c r="C3248" s="46"/>
      <c r="D3248" s="47"/>
      <c r="E3248" s="46"/>
      <c r="F3248" s="47"/>
      <c r="G3248" s="46"/>
      <c r="H3248" s="48"/>
      <c r="I3248" s="49"/>
    </row>
    <row r="3249" ht="22.5" customHeight="1">
      <c r="A3249" s="42"/>
      <c r="B3249" s="47"/>
      <c r="C3249" s="46"/>
      <c r="D3249" s="47"/>
      <c r="E3249" s="46"/>
      <c r="F3249" s="47"/>
      <c r="G3249" s="46"/>
      <c r="H3249" s="50"/>
      <c r="I3249" s="51"/>
    </row>
    <row r="3250" ht="22.5" customHeight="1">
      <c r="A3250" s="42"/>
      <c r="B3250" s="47"/>
      <c r="C3250" s="46"/>
      <c r="D3250" s="47"/>
      <c r="E3250" s="46"/>
      <c r="F3250" s="47"/>
      <c r="G3250" s="46"/>
      <c r="H3250" s="48"/>
      <c r="I3250" s="49"/>
    </row>
    <row r="3251" ht="22.5" customHeight="1">
      <c r="A3251" s="42"/>
      <c r="B3251" s="47"/>
      <c r="C3251" s="46"/>
      <c r="D3251" s="47"/>
      <c r="E3251" s="46"/>
      <c r="F3251" s="47"/>
      <c r="G3251" s="46"/>
      <c r="H3251" s="50"/>
      <c r="I3251" s="51"/>
    </row>
    <row r="3252" ht="22.5" customHeight="1">
      <c r="A3252" s="42"/>
      <c r="B3252" s="47"/>
      <c r="C3252" s="46"/>
      <c r="D3252" s="47"/>
      <c r="E3252" s="46"/>
      <c r="F3252" s="47"/>
      <c r="G3252" s="46"/>
      <c r="H3252" s="48"/>
      <c r="I3252" s="49"/>
    </row>
    <row r="3253" ht="22.5" customHeight="1">
      <c r="A3253" s="42"/>
      <c r="B3253" s="47"/>
      <c r="C3253" s="46"/>
      <c r="D3253" s="47"/>
      <c r="E3253" s="46"/>
      <c r="F3253" s="47"/>
      <c r="G3253" s="46"/>
      <c r="H3253" s="50"/>
      <c r="I3253" s="51"/>
    </row>
    <row r="3254" ht="22.5" customHeight="1">
      <c r="A3254" s="42"/>
      <c r="B3254" s="47"/>
      <c r="C3254" s="46"/>
      <c r="D3254" s="47"/>
      <c r="E3254" s="46"/>
      <c r="F3254" s="47"/>
      <c r="G3254" s="46"/>
      <c r="H3254" s="48"/>
      <c r="I3254" s="49"/>
    </row>
    <row r="3255" ht="22.5" customHeight="1">
      <c r="A3255" s="42"/>
      <c r="B3255" s="47"/>
      <c r="C3255" s="46"/>
      <c r="D3255" s="47"/>
      <c r="E3255" s="46"/>
      <c r="F3255" s="47"/>
      <c r="G3255" s="46"/>
      <c r="H3255" s="50"/>
      <c r="I3255" s="51"/>
    </row>
    <row r="3256" ht="22.5" customHeight="1">
      <c r="A3256" s="42"/>
      <c r="B3256" s="47"/>
      <c r="C3256" s="46"/>
      <c r="D3256" s="47"/>
      <c r="E3256" s="46"/>
      <c r="F3256" s="47"/>
      <c r="G3256" s="46"/>
      <c r="H3256" s="48"/>
      <c r="I3256" s="49"/>
    </row>
    <row r="3257" ht="22.5" customHeight="1">
      <c r="A3257" s="42"/>
      <c r="B3257" s="47"/>
      <c r="C3257" s="46"/>
      <c r="D3257" s="47"/>
      <c r="E3257" s="46"/>
      <c r="F3257" s="47"/>
      <c r="G3257" s="46"/>
      <c r="H3257" s="50"/>
      <c r="I3257" s="51"/>
    </row>
    <row r="3258" ht="22.5" customHeight="1">
      <c r="A3258" s="42"/>
      <c r="B3258" s="47"/>
      <c r="C3258" s="46"/>
      <c r="D3258" s="47"/>
      <c r="E3258" s="46"/>
      <c r="F3258" s="47"/>
      <c r="G3258" s="46"/>
      <c r="H3258" s="48"/>
      <c r="I3258" s="49"/>
    </row>
    <row r="3259" ht="22.5" customHeight="1">
      <c r="A3259" s="42"/>
      <c r="B3259" s="47"/>
      <c r="C3259" s="46"/>
      <c r="D3259" s="47"/>
      <c r="E3259" s="46"/>
      <c r="F3259" s="47"/>
      <c r="G3259" s="46"/>
      <c r="H3259" s="50"/>
      <c r="I3259" s="51"/>
    </row>
    <row r="3260" ht="22.5" customHeight="1">
      <c r="A3260" s="42"/>
      <c r="B3260" s="47"/>
      <c r="C3260" s="46"/>
      <c r="D3260" s="47"/>
      <c r="E3260" s="46"/>
      <c r="F3260" s="47"/>
      <c r="G3260" s="46"/>
      <c r="H3260" s="48"/>
      <c r="I3260" s="49"/>
    </row>
    <row r="3261" ht="22.5" customHeight="1">
      <c r="A3261" s="42"/>
      <c r="B3261" s="47"/>
      <c r="C3261" s="46"/>
      <c r="D3261" s="47"/>
      <c r="E3261" s="46"/>
      <c r="F3261" s="47"/>
      <c r="G3261" s="46"/>
      <c r="H3261" s="50"/>
      <c r="I3261" s="51"/>
    </row>
    <row r="3262" ht="22.5" customHeight="1">
      <c r="A3262" s="42"/>
      <c r="B3262" s="47"/>
      <c r="C3262" s="46"/>
      <c r="D3262" s="47"/>
      <c r="E3262" s="46"/>
      <c r="F3262" s="47"/>
      <c r="G3262" s="46"/>
      <c r="H3262" s="48"/>
      <c r="I3262" s="49"/>
    </row>
    <row r="3263" ht="22.5" customHeight="1">
      <c r="A3263" s="42"/>
      <c r="B3263" s="47"/>
      <c r="C3263" s="46"/>
      <c r="D3263" s="47"/>
      <c r="E3263" s="46"/>
      <c r="F3263" s="47"/>
      <c r="G3263" s="46"/>
      <c r="H3263" s="50"/>
      <c r="I3263" s="51"/>
    </row>
    <row r="3264" ht="22.5" customHeight="1">
      <c r="A3264" s="42"/>
      <c r="B3264" s="47"/>
      <c r="C3264" s="46"/>
      <c r="D3264" s="47"/>
      <c r="E3264" s="46"/>
      <c r="F3264" s="47"/>
      <c r="G3264" s="46"/>
      <c r="H3264" s="48"/>
      <c r="I3264" s="49"/>
    </row>
    <row r="3265" ht="22.5" customHeight="1">
      <c r="A3265" s="42"/>
      <c r="B3265" s="47"/>
      <c r="C3265" s="46"/>
      <c r="D3265" s="47"/>
      <c r="E3265" s="46"/>
      <c r="F3265" s="47"/>
      <c r="G3265" s="46"/>
      <c r="H3265" s="50"/>
      <c r="I3265" s="51"/>
    </row>
    <row r="3266" ht="22.5" customHeight="1">
      <c r="A3266" s="42"/>
      <c r="B3266" s="47"/>
      <c r="C3266" s="46"/>
      <c r="D3266" s="47"/>
      <c r="E3266" s="46"/>
      <c r="F3266" s="47"/>
      <c r="G3266" s="46"/>
      <c r="H3266" s="48"/>
      <c r="I3266" s="49"/>
    </row>
    <row r="3267" ht="22.5" customHeight="1">
      <c r="A3267" s="42"/>
      <c r="B3267" s="47"/>
      <c r="C3267" s="46"/>
      <c r="D3267" s="47"/>
      <c r="E3267" s="46"/>
      <c r="F3267" s="47"/>
      <c r="G3267" s="46"/>
      <c r="H3267" s="50"/>
      <c r="I3267" s="51"/>
    </row>
    <row r="3268" ht="22.5" customHeight="1">
      <c r="A3268" s="42"/>
      <c r="B3268" s="47"/>
      <c r="C3268" s="46"/>
      <c r="D3268" s="47"/>
      <c r="E3268" s="46"/>
      <c r="F3268" s="47"/>
      <c r="G3268" s="46"/>
      <c r="H3268" s="48"/>
      <c r="I3268" s="49"/>
    </row>
    <row r="3269" ht="22.5" customHeight="1">
      <c r="A3269" s="42"/>
      <c r="B3269" s="47"/>
      <c r="C3269" s="46"/>
      <c r="D3269" s="47"/>
      <c r="E3269" s="46"/>
      <c r="F3269" s="47"/>
      <c r="G3269" s="46"/>
      <c r="H3269" s="50"/>
      <c r="I3269" s="51"/>
    </row>
    <row r="3270" ht="22.5" customHeight="1">
      <c r="A3270" s="42"/>
      <c r="B3270" s="47"/>
      <c r="C3270" s="46"/>
      <c r="D3270" s="47"/>
      <c r="E3270" s="46"/>
      <c r="F3270" s="47"/>
      <c r="G3270" s="46"/>
      <c r="H3270" s="48"/>
      <c r="I3270" s="49"/>
    </row>
    <row r="3271" ht="22.5" customHeight="1">
      <c r="A3271" s="42"/>
      <c r="B3271" s="47"/>
      <c r="C3271" s="46"/>
      <c r="D3271" s="47"/>
      <c r="E3271" s="46"/>
      <c r="F3271" s="47"/>
      <c r="G3271" s="46"/>
      <c r="H3271" s="50"/>
      <c r="I3271" s="51"/>
    </row>
    <row r="3272" ht="22.5" customHeight="1">
      <c r="A3272" s="42"/>
      <c r="B3272" s="47"/>
      <c r="C3272" s="46"/>
      <c r="D3272" s="47"/>
      <c r="E3272" s="46"/>
      <c r="F3272" s="47"/>
      <c r="G3272" s="46"/>
      <c r="H3272" s="48"/>
      <c r="I3272" s="49"/>
    </row>
    <row r="3273" ht="22.5" customHeight="1">
      <c r="A3273" s="42"/>
      <c r="B3273" s="47"/>
      <c r="C3273" s="46"/>
      <c r="D3273" s="47"/>
      <c r="E3273" s="46"/>
      <c r="F3273" s="47"/>
      <c r="G3273" s="46"/>
      <c r="H3273" s="50"/>
      <c r="I3273" s="51"/>
    </row>
    <row r="3274" ht="22.5" customHeight="1">
      <c r="A3274" s="42"/>
      <c r="B3274" s="47"/>
      <c r="C3274" s="46"/>
      <c r="D3274" s="47"/>
      <c r="E3274" s="46"/>
      <c r="F3274" s="47"/>
      <c r="G3274" s="46"/>
      <c r="H3274" s="48"/>
      <c r="I3274" s="49"/>
    </row>
    <row r="3275" ht="22.5" customHeight="1">
      <c r="A3275" s="42"/>
      <c r="B3275" s="47"/>
      <c r="C3275" s="46"/>
      <c r="D3275" s="47"/>
      <c r="E3275" s="46"/>
      <c r="F3275" s="47"/>
      <c r="G3275" s="46"/>
      <c r="H3275" s="50"/>
      <c r="I3275" s="51"/>
    </row>
    <row r="3276" ht="22.5" customHeight="1">
      <c r="A3276" s="42"/>
      <c r="B3276" s="47"/>
      <c r="C3276" s="46"/>
      <c r="D3276" s="47"/>
      <c r="E3276" s="46"/>
      <c r="F3276" s="47"/>
      <c r="G3276" s="46"/>
      <c r="H3276" s="48"/>
      <c r="I3276" s="49"/>
    </row>
    <row r="3277" ht="22.5" customHeight="1">
      <c r="A3277" s="42"/>
      <c r="B3277" s="47"/>
      <c r="C3277" s="46"/>
      <c r="D3277" s="47"/>
      <c r="E3277" s="46"/>
      <c r="F3277" s="47"/>
      <c r="G3277" s="46"/>
      <c r="H3277" s="50"/>
      <c r="I3277" s="51"/>
    </row>
    <row r="3278" ht="22.5" customHeight="1">
      <c r="A3278" s="42"/>
      <c r="B3278" s="47"/>
      <c r="C3278" s="46"/>
      <c r="D3278" s="47"/>
      <c r="E3278" s="46"/>
      <c r="F3278" s="47"/>
      <c r="G3278" s="46"/>
      <c r="H3278" s="48"/>
      <c r="I3278" s="49"/>
    </row>
    <row r="3279" ht="22.5" customHeight="1">
      <c r="A3279" s="42"/>
      <c r="B3279" s="47"/>
      <c r="C3279" s="46"/>
      <c r="D3279" s="47"/>
      <c r="E3279" s="46"/>
      <c r="F3279" s="47"/>
      <c r="G3279" s="46"/>
      <c r="H3279" s="50"/>
      <c r="I3279" s="51"/>
    </row>
    <row r="3280" ht="22.5" customHeight="1">
      <c r="A3280" s="42"/>
      <c r="B3280" s="47"/>
      <c r="C3280" s="46"/>
      <c r="D3280" s="47"/>
      <c r="E3280" s="46"/>
      <c r="F3280" s="47"/>
      <c r="G3280" s="46"/>
      <c r="H3280" s="48"/>
      <c r="I3280" s="49"/>
    </row>
    <row r="3281" ht="22.5" customHeight="1">
      <c r="A3281" s="42"/>
      <c r="B3281" s="47"/>
      <c r="C3281" s="46"/>
      <c r="D3281" s="47"/>
      <c r="E3281" s="46"/>
      <c r="F3281" s="47"/>
      <c r="G3281" s="46"/>
      <c r="H3281" s="50"/>
      <c r="I3281" s="51"/>
    </row>
    <row r="3282" ht="22.5" customHeight="1">
      <c r="A3282" s="42"/>
      <c r="B3282" s="47"/>
      <c r="C3282" s="46"/>
      <c r="D3282" s="47"/>
      <c r="E3282" s="46"/>
      <c r="F3282" s="47"/>
      <c r="G3282" s="46"/>
      <c r="H3282" s="48"/>
      <c r="I3282" s="49"/>
    </row>
    <row r="3283" ht="22.5" customHeight="1">
      <c r="A3283" s="42"/>
      <c r="B3283" s="47"/>
      <c r="C3283" s="46"/>
      <c r="D3283" s="47"/>
      <c r="E3283" s="46"/>
      <c r="F3283" s="47"/>
      <c r="G3283" s="46"/>
      <c r="H3283" s="50"/>
      <c r="I3283" s="51"/>
    </row>
    <row r="3284" ht="22.5" customHeight="1">
      <c r="A3284" s="42"/>
      <c r="B3284" s="47"/>
      <c r="C3284" s="46"/>
      <c r="D3284" s="47"/>
      <c r="E3284" s="46"/>
      <c r="F3284" s="47"/>
      <c r="G3284" s="46"/>
      <c r="H3284" s="48"/>
      <c r="I3284" s="49"/>
    </row>
    <row r="3285" ht="22.5" customHeight="1">
      <c r="A3285" s="42"/>
      <c r="B3285" s="47"/>
      <c r="C3285" s="46"/>
      <c r="D3285" s="47"/>
      <c r="E3285" s="46"/>
      <c r="F3285" s="47"/>
      <c r="G3285" s="46"/>
      <c r="H3285" s="50"/>
      <c r="I3285" s="51"/>
    </row>
    <row r="3286" ht="22.5" customHeight="1">
      <c r="A3286" s="42"/>
      <c r="B3286" s="47"/>
      <c r="C3286" s="46"/>
      <c r="D3286" s="47"/>
      <c r="E3286" s="46"/>
      <c r="F3286" s="47"/>
      <c r="G3286" s="46"/>
      <c r="H3286" s="48"/>
      <c r="I3286" s="49"/>
    </row>
    <row r="3287" ht="22.5" customHeight="1">
      <c r="A3287" s="42"/>
      <c r="B3287" s="47"/>
      <c r="C3287" s="46"/>
      <c r="D3287" s="47"/>
      <c r="E3287" s="46"/>
      <c r="F3287" s="47"/>
      <c r="G3287" s="46"/>
      <c r="H3287" s="50"/>
      <c r="I3287" s="51"/>
    </row>
    <row r="3288" ht="22.5" customHeight="1">
      <c r="A3288" s="42"/>
      <c r="B3288" s="47"/>
      <c r="C3288" s="46"/>
      <c r="D3288" s="47"/>
      <c r="E3288" s="46"/>
      <c r="F3288" s="47"/>
      <c r="G3288" s="46"/>
      <c r="H3288" s="48"/>
      <c r="I3288" s="49"/>
    </row>
    <row r="3289" ht="22.5" customHeight="1">
      <c r="A3289" s="42"/>
      <c r="B3289" s="47"/>
      <c r="C3289" s="46"/>
      <c r="D3289" s="47"/>
      <c r="E3289" s="46"/>
      <c r="F3289" s="47"/>
      <c r="G3289" s="46"/>
      <c r="H3289" s="50"/>
      <c r="I3289" s="51"/>
    </row>
    <row r="3290" ht="22.5" customHeight="1">
      <c r="A3290" s="42"/>
      <c r="B3290" s="47"/>
      <c r="C3290" s="46"/>
      <c r="D3290" s="47"/>
      <c r="E3290" s="46"/>
      <c r="F3290" s="47"/>
      <c r="G3290" s="46"/>
      <c r="H3290" s="48"/>
      <c r="I3290" s="49"/>
    </row>
    <row r="3291" ht="22.5" customHeight="1">
      <c r="A3291" s="42"/>
      <c r="B3291" s="47"/>
      <c r="C3291" s="46"/>
      <c r="D3291" s="47"/>
      <c r="E3291" s="46"/>
      <c r="F3291" s="47"/>
      <c r="G3291" s="46"/>
      <c r="H3291" s="50"/>
      <c r="I3291" s="51"/>
    </row>
    <row r="3292" ht="22.5" customHeight="1">
      <c r="A3292" s="42"/>
      <c r="B3292" s="47"/>
      <c r="C3292" s="46"/>
      <c r="D3292" s="47"/>
      <c r="E3292" s="46"/>
      <c r="F3292" s="47"/>
      <c r="G3292" s="46"/>
      <c r="H3292" s="48"/>
      <c r="I3292" s="49"/>
    </row>
    <row r="3293" ht="22.5" customHeight="1">
      <c r="A3293" s="42"/>
      <c r="B3293" s="47"/>
      <c r="C3293" s="46"/>
      <c r="D3293" s="47"/>
      <c r="E3293" s="46"/>
      <c r="F3293" s="47"/>
      <c r="G3293" s="46"/>
      <c r="H3293" s="50"/>
      <c r="I3293" s="51"/>
    </row>
    <row r="3294" ht="22.5" customHeight="1">
      <c r="A3294" s="42"/>
      <c r="B3294" s="47"/>
      <c r="C3294" s="46"/>
      <c r="D3294" s="47"/>
      <c r="E3294" s="46"/>
      <c r="F3294" s="47"/>
      <c r="G3294" s="46"/>
      <c r="H3294" s="48"/>
      <c r="I3294" s="49"/>
    </row>
    <row r="3295" ht="22.5" customHeight="1">
      <c r="A3295" s="42"/>
      <c r="B3295" s="47"/>
      <c r="C3295" s="46"/>
      <c r="D3295" s="47"/>
      <c r="E3295" s="46"/>
      <c r="F3295" s="47"/>
      <c r="G3295" s="46"/>
      <c r="H3295" s="50"/>
      <c r="I3295" s="51"/>
    </row>
    <row r="3296" ht="22.5" customHeight="1">
      <c r="A3296" s="42"/>
      <c r="B3296" s="47"/>
      <c r="C3296" s="46"/>
      <c r="D3296" s="47"/>
      <c r="E3296" s="46"/>
      <c r="F3296" s="47"/>
      <c r="G3296" s="46"/>
      <c r="H3296" s="48"/>
      <c r="I3296" s="49"/>
    </row>
    <row r="3297" ht="22.5" customHeight="1">
      <c r="A3297" s="42"/>
      <c r="B3297" s="47"/>
      <c r="C3297" s="46"/>
      <c r="D3297" s="47"/>
      <c r="E3297" s="46"/>
      <c r="F3297" s="47"/>
      <c r="G3297" s="46"/>
      <c r="H3297" s="50"/>
      <c r="I3297" s="51"/>
    </row>
    <row r="3298" ht="22.5" customHeight="1">
      <c r="A3298" s="42"/>
      <c r="B3298" s="47"/>
      <c r="C3298" s="46"/>
      <c r="D3298" s="47"/>
      <c r="E3298" s="46"/>
      <c r="F3298" s="47"/>
      <c r="G3298" s="46"/>
      <c r="H3298" s="48"/>
      <c r="I3298" s="49"/>
    </row>
    <row r="3299" ht="22.5" customHeight="1">
      <c r="A3299" s="42"/>
      <c r="B3299" s="47"/>
      <c r="C3299" s="46"/>
      <c r="D3299" s="47"/>
      <c r="E3299" s="46"/>
      <c r="F3299" s="47"/>
      <c r="G3299" s="46"/>
      <c r="H3299" s="50"/>
      <c r="I3299" s="51"/>
    </row>
    <row r="3300" ht="22.5" customHeight="1">
      <c r="A3300" s="42"/>
      <c r="B3300" s="47"/>
      <c r="C3300" s="46"/>
      <c r="D3300" s="47"/>
      <c r="E3300" s="46"/>
      <c r="F3300" s="47"/>
      <c r="G3300" s="46"/>
      <c r="H3300" s="48"/>
      <c r="I3300" s="49"/>
    </row>
    <row r="3301" ht="22.5" customHeight="1">
      <c r="A3301" s="42"/>
      <c r="B3301" s="47"/>
      <c r="C3301" s="46"/>
      <c r="D3301" s="47"/>
      <c r="E3301" s="46"/>
      <c r="F3301" s="47"/>
      <c r="G3301" s="46"/>
      <c r="H3301" s="50"/>
      <c r="I3301" s="51"/>
    </row>
    <row r="3302" ht="22.5" customHeight="1">
      <c r="A3302" s="42"/>
      <c r="B3302" s="47"/>
      <c r="C3302" s="46"/>
      <c r="D3302" s="47"/>
      <c r="E3302" s="46"/>
      <c r="F3302" s="47"/>
      <c r="G3302" s="46"/>
      <c r="H3302" s="48"/>
      <c r="I3302" s="49"/>
    </row>
    <row r="3303" ht="22.5" customHeight="1">
      <c r="A3303" s="42"/>
      <c r="B3303" s="47"/>
      <c r="C3303" s="46"/>
      <c r="D3303" s="47"/>
      <c r="E3303" s="46"/>
      <c r="F3303" s="47"/>
      <c r="G3303" s="46"/>
      <c r="H3303" s="50"/>
      <c r="I3303" s="51"/>
    </row>
    <row r="3304" ht="22.5" customHeight="1">
      <c r="A3304" s="42"/>
      <c r="B3304" s="47"/>
      <c r="C3304" s="46"/>
      <c r="D3304" s="47"/>
      <c r="E3304" s="46"/>
      <c r="F3304" s="47"/>
      <c r="G3304" s="46"/>
      <c r="H3304" s="48"/>
      <c r="I3304" s="49"/>
    </row>
    <row r="3305" ht="22.5" customHeight="1">
      <c r="A3305" s="42"/>
      <c r="B3305" s="47"/>
      <c r="C3305" s="46"/>
      <c r="D3305" s="47"/>
      <c r="E3305" s="46"/>
      <c r="F3305" s="47"/>
      <c r="G3305" s="46"/>
      <c r="H3305" s="50"/>
      <c r="I3305" s="51"/>
    </row>
    <row r="3306" ht="22.5" customHeight="1">
      <c r="A3306" s="42"/>
      <c r="B3306" s="47"/>
      <c r="C3306" s="46"/>
      <c r="D3306" s="47"/>
      <c r="E3306" s="46"/>
      <c r="F3306" s="47"/>
      <c r="G3306" s="46"/>
      <c r="H3306" s="48"/>
      <c r="I3306" s="49"/>
    </row>
    <row r="3307" ht="22.5" customHeight="1">
      <c r="A3307" s="42"/>
      <c r="B3307" s="47"/>
      <c r="C3307" s="46"/>
      <c r="D3307" s="47"/>
      <c r="E3307" s="46"/>
      <c r="F3307" s="47"/>
      <c r="G3307" s="46"/>
      <c r="H3307" s="50"/>
      <c r="I3307" s="51"/>
    </row>
    <row r="3308" ht="22.5" customHeight="1">
      <c r="A3308" s="42"/>
      <c r="B3308" s="47"/>
      <c r="C3308" s="46"/>
      <c r="D3308" s="47"/>
      <c r="E3308" s="46"/>
      <c r="F3308" s="47"/>
      <c r="G3308" s="46"/>
      <c r="H3308" s="48"/>
      <c r="I3308" s="49"/>
    </row>
    <row r="3309" ht="22.5" customHeight="1">
      <c r="A3309" s="42"/>
      <c r="B3309" s="47"/>
      <c r="C3309" s="46"/>
      <c r="D3309" s="47"/>
      <c r="E3309" s="46"/>
      <c r="F3309" s="47"/>
      <c r="G3309" s="46"/>
      <c r="H3309" s="50"/>
      <c r="I3309" s="51"/>
    </row>
    <row r="3310" ht="22.5" customHeight="1">
      <c r="A3310" s="42"/>
      <c r="B3310" s="47"/>
      <c r="C3310" s="46"/>
      <c r="D3310" s="47"/>
      <c r="E3310" s="46"/>
      <c r="F3310" s="47"/>
      <c r="G3310" s="46"/>
      <c r="H3310" s="48"/>
      <c r="I3310" s="49"/>
    </row>
    <row r="3311" ht="22.5" customHeight="1">
      <c r="A3311" s="42"/>
      <c r="B3311" s="47"/>
      <c r="C3311" s="46"/>
      <c r="D3311" s="47"/>
      <c r="E3311" s="46"/>
      <c r="F3311" s="47"/>
      <c r="G3311" s="46"/>
      <c r="H3311" s="50"/>
      <c r="I3311" s="51"/>
    </row>
    <row r="3312" ht="22.5" customHeight="1">
      <c r="A3312" s="42"/>
      <c r="B3312" s="47"/>
      <c r="C3312" s="46"/>
      <c r="D3312" s="47"/>
      <c r="E3312" s="46"/>
      <c r="F3312" s="47"/>
      <c r="G3312" s="46"/>
      <c r="H3312" s="48"/>
      <c r="I3312" s="49"/>
    </row>
    <row r="3313" ht="22.5" customHeight="1">
      <c r="A3313" s="42"/>
      <c r="B3313" s="47"/>
      <c r="C3313" s="46"/>
      <c r="D3313" s="47"/>
      <c r="E3313" s="46"/>
      <c r="F3313" s="47"/>
      <c r="G3313" s="46"/>
      <c r="H3313" s="50"/>
      <c r="I3313" s="51"/>
    </row>
    <row r="3314" ht="22.5" customHeight="1">
      <c r="A3314" s="42"/>
      <c r="B3314" s="47"/>
      <c r="C3314" s="46"/>
      <c r="D3314" s="47"/>
      <c r="E3314" s="46"/>
      <c r="F3314" s="47"/>
      <c r="G3314" s="46"/>
      <c r="H3314" s="48"/>
      <c r="I3314" s="49"/>
    </row>
    <row r="3315" ht="22.5" customHeight="1">
      <c r="A3315" s="42"/>
      <c r="B3315" s="47"/>
      <c r="C3315" s="46"/>
      <c r="D3315" s="47"/>
      <c r="E3315" s="46"/>
      <c r="F3315" s="47"/>
      <c r="G3315" s="46"/>
      <c r="H3315" s="50"/>
      <c r="I3315" s="51"/>
    </row>
    <row r="3316" ht="22.5" customHeight="1">
      <c r="A3316" s="42"/>
      <c r="B3316" s="47"/>
      <c r="C3316" s="46"/>
      <c r="D3316" s="47"/>
      <c r="E3316" s="46"/>
      <c r="F3316" s="47"/>
      <c r="G3316" s="46"/>
      <c r="H3316" s="48"/>
      <c r="I3316" s="49"/>
    </row>
    <row r="3317" ht="22.5" customHeight="1">
      <c r="A3317" s="42"/>
      <c r="B3317" s="47"/>
      <c r="C3317" s="46"/>
      <c r="D3317" s="47"/>
      <c r="E3317" s="46"/>
      <c r="F3317" s="47"/>
      <c r="G3317" s="46"/>
      <c r="H3317" s="50"/>
      <c r="I3317" s="51"/>
    </row>
    <row r="3318" ht="22.5" customHeight="1">
      <c r="A3318" s="42"/>
      <c r="B3318" s="47"/>
      <c r="C3318" s="46"/>
      <c r="D3318" s="47"/>
      <c r="E3318" s="46"/>
      <c r="F3318" s="47"/>
      <c r="G3318" s="46"/>
      <c r="H3318" s="48"/>
      <c r="I3318" s="49"/>
    </row>
    <row r="3319" ht="22.5" customHeight="1">
      <c r="A3319" s="42"/>
      <c r="B3319" s="47"/>
      <c r="C3319" s="46"/>
      <c r="D3319" s="47"/>
      <c r="E3319" s="46"/>
      <c r="F3319" s="47"/>
      <c r="G3319" s="46"/>
      <c r="H3319" s="50"/>
      <c r="I3319" s="51"/>
    </row>
    <row r="3320" ht="22.5" customHeight="1">
      <c r="A3320" s="42"/>
      <c r="B3320" s="47"/>
      <c r="C3320" s="46"/>
      <c r="D3320" s="47"/>
      <c r="E3320" s="46"/>
      <c r="F3320" s="47"/>
      <c r="G3320" s="46"/>
      <c r="H3320" s="48"/>
      <c r="I3320" s="49"/>
    </row>
    <row r="3321" ht="22.5" customHeight="1">
      <c r="A3321" s="42"/>
      <c r="B3321" s="47"/>
      <c r="C3321" s="46"/>
      <c r="D3321" s="47"/>
      <c r="E3321" s="46"/>
      <c r="F3321" s="47"/>
      <c r="G3321" s="46"/>
      <c r="H3321" s="50"/>
      <c r="I3321" s="51"/>
    </row>
    <row r="3322" ht="22.5" customHeight="1">
      <c r="A3322" s="42"/>
      <c r="B3322" s="47"/>
      <c r="C3322" s="46"/>
      <c r="D3322" s="47"/>
      <c r="E3322" s="46"/>
      <c r="F3322" s="47"/>
      <c r="G3322" s="46"/>
      <c r="H3322" s="48"/>
      <c r="I3322" s="49"/>
    </row>
    <row r="3323" ht="22.5" customHeight="1">
      <c r="A3323" s="42"/>
      <c r="B3323" s="47"/>
      <c r="C3323" s="46"/>
      <c r="D3323" s="47"/>
      <c r="E3323" s="46"/>
      <c r="F3323" s="47"/>
      <c r="G3323" s="46"/>
      <c r="H3323" s="50"/>
      <c r="I3323" s="51"/>
    </row>
    <row r="3324" ht="22.5" customHeight="1">
      <c r="A3324" s="42"/>
      <c r="B3324" s="47"/>
      <c r="C3324" s="46"/>
      <c r="D3324" s="47"/>
      <c r="E3324" s="46"/>
      <c r="F3324" s="47"/>
      <c r="G3324" s="46"/>
      <c r="H3324" s="48"/>
      <c r="I3324" s="49"/>
    </row>
    <row r="3325" ht="22.5" customHeight="1">
      <c r="A3325" s="42"/>
      <c r="B3325" s="47"/>
      <c r="C3325" s="46"/>
      <c r="D3325" s="47"/>
      <c r="E3325" s="46"/>
      <c r="F3325" s="47"/>
      <c r="G3325" s="46"/>
      <c r="H3325" s="50"/>
      <c r="I3325" s="51"/>
    </row>
    <row r="3326" ht="22.5" customHeight="1">
      <c r="A3326" s="42"/>
      <c r="B3326" s="47"/>
      <c r="C3326" s="46"/>
      <c r="D3326" s="47"/>
      <c r="E3326" s="46"/>
      <c r="F3326" s="47"/>
      <c r="G3326" s="46"/>
      <c r="H3326" s="48"/>
      <c r="I3326" s="49"/>
    </row>
    <row r="3327" ht="22.5" customHeight="1">
      <c r="A3327" s="42"/>
      <c r="B3327" s="47"/>
      <c r="C3327" s="46"/>
      <c r="D3327" s="47"/>
      <c r="E3327" s="46"/>
      <c r="F3327" s="47"/>
      <c r="G3327" s="46"/>
      <c r="H3327" s="50"/>
      <c r="I3327" s="51"/>
    </row>
    <row r="3328" ht="22.5" customHeight="1">
      <c r="A3328" s="42"/>
      <c r="B3328" s="47"/>
      <c r="C3328" s="46"/>
      <c r="D3328" s="47"/>
      <c r="E3328" s="46"/>
      <c r="F3328" s="47"/>
      <c r="G3328" s="46"/>
      <c r="H3328" s="48"/>
      <c r="I3328" s="49"/>
    </row>
    <row r="3329" ht="22.5" customHeight="1">
      <c r="A3329" s="42"/>
      <c r="B3329" s="47"/>
      <c r="C3329" s="46"/>
      <c r="D3329" s="47"/>
      <c r="E3329" s="46"/>
      <c r="F3329" s="47"/>
      <c r="G3329" s="46"/>
      <c r="H3329" s="50"/>
      <c r="I3329" s="51"/>
    </row>
    <row r="3330" ht="22.5" customHeight="1">
      <c r="A3330" s="42"/>
      <c r="B3330" s="47"/>
      <c r="C3330" s="46"/>
      <c r="D3330" s="47"/>
      <c r="E3330" s="46"/>
      <c r="F3330" s="47"/>
      <c r="G3330" s="46"/>
      <c r="H3330" s="48"/>
      <c r="I3330" s="49"/>
    </row>
    <row r="3331" ht="22.5" customHeight="1">
      <c r="A3331" s="42"/>
      <c r="B3331" s="47"/>
      <c r="C3331" s="46"/>
      <c r="D3331" s="47"/>
      <c r="E3331" s="46"/>
      <c r="F3331" s="47"/>
      <c r="G3331" s="46"/>
      <c r="H3331" s="50"/>
      <c r="I3331" s="51"/>
    </row>
    <row r="3332" ht="22.5" customHeight="1">
      <c r="A3332" s="42"/>
      <c r="B3332" s="47"/>
      <c r="C3332" s="46"/>
      <c r="D3332" s="47"/>
      <c r="E3332" s="46"/>
      <c r="F3332" s="47"/>
      <c r="G3332" s="46"/>
      <c r="H3332" s="48"/>
      <c r="I3332" s="49"/>
    </row>
    <row r="3333" ht="22.5" customHeight="1">
      <c r="A3333" s="42"/>
      <c r="B3333" s="47"/>
      <c r="C3333" s="46"/>
      <c r="D3333" s="47"/>
      <c r="E3333" s="46"/>
      <c r="F3333" s="47"/>
      <c r="G3333" s="46"/>
      <c r="H3333" s="50"/>
      <c r="I3333" s="51"/>
    </row>
    <row r="3334" ht="22.5" customHeight="1">
      <c r="A3334" s="42"/>
      <c r="B3334" s="47"/>
      <c r="C3334" s="46"/>
      <c r="D3334" s="47"/>
      <c r="E3334" s="46"/>
      <c r="F3334" s="47"/>
      <c r="G3334" s="46"/>
      <c r="H3334" s="48"/>
      <c r="I3334" s="49"/>
    </row>
    <row r="3335" ht="22.5" customHeight="1">
      <c r="A3335" s="42"/>
      <c r="B3335" s="47"/>
      <c r="C3335" s="46"/>
      <c r="D3335" s="47"/>
      <c r="E3335" s="46"/>
      <c r="F3335" s="47"/>
      <c r="G3335" s="46"/>
      <c r="H3335" s="50"/>
      <c r="I3335" s="51"/>
    </row>
    <row r="3336" ht="22.5" customHeight="1">
      <c r="A3336" s="42"/>
      <c r="B3336" s="47"/>
      <c r="C3336" s="46"/>
      <c r="D3336" s="47"/>
      <c r="E3336" s="46"/>
      <c r="F3336" s="47"/>
      <c r="G3336" s="46"/>
      <c r="H3336" s="48"/>
      <c r="I3336" s="49"/>
    </row>
    <row r="3337" ht="22.5" customHeight="1">
      <c r="A3337" s="42"/>
      <c r="B3337" s="47"/>
      <c r="C3337" s="46"/>
      <c r="D3337" s="47"/>
      <c r="E3337" s="46"/>
      <c r="F3337" s="47"/>
      <c r="G3337" s="46"/>
      <c r="H3337" s="50"/>
      <c r="I3337" s="51"/>
    </row>
    <row r="3338" ht="22.5" customHeight="1">
      <c r="A3338" s="42"/>
      <c r="B3338" s="47"/>
      <c r="C3338" s="46"/>
      <c r="D3338" s="47"/>
      <c r="E3338" s="46"/>
      <c r="F3338" s="47"/>
      <c r="G3338" s="46"/>
      <c r="H3338" s="48"/>
      <c r="I3338" s="49"/>
    </row>
    <row r="3339" ht="22.5" customHeight="1">
      <c r="A3339" s="42"/>
      <c r="B3339" s="47"/>
      <c r="C3339" s="46"/>
      <c r="D3339" s="47"/>
      <c r="E3339" s="46"/>
      <c r="F3339" s="47"/>
      <c r="G3339" s="46"/>
      <c r="H3339" s="50"/>
      <c r="I3339" s="51"/>
    </row>
    <row r="3340" ht="22.5" customHeight="1">
      <c r="A3340" s="42"/>
      <c r="B3340" s="47"/>
      <c r="C3340" s="46"/>
      <c r="D3340" s="47"/>
      <c r="E3340" s="46"/>
      <c r="F3340" s="47"/>
      <c r="G3340" s="46"/>
      <c r="H3340" s="48"/>
      <c r="I3340" s="49"/>
    </row>
    <row r="3341" ht="22.5" customHeight="1">
      <c r="A3341" s="42"/>
      <c r="B3341" s="47"/>
      <c r="C3341" s="46"/>
      <c r="D3341" s="47"/>
      <c r="E3341" s="46"/>
      <c r="F3341" s="47"/>
      <c r="G3341" s="46"/>
      <c r="H3341" s="50"/>
      <c r="I3341" s="51"/>
    </row>
    <row r="3342" ht="22.5" customHeight="1">
      <c r="A3342" s="42"/>
      <c r="B3342" s="47"/>
      <c r="C3342" s="46"/>
      <c r="D3342" s="47"/>
      <c r="E3342" s="46"/>
      <c r="F3342" s="47"/>
      <c r="G3342" s="46"/>
      <c r="H3342" s="48"/>
      <c r="I3342" s="49"/>
    </row>
    <row r="3343" ht="22.5" customHeight="1">
      <c r="A3343" s="42"/>
      <c r="B3343" s="47"/>
      <c r="C3343" s="46"/>
      <c r="D3343" s="47"/>
      <c r="E3343" s="46"/>
      <c r="F3343" s="47"/>
      <c r="G3343" s="46"/>
      <c r="H3343" s="50"/>
      <c r="I3343" s="51"/>
    </row>
    <row r="3344" ht="22.5" customHeight="1">
      <c r="A3344" s="42"/>
      <c r="B3344" s="47"/>
      <c r="C3344" s="46"/>
      <c r="D3344" s="47"/>
      <c r="E3344" s="46"/>
      <c r="F3344" s="47"/>
      <c r="G3344" s="46"/>
      <c r="H3344" s="48"/>
      <c r="I3344" s="49"/>
    </row>
    <row r="3345" ht="22.5" customHeight="1">
      <c r="A3345" s="42"/>
      <c r="B3345" s="47"/>
      <c r="C3345" s="46"/>
      <c r="D3345" s="47"/>
      <c r="E3345" s="46"/>
      <c r="F3345" s="47"/>
      <c r="G3345" s="46"/>
      <c r="H3345" s="50"/>
      <c r="I3345" s="51"/>
    </row>
    <row r="3346" ht="22.5" customHeight="1">
      <c r="A3346" s="42"/>
      <c r="B3346" s="47"/>
      <c r="C3346" s="46"/>
      <c r="D3346" s="47"/>
      <c r="E3346" s="46"/>
      <c r="F3346" s="47"/>
      <c r="G3346" s="46"/>
      <c r="H3346" s="48"/>
      <c r="I3346" s="49"/>
    </row>
    <row r="3347" ht="22.5" customHeight="1">
      <c r="A3347" s="42"/>
      <c r="B3347" s="47"/>
      <c r="C3347" s="46"/>
      <c r="D3347" s="47"/>
      <c r="E3347" s="46"/>
      <c r="F3347" s="47"/>
      <c r="G3347" s="46"/>
      <c r="H3347" s="50"/>
      <c r="I3347" s="51"/>
    </row>
    <row r="3348" ht="22.5" customHeight="1">
      <c r="A3348" s="42"/>
      <c r="B3348" s="47"/>
      <c r="C3348" s="46"/>
      <c r="D3348" s="47"/>
      <c r="E3348" s="46"/>
      <c r="F3348" s="47"/>
      <c r="G3348" s="46"/>
      <c r="H3348" s="48"/>
      <c r="I3348" s="49"/>
    </row>
    <row r="3349" ht="22.5" customHeight="1">
      <c r="A3349" s="42"/>
      <c r="B3349" s="47"/>
      <c r="C3349" s="46"/>
      <c r="D3349" s="47"/>
      <c r="E3349" s="46"/>
      <c r="F3349" s="47"/>
      <c r="G3349" s="46"/>
      <c r="H3349" s="50"/>
      <c r="I3349" s="51"/>
    </row>
    <row r="3350" ht="22.5" customHeight="1">
      <c r="A3350" s="42"/>
      <c r="B3350" s="47"/>
      <c r="C3350" s="46"/>
      <c r="D3350" s="47"/>
      <c r="E3350" s="46"/>
      <c r="F3350" s="47"/>
      <c r="G3350" s="46"/>
      <c r="H3350" s="48"/>
      <c r="I3350" s="49"/>
    </row>
    <row r="3351" ht="22.5" customHeight="1">
      <c r="A3351" s="42"/>
      <c r="B3351" s="47"/>
      <c r="C3351" s="46"/>
      <c r="D3351" s="47"/>
      <c r="E3351" s="46"/>
      <c r="F3351" s="47"/>
      <c r="G3351" s="46"/>
      <c r="H3351" s="50"/>
      <c r="I3351" s="51"/>
    </row>
    <row r="3352" ht="22.5" customHeight="1">
      <c r="A3352" s="42"/>
      <c r="B3352" s="47"/>
      <c r="C3352" s="46"/>
      <c r="D3352" s="47"/>
      <c r="E3352" s="46"/>
      <c r="F3352" s="47"/>
      <c r="G3352" s="46"/>
      <c r="H3352" s="48"/>
      <c r="I3352" s="49"/>
    </row>
    <row r="3353" ht="22.5" customHeight="1">
      <c r="A3353" s="42"/>
      <c r="B3353" s="47"/>
      <c r="C3353" s="46"/>
      <c r="D3353" s="47"/>
      <c r="E3353" s="46"/>
      <c r="F3353" s="47"/>
      <c r="G3353" s="46"/>
      <c r="H3353" s="50"/>
      <c r="I3353" s="51"/>
    </row>
    <row r="3354" ht="22.5" customHeight="1">
      <c r="A3354" s="42"/>
      <c r="B3354" s="47"/>
      <c r="C3354" s="46"/>
      <c r="D3354" s="47"/>
      <c r="E3354" s="46"/>
      <c r="F3354" s="47"/>
      <c r="G3354" s="46"/>
      <c r="H3354" s="48"/>
      <c r="I3354" s="49"/>
    </row>
    <row r="3355" ht="22.5" customHeight="1">
      <c r="A3355" s="42"/>
      <c r="B3355" s="47"/>
      <c r="C3355" s="46"/>
      <c r="D3355" s="47"/>
      <c r="E3355" s="46"/>
      <c r="F3355" s="47"/>
      <c r="G3355" s="46"/>
      <c r="H3355" s="50"/>
      <c r="I3355" s="51"/>
    </row>
    <row r="3356" ht="22.5" customHeight="1">
      <c r="A3356" s="42"/>
      <c r="B3356" s="47"/>
      <c r="C3356" s="46"/>
      <c r="D3356" s="47"/>
      <c r="E3356" s="46"/>
      <c r="F3356" s="47"/>
      <c r="G3356" s="46"/>
      <c r="H3356" s="48"/>
      <c r="I3356" s="49"/>
    </row>
    <row r="3357" ht="22.5" customHeight="1">
      <c r="A3357" s="42"/>
      <c r="B3357" s="47"/>
      <c r="C3357" s="46"/>
      <c r="D3357" s="47"/>
      <c r="E3357" s="46"/>
      <c r="F3357" s="47"/>
      <c r="G3357" s="46"/>
      <c r="H3357" s="50"/>
      <c r="I3357" s="51"/>
    </row>
    <row r="3358" ht="22.5" customHeight="1">
      <c r="A3358" s="42"/>
      <c r="B3358" s="47"/>
      <c r="C3358" s="46"/>
      <c r="D3358" s="47"/>
      <c r="E3358" s="46"/>
      <c r="F3358" s="47"/>
      <c r="G3358" s="46"/>
      <c r="H3358" s="48"/>
      <c r="I3358" s="49"/>
    </row>
    <row r="3359" ht="22.5" customHeight="1">
      <c r="A3359" s="42"/>
      <c r="B3359" s="47"/>
      <c r="C3359" s="46"/>
      <c r="D3359" s="47"/>
      <c r="E3359" s="46"/>
      <c r="F3359" s="47"/>
      <c r="G3359" s="46"/>
      <c r="H3359" s="50"/>
      <c r="I3359" s="51"/>
    </row>
    <row r="3360" ht="22.5" customHeight="1">
      <c r="A3360" s="42"/>
      <c r="B3360" s="47"/>
      <c r="C3360" s="46"/>
      <c r="D3360" s="47"/>
      <c r="E3360" s="46"/>
      <c r="F3360" s="47"/>
      <c r="G3360" s="46"/>
      <c r="H3360" s="48"/>
      <c r="I3360" s="49"/>
    </row>
    <row r="3361" ht="22.5" customHeight="1">
      <c r="A3361" s="42"/>
      <c r="B3361" s="47"/>
      <c r="C3361" s="46"/>
      <c r="D3361" s="47"/>
      <c r="E3361" s="46"/>
      <c r="F3361" s="47"/>
      <c r="G3361" s="46"/>
      <c r="H3361" s="50"/>
      <c r="I3361" s="51"/>
    </row>
    <row r="3362" ht="22.5" customHeight="1">
      <c r="A3362" s="42"/>
      <c r="B3362" s="47"/>
      <c r="C3362" s="46"/>
      <c r="D3362" s="47"/>
      <c r="E3362" s="46"/>
      <c r="F3362" s="47"/>
      <c r="G3362" s="46"/>
      <c r="H3362" s="48"/>
      <c r="I3362" s="49"/>
    </row>
    <row r="3363" ht="22.5" customHeight="1">
      <c r="A3363" s="42"/>
      <c r="B3363" s="47"/>
      <c r="C3363" s="46"/>
      <c r="D3363" s="47"/>
      <c r="E3363" s="46"/>
      <c r="F3363" s="47"/>
      <c r="G3363" s="46"/>
      <c r="H3363" s="50"/>
      <c r="I3363" s="51"/>
    </row>
    <row r="3364" ht="22.5" customHeight="1">
      <c r="A3364" s="42"/>
      <c r="B3364" s="47"/>
      <c r="C3364" s="46"/>
      <c r="D3364" s="47"/>
      <c r="E3364" s="46"/>
      <c r="F3364" s="47"/>
      <c r="G3364" s="46"/>
      <c r="H3364" s="48"/>
      <c r="I3364" s="49"/>
    </row>
    <row r="3365" ht="22.5" customHeight="1">
      <c r="A3365" s="42"/>
      <c r="B3365" s="47"/>
      <c r="C3365" s="46"/>
      <c r="D3365" s="47"/>
      <c r="E3365" s="46"/>
      <c r="F3365" s="47"/>
      <c r="G3365" s="46"/>
      <c r="H3365" s="50"/>
      <c r="I3365" s="51"/>
    </row>
    <row r="3366" ht="22.5" customHeight="1">
      <c r="A3366" s="42"/>
      <c r="B3366" s="47"/>
      <c r="C3366" s="46"/>
      <c r="D3366" s="47"/>
      <c r="E3366" s="46"/>
      <c r="F3366" s="47"/>
      <c r="G3366" s="46"/>
      <c r="H3366" s="48"/>
      <c r="I3366" s="49"/>
    </row>
    <row r="3367" ht="22.5" customHeight="1">
      <c r="A3367" s="42"/>
      <c r="B3367" s="47"/>
      <c r="C3367" s="46"/>
      <c r="D3367" s="47"/>
      <c r="E3367" s="46"/>
      <c r="F3367" s="47"/>
      <c r="G3367" s="46"/>
      <c r="H3367" s="50"/>
      <c r="I3367" s="51"/>
    </row>
    <row r="3368" ht="22.5" customHeight="1">
      <c r="A3368" s="42"/>
      <c r="B3368" s="47"/>
      <c r="C3368" s="46"/>
      <c r="D3368" s="47"/>
      <c r="E3368" s="46"/>
      <c r="F3368" s="47"/>
      <c r="G3368" s="46"/>
      <c r="H3368" s="48"/>
      <c r="I3368" s="49"/>
    </row>
    <row r="3369" ht="22.5" customHeight="1">
      <c r="A3369" s="42"/>
      <c r="B3369" s="47"/>
      <c r="C3369" s="46"/>
      <c r="D3369" s="47"/>
      <c r="E3369" s="46"/>
      <c r="F3369" s="47"/>
      <c r="G3369" s="46"/>
      <c r="H3369" s="50"/>
      <c r="I3369" s="51"/>
    </row>
    <row r="3370" ht="22.5" customHeight="1">
      <c r="A3370" s="42"/>
      <c r="B3370" s="47"/>
      <c r="C3370" s="46"/>
      <c r="D3370" s="47"/>
      <c r="E3370" s="46"/>
      <c r="F3370" s="47"/>
      <c r="G3370" s="46"/>
      <c r="H3370" s="48"/>
      <c r="I3370" s="49"/>
    </row>
    <row r="3371" ht="22.5" customHeight="1">
      <c r="A3371" s="42"/>
      <c r="B3371" s="47"/>
      <c r="C3371" s="46"/>
      <c r="D3371" s="47"/>
      <c r="E3371" s="46"/>
      <c r="F3371" s="47"/>
      <c r="G3371" s="46"/>
      <c r="H3371" s="50"/>
      <c r="I3371" s="51"/>
    </row>
    <row r="3372" ht="22.5" customHeight="1">
      <c r="A3372" s="42"/>
      <c r="B3372" s="47"/>
      <c r="C3372" s="46"/>
      <c r="D3372" s="47"/>
      <c r="E3372" s="46"/>
      <c r="F3372" s="47"/>
      <c r="G3372" s="46"/>
      <c r="H3372" s="48"/>
      <c r="I3372" s="49"/>
    </row>
    <row r="3373" ht="22.5" customHeight="1">
      <c r="A3373" s="42"/>
      <c r="B3373" s="47"/>
      <c r="C3373" s="46"/>
      <c r="D3373" s="47"/>
      <c r="E3373" s="46"/>
      <c r="F3373" s="47"/>
      <c r="G3373" s="46"/>
      <c r="H3373" s="50"/>
      <c r="I3373" s="51"/>
    </row>
    <row r="3374" ht="22.5" customHeight="1">
      <c r="A3374" s="42"/>
      <c r="B3374" s="47"/>
      <c r="C3374" s="46"/>
      <c r="D3374" s="47"/>
      <c r="E3374" s="46"/>
      <c r="F3374" s="47"/>
      <c r="G3374" s="46"/>
      <c r="H3374" s="48"/>
      <c r="I3374" s="49"/>
    </row>
    <row r="3375" ht="22.5" customHeight="1">
      <c r="A3375" s="42"/>
      <c r="B3375" s="47"/>
      <c r="C3375" s="46"/>
      <c r="D3375" s="47"/>
      <c r="E3375" s="46"/>
      <c r="F3375" s="47"/>
      <c r="G3375" s="46"/>
      <c r="H3375" s="50"/>
      <c r="I3375" s="51"/>
    </row>
    <row r="3376" ht="22.5" customHeight="1">
      <c r="A3376" s="42"/>
      <c r="B3376" s="47"/>
      <c r="C3376" s="46"/>
      <c r="D3376" s="47"/>
      <c r="E3376" s="46"/>
      <c r="F3376" s="47"/>
      <c r="G3376" s="46"/>
      <c r="H3376" s="48"/>
      <c r="I3376" s="49"/>
    </row>
    <row r="3377" ht="22.5" customHeight="1">
      <c r="A3377" s="42"/>
      <c r="B3377" s="47"/>
      <c r="C3377" s="46"/>
      <c r="D3377" s="47"/>
      <c r="E3377" s="46"/>
      <c r="F3377" s="47"/>
      <c r="G3377" s="46"/>
      <c r="H3377" s="50"/>
      <c r="I3377" s="51"/>
    </row>
    <row r="3378" ht="22.5" customHeight="1">
      <c r="A3378" s="42"/>
      <c r="B3378" s="47"/>
      <c r="C3378" s="46"/>
      <c r="D3378" s="47"/>
      <c r="E3378" s="46"/>
      <c r="F3378" s="47"/>
      <c r="G3378" s="46"/>
      <c r="H3378" s="48"/>
      <c r="I3378" s="49"/>
    </row>
    <row r="3379" ht="22.5" customHeight="1">
      <c r="A3379" s="42"/>
      <c r="B3379" s="47"/>
      <c r="C3379" s="46"/>
      <c r="D3379" s="47"/>
      <c r="E3379" s="46"/>
      <c r="F3379" s="47"/>
      <c r="G3379" s="46"/>
      <c r="H3379" s="50"/>
      <c r="I3379" s="51"/>
    </row>
    <row r="3380" ht="22.5" customHeight="1">
      <c r="A3380" s="42"/>
      <c r="B3380" s="47"/>
      <c r="C3380" s="46"/>
      <c r="D3380" s="47"/>
      <c r="E3380" s="46"/>
      <c r="F3380" s="47"/>
      <c r="G3380" s="46"/>
      <c r="H3380" s="48"/>
      <c r="I3380" s="49"/>
    </row>
    <row r="3381" ht="22.5" customHeight="1">
      <c r="A3381" s="42"/>
      <c r="B3381" s="47"/>
      <c r="C3381" s="46"/>
      <c r="D3381" s="47"/>
      <c r="E3381" s="46"/>
      <c r="F3381" s="47"/>
      <c r="G3381" s="46"/>
      <c r="H3381" s="50"/>
      <c r="I3381" s="51"/>
    </row>
    <row r="3382" ht="22.5" customHeight="1">
      <c r="A3382" s="42"/>
      <c r="B3382" s="47"/>
      <c r="C3382" s="46"/>
      <c r="D3382" s="47"/>
      <c r="E3382" s="46"/>
      <c r="F3382" s="47"/>
      <c r="G3382" s="46"/>
      <c r="H3382" s="48"/>
      <c r="I3382" s="49"/>
    </row>
    <row r="3383" ht="22.5" customHeight="1">
      <c r="A3383" s="42"/>
      <c r="B3383" s="47"/>
      <c r="C3383" s="46"/>
      <c r="D3383" s="47"/>
      <c r="E3383" s="46"/>
      <c r="F3383" s="47"/>
      <c r="G3383" s="46"/>
      <c r="H3383" s="50"/>
      <c r="I3383" s="51"/>
    </row>
    <row r="3384" ht="22.5" customHeight="1">
      <c r="A3384" s="42"/>
      <c r="B3384" s="47"/>
      <c r="C3384" s="46"/>
      <c r="D3384" s="47"/>
      <c r="E3384" s="46"/>
      <c r="F3384" s="47"/>
      <c r="G3384" s="46"/>
      <c r="H3384" s="48"/>
      <c r="I3384" s="49"/>
    </row>
    <row r="3385" ht="22.5" customHeight="1">
      <c r="A3385" s="42"/>
      <c r="B3385" s="47"/>
      <c r="C3385" s="46"/>
      <c r="D3385" s="47"/>
      <c r="E3385" s="46"/>
      <c r="F3385" s="47"/>
      <c r="G3385" s="46"/>
      <c r="H3385" s="50"/>
      <c r="I3385" s="51"/>
    </row>
    <row r="3386" ht="22.5" customHeight="1">
      <c r="A3386" s="42"/>
      <c r="B3386" s="47"/>
      <c r="C3386" s="46"/>
      <c r="D3386" s="47"/>
      <c r="E3386" s="46"/>
      <c r="F3386" s="47"/>
      <c r="G3386" s="46"/>
      <c r="H3386" s="48"/>
      <c r="I3386" s="49"/>
    </row>
    <row r="3387" ht="22.5" customHeight="1">
      <c r="A3387" s="42"/>
      <c r="B3387" s="47"/>
      <c r="C3387" s="46"/>
      <c r="D3387" s="47"/>
      <c r="E3387" s="46"/>
      <c r="F3387" s="47"/>
      <c r="G3387" s="46"/>
      <c r="H3387" s="50"/>
      <c r="I3387" s="51"/>
    </row>
    <row r="3388" ht="22.5" customHeight="1">
      <c r="A3388" s="42"/>
      <c r="B3388" s="47"/>
      <c r="C3388" s="46"/>
      <c r="D3388" s="47"/>
      <c r="E3388" s="46"/>
      <c r="F3388" s="47"/>
      <c r="G3388" s="46"/>
      <c r="H3388" s="48"/>
      <c r="I3388" s="49"/>
    </row>
    <row r="3389" ht="22.5" customHeight="1">
      <c r="A3389" s="42"/>
      <c r="B3389" s="47"/>
      <c r="C3389" s="46"/>
      <c r="D3389" s="47"/>
      <c r="E3389" s="46"/>
      <c r="F3389" s="47"/>
      <c r="G3389" s="46"/>
      <c r="H3389" s="50"/>
      <c r="I3389" s="51"/>
    </row>
    <row r="3390" ht="22.5" customHeight="1">
      <c r="A3390" s="42"/>
      <c r="B3390" s="47"/>
      <c r="C3390" s="46"/>
      <c r="D3390" s="47"/>
      <c r="E3390" s="46"/>
      <c r="F3390" s="47"/>
      <c r="G3390" s="46"/>
      <c r="H3390" s="48"/>
      <c r="I3390" s="49"/>
    </row>
    <row r="3391" ht="22.5" customHeight="1">
      <c r="A3391" s="42"/>
      <c r="B3391" s="47"/>
      <c r="C3391" s="46"/>
      <c r="D3391" s="47"/>
      <c r="E3391" s="46"/>
      <c r="F3391" s="47"/>
      <c r="G3391" s="46"/>
      <c r="H3391" s="50"/>
      <c r="I3391" s="51"/>
    </row>
    <row r="3392" ht="22.5" customHeight="1">
      <c r="A3392" s="42"/>
      <c r="B3392" s="47"/>
      <c r="C3392" s="46"/>
      <c r="D3392" s="47"/>
      <c r="E3392" s="46"/>
      <c r="F3392" s="47"/>
      <c r="G3392" s="46"/>
      <c r="H3392" s="48"/>
      <c r="I3392" s="49"/>
    </row>
    <row r="3393" ht="22.5" customHeight="1">
      <c r="A3393" s="42"/>
      <c r="B3393" s="47"/>
      <c r="C3393" s="46"/>
      <c r="D3393" s="47"/>
      <c r="E3393" s="46"/>
      <c r="F3393" s="47"/>
      <c r="G3393" s="46"/>
      <c r="H3393" s="50"/>
      <c r="I3393" s="51"/>
    </row>
    <row r="3394" ht="22.5" customHeight="1">
      <c r="A3394" s="42"/>
      <c r="B3394" s="47"/>
      <c r="C3394" s="46"/>
      <c r="D3394" s="47"/>
      <c r="E3394" s="46"/>
      <c r="F3394" s="47"/>
      <c r="G3394" s="46"/>
      <c r="H3394" s="48"/>
      <c r="I3394" s="49"/>
    </row>
    <row r="3395" ht="22.5" customHeight="1">
      <c r="A3395" s="42"/>
      <c r="B3395" s="47"/>
      <c r="C3395" s="46"/>
      <c r="D3395" s="47"/>
      <c r="E3395" s="46"/>
      <c r="F3395" s="47"/>
      <c r="G3395" s="46"/>
      <c r="H3395" s="50"/>
      <c r="I3395" s="51"/>
    </row>
    <row r="3396" ht="22.5" customHeight="1">
      <c r="A3396" s="42"/>
      <c r="B3396" s="47"/>
      <c r="C3396" s="46"/>
      <c r="D3396" s="47"/>
      <c r="E3396" s="46"/>
      <c r="F3396" s="47"/>
      <c r="G3396" s="46"/>
      <c r="H3396" s="48"/>
      <c r="I3396" s="49"/>
    </row>
    <row r="3397" ht="22.5" customHeight="1">
      <c r="A3397" s="42"/>
      <c r="B3397" s="47"/>
      <c r="C3397" s="46"/>
      <c r="D3397" s="47"/>
      <c r="E3397" s="46"/>
      <c r="F3397" s="47"/>
      <c r="G3397" s="46"/>
      <c r="H3397" s="50"/>
      <c r="I3397" s="51"/>
    </row>
    <row r="3398" ht="22.5" customHeight="1">
      <c r="A3398" s="42"/>
      <c r="B3398" s="47"/>
      <c r="C3398" s="46"/>
      <c r="D3398" s="47"/>
      <c r="E3398" s="46"/>
      <c r="F3398" s="47"/>
      <c r="G3398" s="46"/>
      <c r="H3398" s="48"/>
      <c r="I3398" s="49"/>
    </row>
    <row r="3399" ht="22.5" customHeight="1">
      <c r="A3399" s="42"/>
      <c r="B3399" s="47"/>
      <c r="C3399" s="46"/>
      <c r="D3399" s="47"/>
      <c r="E3399" s="46"/>
      <c r="F3399" s="47"/>
      <c r="G3399" s="46"/>
      <c r="H3399" s="50"/>
      <c r="I3399" s="51"/>
    </row>
    <row r="3400" ht="22.5" customHeight="1">
      <c r="A3400" s="42"/>
      <c r="B3400" s="47"/>
      <c r="C3400" s="46"/>
      <c r="D3400" s="47"/>
      <c r="E3400" s="46"/>
      <c r="F3400" s="47"/>
      <c r="G3400" s="46"/>
      <c r="H3400" s="48"/>
      <c r="I3400" s="49"/>
    </row>
    <row r="3401" ht="22.5" customHeight="1">
      <c r="A3401" s="42"/>
      <c r="B3401" s="47"/>
      <c r="C3401" s="46"/>
      <c r="D3401" s="47"/>
      <c r="E3401" s="46"/>
      <c r="F3401" s="47"/>
      <c r="G3401" s="46"/>
      <c r="H3401" s="50"/>
      <c r="I3401" s="51"/>
    </row>
    <row r="3402" ht="22.5" customHeight="1">
      <c r="A3402" s="42"/>
      <c r="B3402" s="47"/>
      <c r="C3402" s="46"/>
      <c r="D3402" s="47"/>
      <c r="E3402" s="46"/>
      <c r="F3402" s="47"/>
      <c r="G3402" s="46"/>
      <c r="H3402" s="48"/>
      <c r="I3402" s="49"/>
    </row>
    <row r="3403" ht="22.5" customHeight="1">
      <c r="A3403" s="42"/>
      <c r="B3403" s="47"/>
      <c r="C3403" s="46"/>
      <c r="D3403" s="47"/>
      <c r="E3403" s="46"/>
      <c r="F3403" s="47"/>
      <c r="G3403" s="46"/>
      <c r="H3403" s="50"/>
      <c r="I3403" s="51"/>
    </row>
    <row r="3404" ht="22.5" customHeight="1">
      <c r="A3404" s="42"/>
      <c r="B3404" s="47"/>
      <c r="C3404" s="46"/>
      <c r="D3404" s="47"/>
      <c r="E3404" s="46"/>
      <c r="F3404" s="47"/>
      <c r="G3404" s="46"/>
      <c r="H3404" s="48"/>
      <c r="I3404" s="49"/>
    </row>
    <row r="3405" ht="22.5" customHeight="1">
      <c r="A3405" s="42"/>
      <c r="B3405" s="47"/>
      <c r="C3405" s="46"/>
      <c r="D3405" s="47"/>
      <c r="E3405" s="46"/>
      <c r="F3405" s="47"/>
      <c r="G3405" s="46"/>
      <c r="H3405" s="50"/>
      <c r="I3405" s="51"/>
    </row>
    <row r="3406" ht="22.5" customHeight="1">
      <c r="A3406" s="42"/>
      <c r="B3406" s="47"/>
      <c r="C3406" s="46"/>
      <c r="D3406" s="47"/>
      <c r="E3406" s="46"/>
      <c r="F3406" s="47"/>
      <c r="G3406" s="46"/>
      <c r="H3406" s="48"/>
      <c r="I3406" s="49"/>
    </row>
    <row r="3407" ht="22.5" customHeight="1">
      <c r="A3407" s="42"/>
      <c r="B3407" s="47"/>
      <c r="C3407" s="46"/>
      <c r="D3407" s="47"/>
      <c r="E3407" s="46"/>
      <c r="F3407" s="47"/>
      <c r="G3407" s="46"/>
      <c r="H3407" s="50"/>
      <c r="I3407" s="51"/>
    </row>
    <row r="3408" ht="22.5" customHeight="1">
      <c r="A3408" s="42"/>
      <c r="B3408" s="47"/>
      <c r="C3408" s="46"/>
      <c r="D3408" s="47"/>
      <c r="E3408" s="46"/>
      <c r="F3408" s="47"/>
      <c r="G3408" s="46"/>
      <c r="H3408" s="48"/>
      <c r="I3408" s="49"/>
    </row>
    <row r="3409" ht="22.5" customHeight="1">
      <c r="A3409" s="42"/>
      <c r="B3409" s="47"/>
      <c r="C3409" s="46"/>
      <c r="D3409" s="47"/>
      <c r="E3409" s="46"/>
      <c r="F3409" s="47"/>
      <c r="G3409" s="46"/>
      <c r="H3409" s="50"/>
      <c r="I3409" s="51"/>
    </row>
    <row r="3410" ht="22.5" customHeight="1">
      <c r="A3410" s="42"/>
      <c r="B3410" s="47"/>
      <c r="C3410" s="46"/>
      <c r="D3410" s="47"/>
      <c r="E3410" s="46"/>
      <c r="F3410" s="47"/>
      <c r="G3410" s="46"/>
      <c r="H3410" s="48"/>
      <c r="I3410" s="49"/>
    </row>
    <row r="3411" ht="22.5" customHeight="1">
      <c r="A3411" s="42"/>
      <c r="B3411" s="47"/>
      <c r="C3411" s="46"/>
      <c r="D3411" s="47"/>
      <c r="E3411" s="46"/>
      <c r="F3411" s="47"/>
      <c r="G3411" s="46"/>
      <c r="H3411" s="50"/>
      <c r="I3411" s="51"/>
    </row>
    <row r="3412" ht="22.5" customHeight="1">
      <c r="A3412" s="42"/>
      <c r="B3412" s="47"/>
      <c r="C3412" s="46"/>
      <c r="D3412" s="47"/>
      <c r="E3412" s="46"/>
      <c r="F3412" s="47"/>
      <c r="G3412" s="46"/>
      <c r="H3412" s="48"/>
      <c r="I3412" s="49"/>
    </row>
    <row r="3413" ht="22.5" customHeight="1">
      <c r="A3413" s="42"/>
      <c r="B3413" s="47"/>
      <c r="C3413" s="46"/>
      <c r="D3413" s="47"/>
      <c r="E3413" s="46"/>
      <c r="F3413" s="47"/>
      <c r="G3413" s="46"/>
      <c r="H3413" s="50"/>
      <c r="I3413" s="51"/>
    </row>
    <row r="3414" ht="22.5" customHeight="1">
      <c r="A3414" s="42"/>
      <c r="B3414" s="47"/>
      <c r="C3414" s="46"/>
      <c r="D3414" s="47"/>
      <c r="E3414" s="46"/>
      <c r="F3414" s="47"/>
      <c r="G3414" s="46"/>
      <c r="H3414" s="48"/>
      <c r="I3414" s="49"/>
    </row>
    <row r="3415" ht="22.5" customHeight="1">
      <c r="A3415" s="42"/>
      <c r="B3415" s="47"/>
      <c r="C3415" s="46"/>
      <c r="D3415" s="47"/>
      <c r="E3415" s="46"/>
      <c r="F3415" s="47"/>
      <c r="G3415" s="46"/>
      <c r="H3415" s="50"/>
      <c r="I3415" s="51"/>
    </row>
    <row r="3416" ht="22.5" customHeight="1">
      <c r="A3416" s="42"/>
      <c r="B3416" s="47"/>
      <c r="C3416" s="46"/>
      <c r="D3416" s="47"/>
      <c r="E3416" s="46"/>
      <c r="F3416" s="47"/>
      <c r="G3416" s="46"/>
      <c r="H3416" s="48"/>
      <c r="I3416" s="49"/>
    </row>
    <row r="3417" ht="22.5" customHeight="1">
      <c r="A3417" s="42"/>
      <c r="B3417" s="47"/>
      <c r="C3417" s="46"/>
      <c r="D3417" s="47"/>
      <c r="E3417" s="46"/>
      <c r="F3417" s="47"/>
      <c r="G3417" s="46"/>
      <c r="H3417" s="50"/>
      <c r="I3417" s="51"/>
    </row>
    <row r="3418" ht="22.5" customHeight="1">
      <c r="A3418" s="42"/>
      <c r="B3418" s="47"/>
      <c r="C3418" s="46"/>
      <c r="D3418" s="47"/>
      <c r="E3418" s="46"/>
      <c r="F3418" s="47"/>
      <c r="G3418" s="46"/>
      <c r="H3418" s="48"/>
      <c r="I3418" s="49"/>
    </row>
    <row r="3419" ht="22.5" customHeight="1">
      <c r="A3419" s="42"/>
      <c r="B3419" s="47"/>
      <c r="C3419" s="46"/>
      <c r="D3419" s="47"/>
      <c r="E3419" s="46"/>
      <c r="F3419" s="47"/>
      <c r="G3419" s="46"/>
      <c r="H3419" s="50"/>
      <c r="I3419" s="51"/>
    </row>
    <row r="3420" ht="22.5" customHeight="1">
      <c r="A3420" s="42"/>
      <c r="B3420" s="47"/>
      <c r="C3420" s="46"/>
      <c r="D3420" s="47"/>
      <c r="E3420" s="46"/>
      <c r="F3420" s="47"/>
      <c r="G3420" s="46"/>
      <c r="H3420" s="48"/>
      <c r="I3420" s="49"/>
    </row>
    <row r="3421" ht="22.5" customHeight="1">
      <c r="A3421" s="42"/>
      <c r="B3421" s="47"/>
      <c r="C3421" s="46"/>
      <c r="D3421" s="47"/>
      <c r="E3421" s="46"/>
      <c r="F3421" s="47"/>
      <c r="G3421" s="46"/>
      <c r="H3421" s="50"/>
      <c r="I3421" s="51"/>
    </row>
    <row r="3422" ht="22.5" customHeight="1">
      <c r="A3422" s="42"/>
      <c r="B3422" s="47"/>
      <c r="C3422" s="46"/>
      <c r="D3422" s="47"/>
      <c r="E3422" s="46"/>
      <c r="F3422" s="47"/>
      <c r="G3422" s="46"/>
      <c r="H3422" s="48"/>
      <c r="I3422" s="49"/>
    </row>
    <row r="3423" ht="22.5" customHeight="1">
      <c r="A3423" s="42"/>
      <c r="B3423" s="47"/>
      <c r="C3423" s="46"/>
      <c r="D3423" s="47"/>
      <c r="E3423" s="46"/>
      <c r="F3423" s="47"/>
      <c r="G3423" s="46"/>
      <c r="H3423" s="50"/>
      <c r="I3423" s="51"/>
    </row>
    <row r="3424" ht="22.5" customHeight="1">
      <c r="A3424" s="42"/>
      <c r="B3424" s="47"/>
      <c r="C3424" s="46"/>
      <c r="D3424" s="47"/>
      <c r="E3424" s="46"/>
      <c r="F3424" s="47"/>
      <c r="G3424" s="46"/>
      <c r="H3424" s="48"/>
      <c r="I3424" s="49"/>
    </row>
    <row r="3425" ht="22.5" customHeight="1">
      <c r="A3425" s="42"/>
      <c r="B3425" s="47"/>
      <c r="C3425" s="46"/>
      <c r="D3425" s="47"/>
      <c r="E3425" s="46"/>
      <c r="F3425" s="47"/>
      <c r="G3425" s="46"/>
      <c r="H3425" s="50"/>
      <c r="I3425" s="51"/>
    </row>
    <row r="3426" ht="22.5" customHeight="1">
      <c r="A3426" s="42"/>
      <c r="B3426" s="47"/>
      <c r="C3426" s="46"/>
      <c r="D3426" s="47"/>
      <c r="E3426" s="46"/>
      <c r="F3426" s="47"/>
      <c r="G3426" s="46"/>
      <c r="H3426" s="48"/>
      <c r="I3426" s="49"/>
    </row>
    <row r="3427" ht="22.5" customHeight="1">
      <c r="A3427" s="42"/>
      <c r="B3427" s="47"/>
      <c r="C3427" s="46"/>
      <c r="D3427" s="47"/>
      <c r="E3427" s="46"/>
      <c r="F3427" s="47"/>
      <c r="G3427" s="46"/>
      <c r="H3427" s="50"/>
      <c r="I3427" s="51"/>
    </row>
    <row r="3428" ht="22.5" customHeight="1">
      <c r="A3428" s="42"/>
      <c r="B3428" s="47"/>
      <c r="C3428" s="46"/>
      <c r="D3428" s="47"/>
      <c r="E3428" s="46"/>
      <c r="F3428" s="47"/>
      <c r="G3428" s="46"/>
      <c r="H3428" s="48"/>
      <c r="I3428" s="49"/>
    </row>
    <row r="3429" ht="22.5" customHeight="1">
      <c r="A3429" s="42"/>
      <c r="B3429" s="47"/>
      <c r="C3429" s="46"/>
      <c r="D3429" s="47"/>
      <c r="E3429" s="46"/>
      <c r="F3429" s="47"/>
      <c r="G3429" s="46"/>
      <c r="H3429" s="50"/>
      <c r="I3429" s="51"/>
    </row>
    <row r="3430" ht="22.5" customHeight="1">
      <c r="A3430" s="42"/>
      <c r="B3430" s="47"/>
      <c r="C3430" s="46"/>
      <c r="D3430" s="47"/>
      <c r="E3430" s="46"/>
      <c r="F3430" s="47"/>
      <c r="G3430" s="46"/>
      <c r="H3430" s="48"/>
      <c r="I3430" s="49"/>
    </row>
    <row r="3431" ht="22.5" customHeight="1">
      <c r="A3431" s="42"/>
      <c r="B3431" s="47"/>
      <c r="C3431" s="46"/>
      <c r="D3431" s="47"/>
      <c r="E3431" s="46"/>
      <c r="F3431" s="47"/>
      <c r="G3431" s="46"/>
      <c r="H3431" s="50"/>
      <c r="I3431" s="51"/>
    </row>
    <row r="3432" ht="22.5" customHeight="1">
      <c r="A3432" s="42"/>
      <c r="B3432" s="47"/>
      <c r="C3432" s="46"/>
      <c r="D3432" s="47"/>
      <c r="E3432" s="46"/>
      <c r="F3432" s="47"/>
      <c r="G3432" s="46"/>
      <c r="H3432" s="48"/>
      <c r="I3432" s="49"/>
    </row>
    <row r="3433" ht="22.5" customHeight="1">
      <c r="A3433" s="42"/>
      <c r="B3433" s="47"/>
      <c r="C3433" s="46"/>
      <c r="D3433" s="47"/>
      <c r="E3433" s="46"/>
      <c r="F3433" s="47"/>
      <c r="G3433" s="46"/>
      <c r="H3433" s="50"/>
      <c r="I3433" s="51"/>
    </row>
    <row r="3434" ht="22.5" customHeight="1">
      <c r="A3434" s="42"/>
      <c r="B3434" s="47"/>
      <c r="C3434" s="46"/>
      <c r="D3434" s="47"/>
      <c r="E3434" s="46"/>
      <c r="F3434" s="47"/>
      <c r="G3434" s="46"/>
      <c r="H3434" s="48"/>
      <c r="I3434" s="49"/>
    </row>
    <row r="3435" ht="22.5" customHeight="1">
      <c r="A3435" s="42"/>
      <c r="B3435" s="47"/>
      <c r="C3435" s="46"/>
      <c r="D3435" s="47"/>
      <c r="E3435" s="46"/>
      <c r="F3435" s="47"/>
      <c r="G3435" s="46"/>
      <c r="H3435" s="50"/>
      <c r="I3435" s="51"/>
    </row>
    <row r="3436" ht="22.5" customHeight="1">
      <c r="A3436" s="42"/>
      <c r="B3436" s="47"/>
      <c r="C3436" s="46"/>
      <c r="D3436" s="47"/>
      <c r="E3436" s="46"/>
      <c r="F3436" s="47"/>
      <c r="G3436" s="46"/>
      <c r="H3436" s="48"/>
      <c r="I3436" s="49"/>
    </row>
    <row r="3437" ht="22.5" customHeight="1">
      <c r="A3437" s="42"/>
      <c r="B3437" s="47"/>
      <c r="C3437" s="46"/>
      <c r="D3437" s="47"/>
      <c r="E3437" s="46"/>
      <c r="F3437" s="47"/>
      <c r="G3437" s="46"/>
      <c r="H3437" s="50"/>
      <c r="I3437" s="51"/>
    </row>
    <row r="3438" ht="22.5" customHeight="1">
      <c r="A3438" s="42"/>
      <c r="B3438" s="47"/>
      <c r="C3438" s="46"/>
      <c r="D3438" s="47"/>
      <c r="E3438" s="46"/>
      <c r="F3438" s="47"/>
      <c r="G3438" s="46"/>
      <c r="H3438" s="48"/>
      <c r="I3438" s="49"/>
    </row>
    <row r="3439" ht="22.5" customHeight="1">
      <c r="A3439" s="42"/>
      <c r="B3439" s="47"/>
      <c r="C3439" s="46"/>
      <c r="D3439" s="47"/>
      <c r="E3439" s="46"/>
      <c r="F3439" s="47"/>
      <c r="G3439" s="46"/>
      <c r="H3439" s="50"/>
      <c r="I3439" s="51"/>
    </row>
    <row r="3440" ht="22.5" customHeight="1">
      <c r="A3440" s="42"/>
      <c r="B3440" s="47"/>
      <c r="C3440" s="46"/>
      <c r="D3440" s="47"/>
      <c r="E3440" s="46"/>
      <c r="F3440" s="47"/>
      <c r="G3440" s="46"/>
      <c r="H3440" s="48"/>
      <c r="I3440" s="49"/>
    </row>
    <row r="3441" ht="22.5" customHeight="1">
      <c r="A3441" s="42"/>
      <c r="B3441" s="47"/>
      <c r="C3441" s="46"/>
      <c r="D3441" s="47"/>
      <c r="E3441" s="46"/>
      <c r="F3441" s="47"/>
      <c r="G3441" s="46"/>
      <c r="H3441" s="50"/>
      <c r="I3441" s="51"/>
    </row>
    <row r="3442" ht="22.5" customHeight="1">
      <c r="A3442" s="42"/>
      <c r="B3442" s="47"/>
      <c r="C3442" s="46"/>
      <c r="D3442" s="47"/>
      <c r="E3442" s="46"/>
      <c r="F3442" s="47"/>
      <c r="G3442" s="46"/>
      <c r="H3442" s="48"/>
      <c r="I3442" s="49"/>
    </row>
    <row r="3443" ht="22.5" customHeight="1">
      <c r="A3443" s="42"/>
      <c r="B3443" s="47"/>
      <c r="C3443" s="46"/>
      <c r="D3443" s="47"/>
      <c r="E3443" s="46"/>
      <c r="F3443" s="47"/>
      <c r="G3443" s="46"/>
      <c r="H3443" s="50"/>
      <c r="I3443" s="51"/>
    </row>
    <row r="3444" ht="22.5" customHeight="1">
      <c r="A3444" s="42"/>
      <c r="B3444" s="47"/>
      <c r="C3444" s="46"/>
      <c r="D3444" s="47"/>
      <c r="E3444" s="46"/>
      <c r="F3444" s="47"/>
      <c r="G3444" s="46"/>
      <c r="H3444" s="48"/>
      <c r="I3444" s="49"/>
    </row>
    <row r="3445" ht="22.5" customHeight="1">
      <c r="A3445" s="42"/>
      <c r="B3445" s="47"/>
      <c r="C3445" s="46"/>
      <c r="D3445" s="47"/>
      <c r="E3445" s="46"/>
      <c r="F3445" s="47"/>
      <c r="G3445" s="46"/>
      <c r="H3445" s="50"/>
      <c r="I3445" s="51"/>
    </row>
    <row r="3446" ht="22.5" customHeight="1">
      <c r="A3446" s="42"/>
      <c r="B3446" s="47"/>
      <c r="C3446" s="46"/>
      <c r="D3446" s="47"/>
      <c r="E3446" s="46"/>
      <c r="F3446" s="47"/>
      <c r="G3446" s="46"/>
      <c r="H3446" s="48"/>
      <c r="I3446" s="49"/>
    </row>
    <row r="3447" ht="22.5" customHeight="1">
      <c r="A3447" s="42"/>
      <c r="B3447" s="47"/>
      <c r="C3447" s="46"/>
      <c r="D3447" s="47"/>
      <c r="E3447" s="46"/>
      <c r="F3447" s="47"/>
      <c r="G3447" s="46"/>
      <c r="H3447" s="50"/>
      <c r="I3447" s="51"/>
    </row>
    <row r="3448" ht="22.5" customHeight="1">
      <c r="A3448" s="42"/>
      <c r="B3448" s="47"/>
      <c r="C3448" s="46"/>
      <c r="D3448" s="47"/>
      <c r="E3448" s="46"/>
      <c r="F3448" s="47"/>
      <c r="G3448" s="46"/>
      <c r="H3448" s="48"/>
      <c r="I3448" s="49"/>
    </row>
    <row r="3449" ht="22.5" customHeight="1">
      <c r="A3449" s="42"/>
      <c r="B3449" s="47"/>
      <c r="C3449" s="46"/>
      <c r="D3449" s="47"/>
      <c r="E3449" s="46"/>
      <c r="F3449" s="47"/>
      <c r="G3449" s="46"/>
      <c r="H3449" s="50"/>
      <c r="I3449" s="51"/>
    </row>
    <row r="3450" ht="22.5" customHeight="1">
      <c r="A3450" s="42"/>
      <c r="B3450" s="47"/>
      <c r="C3450" s="46"/>
      <c r="D3450" s="47"/>
      <c r="E3450" s="46"/>
      <c r="F3450" s="47"/>
      <c r="G3450" s="46"/>
      <c r="H3450" s="48"/>
      <c r="I3450" s="49"/>
    </row>
    <row r="3451" ht="22.5" customHeight="1">
      <c r="A3451" s="42"/>
      <c r="B3451" s="47"/>
      <c r="C3451" s="46"/>
      <c r="D3451" s="47"/>
      <c r="E3451" s="46"/>
      <c r="F3451" s="47"/>
      <c r="G3451" s="46"/>
      <c r="H3451" s="50"/>
      <c r="I3451" s="51"/>
    </row>
    <row r="3452" ht="22.5" customHeight="1">
      <c r="A3452" s="42"/>
      <c r="B3452" s="47"/>
      <c r="C3452" s="46"/>
      <c r="D3452" s="47"/>
      <c r="E3452" s="46"/>
      <c r="F3452" s="47"/>
      <c r="G3452" s="46"/>
      <c r="H3452" s="48"/>
      <c r="I3452" s="49"/>
    </row>
    <row r="3453" ht="22.5" customHeight="1">
      <c r="A3453" s="42"/>
      <c r="B3453" s="47"/>
      <c r="C3453" s="46"/>
      <c r="D3453" s="47"/>
      <c r="E3453" s="46"/>
      <c r="F3453" s="47"/>
      <c r="G3453" s="46"/>
      <c r="H3453" s="50"/>
      <c r="I3453" s="51"/>
    </row>
    <row r="3454" ht="22.5" customHeight="1">
      <c r="A3454" s="42"/>
      <c r="B3454" s="47"/>
      <c r="C3454" s="46"/>
      <c r="D3454" s="47"/>
      <c r="E3454" s="46"/>
      <c r="F3454" s="47"/>
      <c r="G3454" s="46"/>
      <c r="H3454" s="48"/>
      <c r="I3454" s="49"/>
    </row>
    <row r="3455" ht="22.5" customHeight="1">
      <c r="A3455" s="42"/>
      <c r="B3455" s="47"/>
      <c r="C3455" s="46"/>
      <c r="D3455" s="47"/>
      <c r="E3455" s="46"/>
      <c r="F3455" s="47"/>
      <c r="G3455" s="46"/>
      <c r="H3455" s="50"/>
      <c r="I3455" s="51"/>
    </row>
    <row r="3456" ht="22.5" customHeight="1">
      <c r="A3456" s="42"/>
      <c r="B3456" s="47"/>
      <c r="C3456" s="46"/>
      <c r="D3456" s="47"/>
      <c r="E3456" s="46"/>
      <c r="F3456" s="47"/>
      <c r="G3456" s="46"/>
      <c r="H3456" s="48"/>
      <c r="I3456" s="49"/>
    </row>
    <row r="3457" ht="22.5" customHeight="1">
      <c r="A3457" s="42"/>
      <c r="B3457" s="47"/>
      <c r="C3457" s="46"/>
      <c r="D3457" s="47"/>
      <c r="E3457" s="46"/>
      <c r="F3457" s="47"/>
      <c r="G3457" s="46"/>
      <c r="H3457" s="50"/>
      <c r="I3457" s="51"/>
    </row>
    <row r="3458" ht="22.5" customHeight="1">
      <c r="A3458" s="42"/>
      <c r="B3458" s="47"/>
      <c r="C3458" s="46"/>
      <c r="D3458" s="47"/>
      <c r="E3458" s="46"/>
      <c r="F3458" s="47"/>
      <c r="G3458" s="46"/>
      <c r="H3458" s="48"/>
      <c r="I3458" s="49"/>
    </row>
    <row r="3459" ht="22.5" customHeight="1">
      <c r="A3459" s="42"/>
      <c r="B3459" s="47"/>
      <c r="C3459" s="46"/>
      <c r="D3459" s="47"/>
      <c r="E3459" s="46"/>
      <c r="F3459" s="47"/>
      <c r="G3459" s="46"/>
      <c r="H3459" s="50"/>
      <c r="I3459" s="51"/>
    </row>
    <row r="3460" ht="22.5" customHeight="1">
      <c r="A3460" s="42"/>
      <c r="B3460" s="47"/>
      <c r="C3460" s="46"/>
      <c r="D3460" s="47"/>
      <c r="E3460" s="46"/>
      <c r="F3460" s="47"/>
      <c r="G3460" s="46"/>
      <c r="H3460" s="48"/>
      <c r="I3460" s="49"/>
    </row>
    <row r="3461" ht="22.5" customHeight="1">
      <c r="A3461" s="42"/>
      <c r="B3461" s="47"/>
      <c r="C3461" s="46"/>
      <c r="D3461" s="47"/>
      <c r="E3461" s="46"/>
      <c r="F3461" s="47"/>
      <c r="G3461" s="46"/>
      <c r="H3461" s="50"/>
      <c r="I3461" s="51"/>
    </row>
    <row r="3462" ht="22.5" customHeight="1">
      <c r="A3462" s="42"/>
      <c r="B3462" s="47"/>
      <c r="C3462" s="46"/>
      <c r="D3462" s="47"/>
      <c r="E3462" s="46"/>
      <c r="F3462" s="47"/>
      <c r="G3462" s="46"/>
      <c r="H3462" s="48"/>
      <c r="I3462" s="49"/>
    </row>
    <row r="3463" ht="22.5" customHeight="1">
      <c r="A3463" s="42"/>
      <c r="B3463" s="47"/>
      <c r="C3463" s="46"/>
      <c r="D3463" s="47"/>
      <c r="E3463" s="46"/>
      <c r="F3463" s="47"/>
      <c r="G3463" s="46"/>
      <c r="H3463" s="50"/>
      <c r="I3463" s="51"/>
    </row>
    <row r="3464" ht="22.5" customHeight="1">
      <c r="A3464" s="42"/>
      <c r="B3464" s="47"/>
      <c r="C3464" s="46"/>
      <c r="D3464" s="47"/>
      <c r="E3464" s="46"/>
      <c r="F3464" s="47"/>
      <c r="G3464" s="46"/>
      <c r="H3464" s="48"/>
      <c r="I3464" s="49"/>
    </row>
    <row r="3465" ht="22.5" customHeight="1">
      <c r="A3465" s="42"/>
      <c r="B3465" s="47"/>
      <c r="C3465" s="46"/>
      <c r="D3465" s="47"/>
      <c r="E3465" s="46"/>
      <c r="F3465" s="47"/>
      <c r="G3465" s="46"/>
      <c r="H3465" s="50"/>
      <c r="I3465" s="51"/>
    </row>
    <row r="3466" ht="22.5" customHeight="1">
      <c r="A3466" s="42"/>
      <c r="B3466" s="47"/>
      <c r="C3466" s="46"/>
      <c r="D3466" s="47"/>
      <c r="E3466" s="46"/>
      <c r="F3466" s="47"/>
      <c r="G3466" s="46"/>
      <c r="H3466" s="48"/>
      <c r="I3466" s="49"/>
    </row>
    <row r="3467" ht="22.5" customHeight="1">
      <c r="A3467" s="42"/>
      <c r="B3467" s="47"/>
      <c r="C3467" s="46"/>
      <c r="D3467" s="47"/>
      <c r="E3467" s="46"/>
      <c r="F3467" s="47"/>
      <c r="G3467" s="46"/>
      <c r="H3467" s="50"/>
      <c r="I3467" s="51"/>
    </row>
    <row r="3468" ht="22.5" customHeight="1">
      <c r="A3468" s="42"/>
      <c r="B3468" s="47"/>
      <c r="C3468" s="46"/>
      <c r="D3468" s="47"/>
      <c r="E3468" s="46"/>
      <c r="F3468" s="47"/>
      <c r="G3468" s="46"/>
      <c r="H3468" s="48"/>
      <c r="I3468" s="49"/>
    </row>
    <row r="3469" ht="22.5" customHeight="1">
      <c r="A3469" s="42"/>
      <c r="B3469" s="47"/>
      <c r="C3469" s="46"/>
      <c r="D3469" s="47"/>
      <c r="E3469" s="46"/>
      <c r="F3469" s="47"/>
      <c r="G3469" s="46"/>
      <c r="H3469" s="50"/>
      <c r="I3469" s="51"/>
    </row>
    <row r="3470" ht="22.5" customHeight="1">
      <c r="A3470" s="42"/>
      <c r="B3470" s="47"/>
      <c r="C3470" s="46"/>
      <c r="D3470" s="47"/>
      <c r="E3470" s="46"/>
      <c r="F3470" s="47"/>
      <c r="G3470" s="46"/>
      <c r="H3470" s="48"/>
      <c r="I3470" s="49"/>
    </row>
    <row r="3471" ht="22.5" customHeight="1">
      <c r="A3471" s="42"/>
      <c r="B3471" s="47"/>
      <c r="C3471" s="46"/>
      <c r="D3471" s="47"/>
      <c r="E3471" s="46"/>
      <c r="F3471" s="47"/>
      <c r="G3471" s="46"/>
      <c r="H3471" s="50"/>
      <c r="I3471" s="51"/>
    </row>
    <row r="3472" ht="22.5" customHeight="1">
      <c r="A3472" s="42"/>
      <c r="B3472" s="47"/>
      <c r="C3472" s="46"/>
      <c r="D3472" s="47"/>
      <c r="E3472" s="46"/>
      <c r="F3472" s="47"/>
      <c r="G3472" s="46"/>
      <c r="H3472" s="48"/>
      <c r="I3472" s="49"/>
    </row>
    <row r="3473" ht="22.5" customHeight="1">
      <c r="A3473" s="42"/>
      <c r="B3473" s="47"/>
      <c r="C3473" s="46"/>
      <c r="D3473" s="47"/>
      <c r="E3473" s="46"/>
      <c r="F3473" s="47"/>
      <c r="G3473" s="46"/>
      <c r="H3473" s="50"/>
      <c r="I3473" s="51"/>
    </row>
    <row r="3474" ht="22.5" customHeight="1">
      <c r="A3474" s="42"/>
      <c r="B3474" s="47"/>
      <c r="C3474" s="46"/>
      <c r="D3474" s="47"/>
      <c r="E3474" s="46"/>
      <c r="F3474" s="47"/>
      <c r="G3474" s="46"/>
      <c r="H3474" s="48"/>
      <c r="I3474" s="49"/>
    </row>
    <row r="3475" ht="22.5" customHeight="1">
      <c r="A3475" s="42"/>
      <c r="B3475" s="47"/>
      <c r="C3475" s="46"/>
      <c r="D3475" s="47"/>
      <c r="E3475" s="46"/>
      <c r="F3475" s="47"/>
      <c r="G3475" s="46"/>
      <c r="H3475" s="50"/>
      <c r="I3475" s="51"/>
    </row>
    <row r="3476" ht="22.5" customHeight="1">
      <c r="A3476" s="42"/>
      <c r="B3476" s="47"/>
      <c r="C3476" s="46"/>
      <c r="D3476" s="47"/>
      <c r="E3476" s="46"/>
      <c r="F3476" s="47"/>
      <c r="G3476" s="46"/>
      <c r="H3476" s="48"/>
      <c r="I3476" s="49"/>
    </row>
    <row r="3477" ht="22.5" customHeight="1">
      <c r="A3477" s="42"/>
      <c r="B3477" s="47"/>
      <c r="C3477" s="46"/>
      <c r="D3477" s="47"/>
      <c r="E3477" s="46"/>
      <c r="F3477" s="47"/>
      <c r="G3477" s="46"/>
      <c r="H3477" s="50"/>
      <c r="I3477" s="51"/>
    </row>
    <row r="3478" ht="22.5" customHeight="1">
      <c r="A3478" s="42"/>
      <c r="B3478" s="47"/>
      <c r="C3478" s="46"/>
      <c r="D3478" s="47"/>
      <c r="E3478" s="46"/>
      <c r="F3478" s="47"/>
      <c r="G3478" s="46"/>
      <c r="H3478" s="48"/>
      <c r="I3478" s="49"/>
    </row>
    <row r="3479" ht="22.5" customHeight="1">
      <c r="A3479" s="42"/>
      <c r="B3479" s="47"/>
      <c r="C3479" s="46"/>
      <c r="D3479" s="47"/>
      <c r="E3479" s="46"/>
      <c r="F3479" s="47"/>
      <c r="G3479" s="46"/>
      <c r="H3479" s="50"/>
      <c r="I3479" s="51"/>
    </row>
    <row r="3480" ht="22.5" customHeight="1">
      <c r="A3480" s="42"/>
      <c r="B3480" s="47"/>
      <c r="C3480" s="46"/>
      <c r="D3480" s="47"/>
      <c r="E3480" s="46"/>
      <c r="F3480" s="47"/>
      <c r="G3480" s="46"/>
      <c r="H3480" s="48"/>
      <c r="I3480" s="49"/>
    </row>
    <row r="3481" ht="22.5" customHeight="1">
      <c r="A3481" s="42"/>
      <c r="B3481" s="47"/>
      <c r="C3481" s="46"/>
      <c r="D3481" s="47"/>
      <c r="E3481" s="46"/>
      <c r="F3481" s="47"/>
      <c r="G3481" s="46"/>
      <c r="H3481" s="50"/>
      <c r="I3481" s="51"/>
    </row>
    <row r="3482" ht="22.5" customHeight="1">
      <c r="A3482" s="42"/>
      <c r="B3482" s="47"/>
      <c r="C3482" s="46"/>
      <c r="D3482" s="47"/>
      <c r="E3482" s="46"/>
      <c r="F3482" s="47"/>
      <c r="G3482" s="46"/>
      <c r="H3482" s="48"/>
      <c r="I3482" s="49"/>
    </row>
    <row r="3483" ht="22.5" customHeight="1">
      <c r="A3483" s="42"/>
      <c r="B3483" s="47"/>
      <c r="C3483" s="46"/>
      <c r="D3483" s="47"/>
      <c r="E3483" s="46"/>
      <c r="F3483" s="47"/>
      <c r="G3483" s="46"/>
      <c r="H3483" s="50"/>
      <c r="I3483" s="51"/>
    </row>
    <row r="3484" ht="22.5" customHeight="1">
      <c r="A3484" s="42"/>
      <c r="B3484" s="47"/>
      <c r="C3484" s="46"/>
      <c r="D3484" s="47"/>
      <c r="E3484" s="46"/>
      <c r="F3484" s="47"/>
      <c r="G3484" s="46"/>
      <c r="H3484" s="48"/>
      <c r="I3484" s="49"/>
    </row>
    <row r="3485" ht="22.5" customHeight="1">
      <c r="A3485" s="42"/>
      <c r="B3485" s="47"/>
      <c r="C3485" s="46"/>
      <c r="D3485" s="47"/>
      <c r="E3485" s="46"/>
      <c r="F3485" s="47"/>
      <c r="G3485" s="46"/>
      <c r="H3485" s="50"/>
      <c r="I3485" s="51"/>
    </row>
    <row r="3486" ht="22.5" customHeight="1">
      <c r="A3486" s="42"/>
      <c r="B3486" s="47"/>
      <c r="C3486" s="46"/>
      <c r="D3486" s="47"/>
      <c r="E3486" s="46"/>
      <c r="F3486" s="47"/>
      <c r="G3486" s="46"/>
      <c r="H3486" s="48"/>
      <c r="I3486" s="49"/>
    </row>
    <row r="3487" ht="22.5" customHeight="1">
      <c r="A3487" s="42"/>
      <c r="B3487" s="47"/>
      <c r="C3487" s="46"/>
      <c r="D3487" s="47"/>
      <c r="E3487" s="46"/>
      <c r="F3487" s="47"/>
      <c r="G3487" s="46"/>
      <c r="H3487" s="50"/>
      <c r="I3487" s="51"/>
    </row>
    <row r="3488" ht="22.5" customHeight="1">
      <c r="A3488" s="42"/>
      <c r="B3488" s="47"/>
      <c r="C3488" s="46"/>
      <c r="D3488" s="47"/>
      <c r="E3488" s="46"/>
      <c r="F3488" s="47"/>
      <c r="G3488" s="46"/>
      <c r="H3488" s="48"/>
      <c r="I3488" s="49"/>
    </row>
    <row r="3489" ht="22.5" customHeight="1">
      <c r="A3489" s="42"/>
      <c r="B3489" s="47"/>
      <c r="C3489" s="46"/>
      <c r="D3489" s="47"/>
      <c r="E3489" s="46"/>
      <c r="F3489" s="47"/>
      <c r="G3489" s="46"/>
      <c r="H3489" s="50"/>
      <c r="I3489" s="51"/>
    </row>
    <row r="3490" ht="22.5" customHeight="1">
      <c r="A3490" s="42"/>
      <c r="B3490" s="47"/>
      <c r="C3490" s="46"/>
      <c r="D3490" s="47"/>
      <c r="E3490" s="46"/>
      <c r="F3490" s="47"/>
      <c r="G3490" s="46"/>
      <c r="H3490" s="48"/>
      <c r="I3490" s="49"/>
    </row>
    <row r="3491" ht="22.5" customHeight="1">
      <c r="A3491" s="42"/>
      <c r="B3491" s="47"/>
      <c r="C3491" s="46"/>
      <c r="D3491" s="47"/>
      <c r="E3491" s="46"/>
      <c r="F3491" s="47"/>
      <c r="G3491" s="46"/>
      <c r="H3491" s="50"/>
      <c r="I3491" s="51"/>
    </row>
    <row r="3492" ht="22.5" customHeight="1">
      <c r="A3492" s="42"/>
      <c r="B3492" s="47"/>
      <c r="C3492" s="46"/>
      <c r="D3492" s="47"/>
      <c r="E3492" s="46"/>
      <c r="F3492" s="47"/>
      <c r="G3492" s="46"/>
      <c r="H3492" s="48"/>
      <c r="I3492" s="49"/>
    </row>
    <row r="3493" ht="22.5" customHeight="1">
      <c r="A3493" s="42"/>
      <c r="B3493" s="47"/>
      <c r="C3493" s="46"/>
      <c r="D3493" s="47"/>
      <c r="E3493" s="46"/>
      <c r="F3493" s="47"/>
      <c r="G3493" s="46"/>
      <c r="H3493" s="50"/>
      <c r="I3493" s="51"/>
    </row>
    <row r="3494" ht="22.5" customHeight="1">
      <c r="A3494" s="42"/>
      <c r="B3494" s="47"/>
      <c r="C3494" s="46"/>
      <c r="D3494" s="47"/>
      <c r="E3494" s="46"/>
      <c r="F3494" s="47"/>
      <c r="G3494" s="46"/>
      <c r="H3494" s="48"/>
      <c r="I3494" s="49"/>
    </row>
    <row r="3495" ht="22.5" customHeight="1">
      <c r="A3495" s="42"/>
      <c r="B3495" s="47"/>
      <c r="C3495" s="46"/>
      <c r="D3495" s="47"/>
      <c r="E3495" s="46"/>
      <c r="F3495" s="47"/>
      <c r="G3495" s="46"/>
      <c r="H3495" s="50"/>
      <c r="I3495" s="51"/>
    </row>
    <row r="3496" ht="22.5" customHeight="1">
      <c r="A3496" s="42"/>
      <c r="B3496" s="47"/>
      <c r="C3496" s="46"/>
      <c r="D3496" s="47"/>
      <c r="E3496" s="46"/>
      <c r="F3496" s="47"/>
      <c r="G3496" s="46"/>
      <c r="H3496" s="48"/>
      <c r="I3496" s="49"/>
    </row>
    <row r="3497" ht="22.5" customHeight="1">
      <c r="A3497" s="42"/>
      <c r="B3497" s="47"/>
      <c r="C3497" s="46"/>
      <c r="D3497" s="47"/>
      <c r="E3497" s="46"/>
      <c r="F3497" s="47"/>
      <c r="G3497" s="46"/>
      <c r="H3497" s="50"/>
      <c r="I3497" s="51"/>
    </row>
    <row r="3498" ht="22.5" customHeight="1">
      <c r="A3498" s="42"/>
      <c r="B3498" s="47"/>
      <c r="C3498" s="46"/>
      <c r="D3498" s="47"/>
      <c r="E3498" s="46"/>
      <c r="F3498" s="47"/>
      <c r="G3498" s="46"/>
      <c r="H3498" s="48"/>
      <c r="I3498" s="49"/>
    </row>
    <row r="3499" ht="22.5" customHeight="1">
      <c r="A3499" s="42"/>
      <c r="B3499" s="47"/>
      <c r="C3499" s="46"/>
      <c r="D3499" s="47"/>
      <c r="E3499" s="46"/>
      <c r="F3499" s="47"/>
      <c r="G3499" s="46"/>
      <c r="H3499" s="50"/>
      <c r="I3499" s="51"/>
    </row>
    <row r="3500" ht="22.5" customHeight="1">
      <c r="A3500" s="42"/>
      <c r="B3500" s="47"/>
      <c r="C3500" s="46"/>
      <c r="D3500" s="47"/>
      <c r="E3500" s="46"/>
      <c r="F3500" s="47"/>
      <c r="G3500" s="46"/>
      <c r="H3500" s="48"/>
      <c r="I3500" s="49"/>
    </row>
    <row r="3501" ht="22.5" customHeight="1">
      <c r="A3501" s="42"/>
      <c r="B3501" s="47"/>
      <c r="C3501" s="46"/>
      <c r="D3501" s="47"/>
      <c r="E3501" s="46"/>
      <c r="F3501" s="47"/>
      <c r="G3501" s="46"/>
      <c r="H3501" s="50"/>
      <c r="I3501" s="51"/>
    </row>
    <row r="3502" ht="22.5" customHeight="1">
      <c r="A3502" s="42"/>
      <c r="B3502" s="47"/>
      <c r="C3502" s="46"/>
      <c r="D3502" s="47"/>
      <c r="E3502" s="46"/>
      <c r="F3502" s="47"/>
      <c r="G3502" s="46"/>
      <c r="H3502" s="48"/>
      <c r="I3502" s="49"/>
    </row>
    <row r="3503" ht="22.5" customHeight="1">
      <c r="A3503" s="42"/>
      <c r="B3503" s="47"/>
      <c r="C3503" s="46"/>
      <c r="D3503" s="47"/>
      <c r="E3503" s="46"/>
      <c r="F3503" s="47"/>
      <c r="G3503" s="46"/>
      <c r="H3503" s="50"/>
      <c r="I3503" s="51"/>
    </row>
    <row r="3504" ht="22.5" customHeight="1">
      <c r="A3504" s="42"/>
      <c r="B3504" s="47"/>
      <c r="C3504" s="46"/>
      <c r="D3504" s="47"/>
      <c r="E3504" s="46"/>
      <c r="F3504" s="47"/>
      <c r="G3504" s="46"/>
      <c r="H3504" s="48"/>
      <c r="I3504" s="49"/>
    </row>
    <row r="3505" ht="22.5" customHeight="1">
      <c r="A3505" s="42"/>
      <c r="B3505" s="47"/>
      <c r="C3505" s="46"/>
      <c r="D3505" s="47"/>
      <c r="E3505" s="46"/>
      <c r="F3505" s="47"/>
      <c r="G3505" s="46"/>
      <c r="H3505" s="50"/>
      <c r="I3505" s="51"/>
    </row>
    <row r="3506" ht="22.5" customHeight="1">
      <c r="A3506" s="42"/>
      <c r="B3506" s="47"/>
      <c r="C3506" s="46"/>
      <c r="D3506" s="47"/>
      <c r="E3506" s="46"/>
      <c r="F3506" s="47"/>
      <c r="G3506" s="46"/>
      <c r="H3506" s="48"/>
      <c r="I3506" s="49"/>
    </row>
    <row r="3507" ht="22.5" customHeight="1">
      <c r="A3507" s="42"/>
      <c r="B3507" s="47"/>
      <c r="C3507" s="46"/>
      <c r="D3507" s="47"/>
      <c r="E3507" s="46"/>
      <c r="F3507" s="47"/>
      <c r="G3507" s="46"/>
      <c r="H3507" s="50"/>
      <c r="I3507" s="51"/>
    </row>
    <row r="3508" ht="22.5" customHeight="1">
      <c r="A3508" s="42"/>
      <c r="B3508" s="47"/>
      <c r="C3508" s="46"/>
      <c r="D3508" s="47"/>
      <c r="E3508" s="46"/>
      <c r="F3508" s="47"/>
      <c r="G3508" s="46"/>
      <c r="H3508" s="48"/>
      <c r="I3508" s="49"/>
    </row>
    <row r="3509" ht="22.5" customHeight="1">
      <c r="A3509" s="42"/>
      <c r="B3509" s="47"/>
      <c r="C3509" s="46"/>
      <c r="D3509" s="47"/>
      <c r="E3509" s="46"/>
      <c r="F3509" s="47"/>
      <c r="G3509" s="46"/>
      <c r="H3509" s="50"/>
      <c r="I3509" s="51"/>
    </row>
    <row r="3510" ht="22.5" customHeight="1">
      <c r="A3510" s="42"/>
      <c r="B3510" s="47"/>
      <c r="C3510" s="46"/>
      <c r="D3510" s="47"/>
      <c r="E3510" s="46"/>
      <c r="F3510" s="47"/>
      <c r="G3510" s="46"/>
      <c r="H3510" s="48"/>
      <c r="I3510" s="49"/>
    </row>
    <row r="3511" ht="22.5" customHeight="1">
      <c r="A3511" s="42"/>
      <c r="B3511" s="47"/>
      <c r="C3511" s="46"/>
      <c r="D3511" s="47"/>
      <c r="E3511" s="46"/>
      <c r="F3511" s="47"/>
      <c r="G3511" s="46"/>
      <c r="H3511" s="50"/>
      <c r="I3511" s="51"/>
    </row>
    <row r="3512" ht="22.5" customHeight="1">
      <c r="A3512" s="42"/>
      <c r="B3512" s="47"/>
      <c r="C3512" s="46"/>
      <c r="D3512" s="47"/>
      <c r="E3512" s="46"/>
      <c r="F3512" s="47"/>
      <c r="G3512" s="46"/>
      <c r="H3512" s="48"/>
      <c r="I3512" s="49"/>
    </row>
    <row r="3513" ht="22.5" customHeight="1">
      <c r="A3513" s="42"/>
      <c r="B3513" s="47"/>
      <c r="C3513" s="46"/>
      <c r="D3513" s="47"/>
      <c r="E3513" s="46"/>
      <c r="F3513" s="47"/>
      <c r="G3513" s="46"/>
      <c r="H3513" s="50"/>
      <c r="I3513" s="51"/>
    </row>
    <row r="3514" ht="22.5" customHeight="1">
      <c r="A3514" s="42"/>
      <c r="B3514" s="47"/>
      <c r="C3514" s="46"/>
      <c r="D3514" s="47"/>
      <c r="E3514" s="46"/>
      <c r="F3514" s="47"/>
      <c r="G3514" s="46"/>
      <c r="H3514" s="48"/>
      <c r="I3514" s="49"/>
    </row>
    <row r="3515" ht="22.5" customHeight="1">
      <c r="A3515" s="42"/>
      <c r="B3515" s="47"/>
      <c r="C3515" s="46"/>
      <c r="D3515" s="47"/>
      <c r="E3515" s="46"/>
      <c r="F3515" s="47"/>
      <c r="G3515" s="46"/>
      <c r="H3515" s="50"/>
      <c r="I3515" s="51"/>
    </row>
    <row r="3516" ht="22.5" customHeight="1">
      <c r="A3516" s="42"/>
      <c r="B3516" s="47"/>
      <c r="C3516" s="46"/>
      <c r="D3516" s="47"/>
      <c r="E3516" s="46"/>
      <c r="F3516" s="47"/>
      <c r="G3516" s="46"/>
      <c r="H3516" s="48"/>
      <c r="I3516" s="49"/>
    </row>
    <row r="3517" ht="22.5" customHeight="1">
      <c r="A3517" s="42"/>
      <c r="B3517" s="47"/>
      <c r="C3517" s="46"/>
      <c r="D3517" s="47"/>
      <c r="E3517" s="46"/>
      <c r="F3517" s="47"/>
      <c r="G3517" s="46"/>
      <c r="H3517" s="50"/>
      <c r="I3517" s="51"/>
    </row>
    <row r="3518" ht="22.5" customHeight="1">
      <c r="A3518" s="42"/>
      <c r="B3518" s="47"/>
      <c r="C3518" s="46"/>
      <c r="D3518" s="47"/>
      <c r="E3518" s="46"/>
      <c r="F3518" s="47"/>
      <c r="G3518" s="46"/>
      <c r="H3518" s="48"/>
      <c r="I3518" s="49"/>
    </row>
    <row r="3519" ht="22.5" customHeight="1">
      <c r="A3519" s="42"/>
      <c r="B3519" s="47"/>
      <c r="C3519" s="46"/>
      <c r="D3519" s="47"/>
      <c r="E3519" s="46"/>
      <c r="F3519" s="47"/>
      <c r="G3519" s="46"/>
      <c r="H3519" s="50"/>
      <c r="I3519" s="51"/>
    </row>
    <row r="3520" ht="22.5" customHeight="1">
      <c r="A3520" s="42"/>
      <c r="B3520" s="47"/>
      <c r="C3520" s="46"/>
      <c r="D3520" s="47"/>
      <c r="E3520" s="46"/>
      <c r="F3520" s="47"/>
      <c r="G3520" s="46"/>
      <c r="H3520" s="48"/>
      <c r="I3520" s="49"/>
    </row>
    <row r="3521" ht="22.5" customHeight="1">
      <c r="A3521" s="42"/>
      <c r="B3521" s="47"/>
      <c r="C3521" s="46"/>
      <c r="D3521" s="47"/>
      <c r="E3521" s="46"/>
      <c r="F3521" s="47"/>
      <c r="G3521" s="46"/>
      <c r="H3521" s="50"/>
      <c r="I3521" s="51"/>
    </row>
    <row r="3522" ht="22.5" customHeight="1">
      <c r="A3522" s="42"/>
      <c r="B3522" s="47"/>
      <c r="C3522" s="46"/>
      <c r="D3522" s="47"/>
      <c r="E3522" s="46"/>
      <c r="F3522" s="47"/>
      <c r="G3522" s="46"/>
      <c r="H3522" s="48"/>
      <c r="I3522" s="49"/>
    </row>
    <row r="3523" ht="22.5" customHeight="1">
      <c r="A3523" s="42"/>
      <c r="B3523" s="47"/>
      <c r="C3523" s="46"/>
      <c r="D3523" s="47"/>
      <c r="E3523" s="46"/>
      <c r="F3523" s="47"/>
      <c r="G3523" s="46"/>
      <c r="H3523" s="50"/>
      <c r="I3523" s="51"/>
    </row>
    <row r="3524" ht="22.5" customHeight="1">
      <c r="A3524" s="42"/>
      <c r="B3524" s="47"/>
      <c r="C3524" s="46"/>
      <c r="D3524" s="47"/>
      <c r="E3524" s="46"/>
      <c r="F3524" s="47"/>
      <c r="G3524" s="46"/>
      <c r="H3524" s="48"/>
      <c r="I3524" s="49"/>
    </row>
    <row r="3525" ht="22.5" customHeight="1">
      <c r="A3525" s="42"/>
      <c r="B3525" s="47"/>
      <c r="C3525" s="46"/>
      <c r="D3525" s="47"/>
      <c r="E3525" s="46"/>
      <c r="F3525" s="47"/>
      <c r="G3525" s="46"/>
      <c r="H3525" s="50"/>
      <c r="I3525" s="51"/>
    </row>
    <row r="3526" ht="22.5" customHeight="1">
      <c r="A3526" s="42"/>
      <c r="B3526" s="47"/>
      <c r="C3526" s="46"/>
      <c r="D3526" s="47"/>
      <c r="E3526" s="46"/>
      <c r="F3526" s="47"/>
      <c r="G3526" s="46"/>
      <c r="H3526" s="48"/>
      <c r="I3526" s="49"/>
    </row>
    <row r="3527" ht="22.5" customHeight="1">
      <c r="A3527" s="42"/>
      <c r="B3527" s="47"/>
      <c r="C3527" s="46"/>
      <c r="D3527" s="47"/>
      <c r="E3527" s="46"/>
      <c r="F3527" s="47"/>
      <c r="G3527" s="46"/>
      <c r="H3527" s="50"/>
      <c r="I3527" s="51"/>
    </row>
    <row r="3528" ht="22.5" customHeight="1">
      <c r="A3528" s="42"/>
      <c r="B3528" s="47"/>
      <c r="C3528" s="46"/>
      <c r="D3528" s="47"/>
      <c r="E3528" s="46"/>
      <c r="F3528" s="47"/>
      <c r="G3528" s="46"/>
      <c r="H3528" s="48"/>
      <c r="I3528" s="49"/>
    </row>
    <row r="3529" ht="22.5" customHeight="1">
      <c r="A3529" s="42"/>
      <c r="B3529" s="47"/>
      <c r="C3529" s="46"/>
      <c r="D3529" s="47"/>
      <c r="E3529" s="46"/>
      <c r="F3529" s="47"/>
      <c r="G3529" s="46"/>
      <c r="H3529" s="50"/>
      <c r="I3529" s="51"/>
    </row>
    <row r="3530" ht="22.5" customHeight="1">
      <c r="A3530" s="42"/>
      <c r="B3530" s="47"/>
      <c r="C3530" s="46"/>
      <c r="D3530" s="47"/>
      <c r="E3530" s="46"/>
      <c r="F3530" s="47"/>
      <c r="G3530" s="46"/>
      <c r="H3530" s="48"/>
      <c r="I3530" s="49"/>
    </row>
    <row r="3531" ht="22.5" customHeight="1">
      <c r="A3531" s="42"/>
      <c r="B3531" s="47"/>
      <c r="C3531" s="46"/>
      <c r="D3531" s="47"/>
      <c r="E3531" s="46"/>
      <c r="F3531" s="47"/>
      <c r="G3531" s="46"/>
      <c r="H3531" s="50"/>
      <c r="I3531" s="51"/>
    </row>
    <row r="3532" ht="22.5" customHeight="1">
      <c r="A3532" s="42"/>
      <c r="B3532" s="47"/>
      <c r="C3532" s="46"/>
      <c r="D3532" s="47"/>
      <c r="E3532" s="46"/>
      <c r="F3532" s="47"/>
      <c r="G3532" s="46"/>
      <c r="H3532" s="48"/>
      <c r="I3532" s="49"/>
    </row>
    <row r="3533" ht="22.5" customHeight="1">
      <c r="A3533" s="42"/>
      <c r="B3533" s="47"/>
      <c r="C3533" s="46"/>
      <c r="D3533" s="47"/>
      <c r="E3533" s="46"/>
      <c r="F3533" s="47"/>
      <c r="G3533" s="46"/>
      <c r="H3533" s="50"/>
      <c r="I3533" s="51"/>
    </row>
    <row r="3534" ht="22.5" customHeight="1">
      <c r="A3534" s="42"/>
      <c r="B3534" s="47"/>
      <c r="C3534" s="46"/>
      <c r="D3534" s="47"/>
      <c r="E3534" s="46"/>
      <c r="F3534" s="47"/>
      <c r="G3534" s="46"/>
      <c r="H3534" s="48"/>
      <c r="I3534" s="49"/>
    </row>
    <row r="3535" ht="22.5" customHeight="1">
      <c r="A3535" s="42"/>
      <c r="B3535" s="47"/>
      <c r="C3535" s="46"/>
      <c r="D3535" s="47"/>
      <c r="E3535" s="46"/>
      <c r="F3535" s="47"/>
      <c r="G3535" s="46"/>
      <c r="H3535" s="50"/>
      <c r="I3535" s="51"/>
    </row>
    <row r="3536" ht="22.5" customHeight="1">
      <c r="A3536" s="42"/>
      <c r="B3536" s="47"/>
      <c r="C3536" s="46"/>
      <c r="D3536" s="47"/>
      <c r="E3536" s="46"/>
      <c r="F3536" s="47"/>
      <c r="G3536" s="46"/>
      <c r="H3536" s="48"/>
      <c r="I3536" s="49"/>
    </row>
    <row r="3537" ht="22.5" customHeight="1">
      <c r="A3537" s="42"/>
      <c r="B3537" s="47"/>
      <c r="C3537" s="46"/>
      <c r="D3537" s="47"/>
      <c r="E3537" s="46"/>
      <c r="F3537" s="47"/>
      <c r="G3537" s="46"/>
      <c r="H3537" s="50"/>
      <c r="I3537" s="51"/>
    </row>
    <row r="3538" ht="22.5" customHeight="1">
      <c r="A3538" s="42"/>
      <c r="B3538" s="47"/>
      <c r="C3538" s="46"/>
      <c r="D3538" s="47"/>
      <c r="E3538" s="46"/>
      <c r="F3538" s="47"/>
      <c r="G3538" s="46"/>
      <c r="H3538" s="48"/>
      <c r="I3538" s="49"/>
    </row>
    <row r="3539" ht="22.5" customHeight="1">
      <c r="A3539" s="42"/>
      <c r="B3539" s="47"/>
      <c r="C3539" s="46"/>
      <c r="D3539" s="47"/>
      <c r="E3539" s="46"/>
      <c r="F3539" s="47"/>
      <c r="G3539" s="46"/>
      <c r="H3539" s="50"/>
      <c r="I3539" s="51"/>
    </row>
    <row r="3540" ht="22.5" customHeight="1">
      <c r="A3540" s="42"/>
      <c r="B3540" s="47"/>
      <c r="C3540" s="46"/>
      <c r="D3540" s="47"/>
      <c r="E3540" s="46"/>
      <c r="F3540" s="47"/>
      <c r="G3540" s="46"/>
      <c r="H3540" s="48"/>
      <c r="I3540" s="49"/>
    </row>
    <row r="3541" ht="22.5" customHeight="1">
      <c r="A3541" s="42"/>
      <c r="B3541" s="47"/>
      <c r="C3541" s="46"/>
      <c r="D3541" s="47"/>
      <c r="E3541" s="46"/>
      <c r="F3541" s="47"/>
      <c r="G3541" s="46"/>
      <c r="H3541" s="50"/>
      <c r="I3541" s="51"/>
    </row>
    <row r="3542" ht="22.5" customHeight="1">
      <c r="A3542" s="42"/>
      <c r="B3542" s="47"/>
      <c r="C3542" s="46"/>
      <c r="D3542" s="47"/>
      <c r="E3542" s="46"/>
      <c r="F3542" s="47"/>
      <c r="G3542" s="46"/>
      <c r="H3542" s="48"/>
      <c r="I3542" s="49"/>
    </row>
    <row r="3543" ht="22.5" customHeight="1">
      <c r="A3543" s="42"/>
      <c r="B3543" s="47"/>
      <c r="C3543" s="46"/>
      <c r="D3543" s="47"/>
      <c r="E3543" s="46"/>
      <c r="F3543" s="47"/>
      <c r="G3543" s="46"/>
      <c r="H3543" s="50"/>
      <c r="I3543" s="51"/>
    </row>
    <row r="3544" ht="22.5" customHeight="1">
      <c r="A3544" s="42"/>
      <c r="B3544" s="47"/>
      <c r="C3544" s="46"/>
      <c r="D3544" s="47"/>
      <c r="E3544" s="46"/>
      <c r="F3544" s="47"/>
      <c r="G3544" s="46"/>
      <c r="H3544" s="48"/>
      <c r="I3544" s="49"/>
    </row>
    <row r="3545" ht="22.5" customHeight="1">
      <c r="A3545" s="42"/>
      <c r="B3545" s="47"/>
      <c r="C3545" s="46"/>
      <c r="D3545" s="47"/>
      <c r="E3545" s="46"/>
      <c r="F3545" s="47"/>
      <c r="G3545" s="46"/>
      <c r="H3545" s="50"/>
      <c r="I3545" s="51"/>
    </row>
    <row r="3546" ht="22.5" customHeight="1">
      <c r="A3546" s="42"/>
      <c r="B3546" s="47"/>
      <c r="C3546" s="46"/>
      <c r="D3546" s="47"/>
      <c r="E3546" s="46"/>
      <c r="F3546" s="47"/>
      <c r="G3546" s="46"/>
      <c r="H3546" s="48"/>
      <c r="I3546" s="49"/>
    </row>
    <row r="3547" ht="22.5" customHeight="1">
      <c r="A3547" s="42"/>
      <c r="B3547" s="47"/>
      <c r="C3547" s="46"/>
      <c r="D3547" s="47"/>
      <c r="E3547" s="46"/>
      <c r="F3547" s="47"/>
      <c r="G3547" s="46"/>
      <c r="H3547" s="50"/>
      <c r="I3547" s="51"/>
    </row>
    <row r="3548" ht="22.5" customHeight="1">
      <c r="A3548" s="42"/>
      <c r="B3548" s="47"/>
      <c r="C3548" s="46"/>
      <c r="D3548" s="47"/>
      <c r="E3548" s="46"/>
      <c r="F3548" s="47"/>
      <c r="G3548" s="46"/>
      <c r="H3548" s="48"/>
      <c r="I3548" s="49"/>
    </row>
    <row r="3549" ht="22.5" customHeight="1">
      <c r="A3549" s="42"/>
      <c r="B3549" s="47"/>
      <c r="C3549" s="46"/>
      <c r="D3549" s="47"/>
      <c r="E3549" s="46"/>
      <c r="F3549" s="47"/>
      <c r="G3549" s="46"/>
      <c r="H3549" s="50"/>
      <c r="I3549" s="51"/>
    </row>
    <row r="3550" ht="22.5" customHeight="1">
      <c r="A3550" s="42"/>
      <c r="B3550" s="47"/>
      <c r="C3550" s="46"/>
      <c r="D3550" s="47"/>
      <c r="E3550" s="46"/>
      <c r="F3550" s="47"/>
      <c r="G3550" s="46"/>
      <c r="H3550" s="48"/>
      <c r="I3550" s="49"/>
    </row>
    <row r="3551" ht="22.5" customHeight="1">
      <c r="A3551" s="42"/>
      <c r="B3551" s="47"/>
      <c r="C3551" s="46"/>
      <c r="D3551" s="47"/>
      <c r="E3551" s="46"/>
      <c r="F3551" s="47"/>
      <c r="G3551" s="46"/>
      <c r="H3551" s="50"/>
      <c r="I3551" s="51"/>
    </row>
    <row r="3552" ht="22.5" customHeight="1">
      <c r="A3552" s="42"/>
      <c r="B3552" s="47"/>
      <c r="C3552" s="46"/>
      <c r="D3552" s="47"/>
      <c r="E3552" s="46"/>
      <c r="F3552" s="47"/>
      <c r="G3552" s="46"/>
      <c r="H3552" s="48"/>
      <c r="I3552" s="49"/>
    </row>
    <row r="3553" ht="22.5" customHeight="1">
      <c r="A3553" s="42"/>
      <c r="B3553" s="47"/>
      <c r="C3553" s="46"/>
      <c r="D3553" s="47"/>
      <c r="E3553" s="46"/>
      <c r="F3553" s="47"/>
      <c r="G3553" s="46"/>
      <c r="H3553" s="50"/>
      <c r="I3553" s="51"/>
    </row>
    <row r="3554" ht="22.5" customHeight="1">
      <c r="A3554" s="42"/>
      <c r="B3554" s="47"/>
      <c r="C3554" s="46"/>
      <c r="D3554" s="47"/>
      <c r="E3554" s="46"/>
      <c r="F3554" s="47"/>
      <c r="G3554" s="46"/>
      <c r="H3554" s="48"/>
      <c r="I3554" s="49"/>
    </row>
    <row r="3555" ht="22.5" customHeight="1">
      <c r="A3555" s="42"/>
      <c r="B3555" s="47"/>
      <c r="C3555" s="46"/>
      <c r="D3555" s="47"/>
      <c r="E3555" s="46"/>
      <c r="F3555" s="47"/>
      <c r="G3555" s="46"/>
      <c r="H3555" s="50"/>
      <c r="I3555" s="51"/>
    </row>
    <row r="3556" ht="22.5" customHeight="1">
      <c r="A3556" s="42"/>
      <c r="B3556" s="47"/>
      <c r="C3556" s="46"/>
      <c r="D3556" s="47"/>
      <c r="E3556" s="46"/>
      <c r="F3556" s="47"/>
      <c r="G3556" s="46"/>
      <c r="H3556" s="48"/>
      <c r="I3556" s="49"/>
    </row>
    <row r="3557" ht="22.5" customHeight="1">
      <c r="A3557" s="42"/>
      <c r="B3557" s="47"/>
      <c r="C3557" s="46"/>
      <c r="D3557" s="47"/>
      <c r="E3557" s="46"/>
      <c r="F3557" s="47"/>
      <c r="G3557" s="46"/>
      <c r="H3557" s="50"/>
      <c r="I3557" s="51"/>
    </row>
    <row r="3558" ht="22.5" customHeight="1">
      <c r="A3558" s="42"/>
      <c r="B3558" s="47"/>
      <c r="C3558" s="46"/>
      <c r="D3558" s="47"/>
      <c r="E3558" s="46"/>
      <c r="F3558" s="47"/>
      <c r="G3558" s="46"/>
      <c r="H3558" s="48"/>
      <c r="I3558" s="49"/>
    </row>
    <row r="3559" ht="22.5" customHeight="1">
      <c r="A3559" s="42"/>
      <c r="B3559" s="47"/>
      <c r="C3559" s="46"/>
      <c r="D3559" s="47"/>
      <c r="E3559" s="46"/>
      <c r="F3559" s="47"/>
      <c r="G3559" s="46"/>
      <c r="H3559" s="50"/>
      <c r="I3559" s="51"/>
    </row>
    <row r="3560" ht="22.5" customHeight="1">
      <c r="A3560" s="42"/>
      <c r="B3560" s="47"/>
      <c r="C3560" s="46"/>
      <c r="D3560" s="47"/>
      <c r="E3560" s="46"/>
      <c r="F3560" s="47"/>
      <c r="G3560" s="46"/>
      <c r="H3560" s="48"/>
      <c r="I3560" s="49"/>
    </row>
    <row r="3561" ht="22.5" customHeight="1">
      <c r="A3561" s="42"/>
      <c r="B3561" s="47"/>
      <c r="C3561" s="46"/>
      <c r="D3561" s="47"/>
      <c r="E3561" s="46"/>
      <c r="F3561" s="47"/>
      <c r="G3561" s="46"/>
      <c r="H3561" s="50"/>
      <c r="I3561" s="51"/>
    </row>
    <row r="3562" ht="22.5" customHeight="1">
      <c r="A3562" s="42"/>
      <c r="B3562" s="47"/>
      <c r="C3562" s="46"/>
      <c r="D3562" s="47"/>
      <c r="E3562" s="46"/>
      <c r="F3562" s="47"/>
      <c r="G3562" s="46"/>
      <c r="H3562" s="48"/>
      <c r="I3562" s="49"/>
    </row>
    <row r="3563" ht="22.5" customHeight="1">
      <c r="A3563" s="42"/>
      <c r="B3563" s="47"/>
      <c r="C3563" s="46"/>
      <c r="D3563" s="47"/>
      <c r="E3563" s="46"/>
      <c r="F3563" s="47"/>
      <c r="G3563" s="46"/>
      <c r="H3563" s="50"/>
      <c r="I3563" s="51"/>
    </row>
    <row r="3564" ht="22.5" customHeight="1">
      <c r="A3564" s="42"/>
      <c r="B3564" s="47"/>
      <c r="C3564" s="46"/>
      <c r="D3564" s="47"/>
      <c r="E3564" s="46"/>
      <c r="F3564" s="47"/>
      <c r="G3564" s="46"/>
      <c r="H3564" s="48"/>
      <c r="I3564" s="49"/>
    </row>
    <row r="3565" ht="22.5" customHeight="1">
      <c r="A3565" s="42"/>
      <c r="B3565" s="47"/>
      <c r="C3565" s="46"/>
      <c r="D3565" s="47"/>
      <c r="E3565" s="46"/>
      <c r="F3565" s="47"/>
      <c r="G3565" s="46"/>
      <c r="H3565" s="50"/>
      <c r="I3565" s="51"/>
    </row>
    <row r="3566" ht="22.5" customHeight="1">
      <c r="A3566" s="42"/>
      <c r="B3566" s="47"/>
      <c r="C3566" s="46"/>
      <c r="D3566" s="47"/>
      <c r="E3566" s="46"/>
      <c r="F3566" s="47"/>
      <c r="G3566" s="46"/>
      <c r="H3566" s="48"/>
      <c r="I3566" s="49"/>
    </row>
    <row r="3567" ht="22.5" customHeight="1">
      <c r="A3567" s="42"/>
      <c r="B3567" s="47"/>
      <c r="C3567" s="46"/>
      <c r="D3567" s="47"/>
      <c r="E3567" s="46"/>
      <c r="F3567" s="47"/>
      <c r="G3567" s="46"/>
      <c r="H3567" s="50"/>
      <c r="I3567" s="51"/>
    </row>
    <row r="3568" ht="22.5" customHeight="1">
      <c r="A3568" s="42"/>
      <c r="B3568" s="47"/>
      <c r="C3568" s="46"/>
      <c r="D3568" s="47"/>
      <c r="E3568" s="46"/>
      <c r="F3568" s="47"/>
      <c r="G3568" s="46"/>
      <c r="H3568" s="48"/>
      <c r="I3568" s="49"/>
    </row>
    <row r="3569" ht="22.5" customHeight="1">
      <c r="A3569" s="42"/>
      <c r="B3569" s="47"/>
      <c r="C3569" s="46"/>
      <c r="D3569" s="47"/>
      <c r="E3569" s="46"/>
      <c r="F3569" s="47"/>
      <c r="G3569" s="46"/>
      <c r="H3569" s="50"/>
      <c r="I3569" s="51"/>
    </row>
    <row r="3570" ht="22.5" customHeight="1">
      <c r="A3570" s="42"/>
      <c r="B3570" s="47"/>
      <c r="C3570" s="46"/>
      <c r="D3570" s="47"/>
      <c r="E3570" s="46"/>
      <c r="F3570" s="47"/>
      <c r="G3570" s="46"/>
      <c r="H3570" s="48"/>
      <c r="I3570" s="49"/>
    </row>
    <row r="3571" ht="22.5" customHeight="1">
      <c r="A3571" s="42"/>
      <c r="B3571" s="47"/>
      <c r="C3571" s="46"/>
      <c r="D3571" s="47"/>
      <c r="E3571" s="46"/>
      <c r="F3571" s="47"/>
      <c r="G3571" s="46"/>
      <c r="H3571" s="50"/>
      <c r="I3571" s="51"/>
    </row>
    <row r="3572" ht="22.5" customHeight="1">
      <c r="A3572" s="42"/>
      <c r="B3572" s="47"/>
      <c r="C3572" s="46"/>
      <c r="D3572" s="47"/>
      <c r="E3572" s="46"/>
      <c r="F3572" s="47"/>
      <c r="G3572" s="46"/>
      <c r="H3572" s="48"/>
      <c r="I3572" s="49"/>
    </row>
    <row r="3573" ht="22.5" customHeight="1">
      <c r="A3573" s="42"/>
      <c r="B3573" s="47"/>
      <c r="C3573" s="46"/>
      <c r="D3573" s="47"/>
      <c r="E3573" s="46"/>
      <c r="F3573" s="47"/>
      <c r="G3573" s="46"/>
      <c r="H3573" s="50"/>
      <c r="I3573" s="51"/>
    </row>
    <row r="3574" ht="22.5" customHeight="1">
      <c r="A3574" s="42"/>
      <c r="B3574" s="47"/>
      <c r="C3574" s="46"/>
      <c r="D3574" s="47"/>
      <c r="E3574" s="46"/>
      <c r="F3574" s="47"/>
      <c r="G3574" s="46"/>
      <c r="H3574" s="48"/>
      <c r="I3574" s="49"/>
    </row>
    <row r="3575" ht="22.5" customHeight="1">
      <c r="A3575" s="42"/>
      <c r="B3575" s="47"/>
      <c r="C3575" s="46"/>
      <c r="D3575" s="47"/>
      <c r="E3575" s="46"/>
      <c r="F3575" s="47"/>
      <c r="G3575" s="46"/>
      <c r="H3575" s="50"/>
      <c r="I3575" s="51"/>
    </row>
    <row r="3576" ht="22.5" customHeight="1">
      <c r="A3576" s="42"/>
      <c r="B3576" s="47"/>
      <c r="C3576" s="46"/>
      <c r="D3576" s="47"/>
      <c r="E3576" s="46"/>
      <c r="F3576" s="47"/>
      <c r="G3576" s="46"/>
      <c r="H3576" s="48"/>
      <c r="I3576" s="49"/>
    </row>
    <row r="3577" ht="22.5" customHeight="1">
      <c r="A3577" s="42"/>
      <c r="B3577" s="47"/>
      <c r="C3577" s="46"/>
      <c r="D3577" s="47"/>
      <c r="E3577" s="46"/>
      <c r="F3577" s="47"/>
      <c r="G3577" s="46"/>
      <c r="H3577" s="50"/>
      <c r="I3577" s="51"/>
    </row>
    <row r="3578" ht="22.5" customHeight="1">
      <c r="A3578" s="42"/>
      <c r="B3578" s="47"/>
      <c r="C3578" s="46"/>
      <c r="D3578" s="47"/>
      <c r="E3578" s="46"/>
      <c r="F3578" s="47"/>
      <c r="G3578" s="46"/>
      <c r="H3578" s="48"/>
      <c r="I3578" s="49"/>
    </row>
    <row r="3579" ht="22.5" customHeight="1">
      <c r="A3579" s="42"/>
      <c r="B3579" s="47"/>
      <c r="C3579" s="46"/>
      <c r="D3579" s="47"/>
      <c r="E3579" s="46"/>
      <c r="F3579" s="47"/>
      <c r="G3579" s="46"/>
      <c r="H3579" s="50"/>
      <c r="I3579" s="51"/>
    </row>
    <row r="3580" ht="22.5" customHeight="1">
      <c r="A3580" s="42"/>
      <c r="B3580" s="47"/>
      <c r="C3580" s="46"/>
      <c r="D3580" s="47"/>
      <c r="E3580" s="46"/>
      <c r="F3580" s="47"/>
      <c r="G3580" s="46"/>
      <c r="H3580" s="48"/>
      <c r="I3580" s="49"/>
    </row>
    <row r="3581" ht="22.5" customHeight="1">
      <c r="A3581" s="42"/>
      <c r="B3581" s="47"/>
      <c r="C3581" s="46"/>
      <c r="D3581" s="47"/>
      <c r="E3581" s="46"/>
      <c r="F3581" s="47"/>
      <c r="G3581" s="46"/>
      <c r="H3581" s="50"/>
      <c r="I3581" s="51"/>
    </row>
    <row r="3582" ht="22.5" customHeight="1">
      <c r="A3582" s="42"/>
      <c r="B3582" s="47"/>
      <c r="C3582" s="46"/>
      <c r="D3582" s="47"/>
      <c r="E3582" s="46"/>
      <c r="F3582" s="47"/>
      <c r="G3582" s="46"/>
      <c r="H3582" s="48"/>
      <c r="I3582" s="49"/>
    </row>
    <row r="3583" ht="22.5" customHeight="1">
      <c r="A3583" s="42"/>
      <c r="B3583" s="47"/>
      <c r="C3583" s="46"/>
      <c r="D3583" s="47"/>
      <c r="E3583" s="46"/>
      <c r="F3583" s="47"/>
      <c r="G3583" s="46"/>
      <c r="H3583" s="50"/>
      <c r="I3583" s="51"/>
    </row>
    <row r="3584" ht="22.5" customHeight="1">
      <c r="A3584" s="42"/>
      <c r="B3584" s="47"/>
      <c r="C3584" s="46"/>
      <c r="D3584" s="47"/>
      <c r="E3584" s="46"/>
      <c r="F3584" s="47"/>
      <c r="G3584" s="46"/>
      <c r="H3584" s="48"/>
      <c r="I3584" s="49"/>
    </row>
    <row r="3585" ht="22.5" customHeight="1">
      <c r="A3585" s="42"/>
      <c r="B3585" s="47"/>
      <c r="C3585" s="46"/>
      <c r="D3585" s="47"/>
      <c r="E3585" s="46"/>
      <c r="F3585" s="47"/>
      <c r="G3585" s="46"/>
      <c r="H3585" s="50"/>
      <c r="I3585" s="51"/>
    </row>
    <row r="3586" ht="22.5" customHeight="1">
      <c r="A3586" s="42"/>
      <c r="B3586" s="47"/>
      <c r="C3586" s="46"/>
      <c r="D3586" s="47"/>
      <c r="E3586" s="46"/>
      <c r="F3586" s="47"/>
      <c r="G3586" s="46"/>
      <c r="H3586" s="48"/>
      <c r="I3586" s="49"/>
    </row>
    <row r="3587" ht="22.5" customHeight="1">
      <c r="A3587" s="42"/>
      <c r="B3587" s="47"/>
      <c r="C3587" s="46"/>
      <c r="D3587" s="47"/>
      <c r="E3587" s="46"/>
      <c r="F3587" s="47"/>
      <c r="G3587" s="46"/>
      <c r="H3587" s="50"/>
      <c r="I3587" s="51"/>
    </row>
    <row r="3588" ht="22.5" customHeight="1">
      <c r="A3588" s="42"/>
      <c r="B3588" s="47"/>
      <c r="C3588" s="46"/>
      <c r="D3588" s="47"/>
      <c r="E3588" s="46"/>
      <c r="F3588" s="47"/>
      <c r="G3588" s="46"/>
      <c r="H3588" s="48"/>
      <c r="I3588" s="49"/>
    </row>
    <row r="3589" ht="22.5" customHeight="1">
      <c r="A3589" s="42"/>
      <c r="B3589" s="47"/>
      <c r="C3589" s="46"/>
      <c r="D3589" s="47"/>
      <c r="E3589" s="46"/>
      <c r="F3589" s="47"/>
      <c r="G3589" s="46"/>
      <c r="H3589" s="50"/>
      <c r="I3589" s="51"/>
    </row>
    <row r="3590" ht="22.5" customHeight="1">
      <c r="A3590" s="42"/>
      <c r="B3590" s="47"/>
      <c r="C3590" s="46"/>
      <c r="D3590" s="47"/>
      <c r="E3590" s="46"/>
      <c r="F3590" s="47"/>
      <c r="G3590" s="46"/>
      <c r="H3590" s="48"/>
      <c r="I3590" s="49"/>
    </row>
    <row r="3591" ht="22.5" customHeight="1">
      <c r="A3591" s="42"/>
      <c r="B3591" s="47"/>
      <c r="C3591" s="46"/>
      <c r="D3591" s="47"/>
      <c r="E3591" s="46"/>
      <c r="F3591" s="47"/>
      <c r="G3591" s="46"/>
      <c r="H3591" s="50"/>
      <c r="I3591" s="51"/>
    </row>
    <row r="3592" ht="22.5" customHeight="1">
      <c r="A3592" s="42"/>
      <c r="B3592" s="47"/>
      <c r="C3592" s="46"/>
      <c r="D3592" s="47"/>
      <c r="E3592" s="46"/>
      <c r="F3592" s="47"/>
      <c r="G3592" s="46"/>
      <c r="H3592" s="48"/>
      <c r="I3592" s="49"/>
    </row>
    <row r="3593" ht="22.5" customHeight="1">
      <c r="A3593" s="42"/>
      <c r="B3593" s="47"/>
      <c r="C3593" s="46"/>
      <c r="D3593" s="47"/>
      <c r="E3593" s="46"/>
      <c r="F3593" s="47"/>
      <c r="G3593" s="46"/>
      <c r="H3593" s="50"/>
      <c r="I3593" s="51"/>
    </row>
    <row r="3594" ht="22.5" customHeight="1">
      <c r="A3594" s="42"/>
      <c r="B3594" s="47"/>
      <c r="C3594" s="46"/>
      <c r="D3594" s="47"/>
      <c r="E3594" s="46"/>
      <c r="F3594" s="47"/>
      <c r="G3594" s="46"/>
      <c r="H3594" s="48"/>
      <c r="I3594" s="49"/>
    </row>
    <row r="3595" ht="22.5" customHeight="1">
      <c r="A3595" s="42"/>
      <c r="B3595" s="47"/>
      <c r="C3595" s="46"/>
      <c r="D3595" s="47"/>
      <c r="E3595" s="46"/>
      <c r="F3595" s="47"/>
      <c r="G3595" s="46"/>
      <c r="H3595" s="50"/>
      <c r="I3595" s="51"/>
    </row>
    <row r="3596" ht="22.5" customHeight="1">
      <c r="A3596" s="42"/>
      <c r="B3596" s="47"/>
      <c r="C3596" s="46"/>
      <c r="D3596" s="47"/>
      <c r="E3596" s="46"/>
      <c r="F3596" s="47"/>
      <c r="G3596" s="46"/>
      <c r="H3596" s="48"/>
      <c r="I3596" s="49"/>
    </row>
    <row r="3597" ht="22.5" customHeight="1">
      <c r="A3597" s="42"/>
      <c r="B3597" s="47"/>
      <c r="C3597" s="46"/>
      <c r="D3597" s="47"/>
      <c r="E3597" s="46"/>
      <c r="F3597" s="47"/>
      <c r="G3597" s="46"/>
      <c r="H3597" s="50"/>
      <c r="I3597" s="51"/>
    </row>
    <row r="3598" ht="22.5" customHeight="1">
      <c r="A3598" s="42"/>
      <c r="B3598" s="47"/>
      <c r="C3598" s="46"/>
      <c r="D3598" s="47"/>
      <c r="E3598" s="46"/>
      <c r="F3598" s="47"/>
      <c r="G3598" s="46"/>
      <c r="H3598" s="48"/>
      <c r="I3598" s="49"/>
    </row>
    <row r="3599" ht="22.5" customHeight="1">
      <c r="A3599" s="42"/>
      <c r="B3599" s="47"/>
      <c r="C3599" s="46"/>
      <c r="D3599" s="47"/>
      <c r="E3599" s="46"/>
      <c r="F3599" s="47"/>
      <c r="G3599" s="46"/>
      <c r="H3599" s="50"/>
      <c r="I3599" s="51"/>
    </row>
    <row r="3600" ht="22.5" customHeight="1">
      <c r="A3600" s="42"/>
      <c r="B3600" s="47"/>
      <c r="C3600" s="46"/>
      <c r="D3600" s="47"/>
      <c r="E3600" s="46"/>
      <c r="F3600" s="47"/>
      <c r="G3600" s="46"/>
      <c r="H3600" s="48"/>
      <c r="I3600" s="49"/>
    </row>
    <row r="3601" ht="22.5" customHeight="1">
      <c r="A3601" s="42"/>
      <c r="B3601" s="47"/>
      <c r="C3601" s="46"/>
      <c r="D3601" s="47"/>
      <c r="E3601" s="46"/>
      <c r="F3601" s="47"/>
      <c r="G3601" s="46"/>
      <c r="H3601" s="50"/>
      <c r="I3601" s="51"/>
    </row>
    <row r="3602" ht="22.5" customHeight="1">
      <c r="A3602" s="42"/>
      <c r="B3602" s="47"/>
      <c r="C3602" s="46"/>
      <c r="D3602" s="47"/>
      <c r="E3602" s="46"/>
      <c r="F3602" s="47"/>
      <c r="G3602" s="46"/>
      <c r="H3602" s="48"/>
      <c r="I3602" s="49"/>
    </row>
    <row r="3603" ht="22.5" customHeight="1">
      <c r="A3603" s="42"/>
      <c r="B3603" s="47"/>
      <c r="C3603" s="46"/>
      <c r="D3603" s="47"/>
      <c r="E3603" s="46"/>
      <c r="F3603" s="47"/>
      <c r="G3603" s="46"/>
      <c r="H3603" s="50"/>
      <c r="I3603" s="51"/>
    </row>
    <row r="3604" ht="22.5" customHeight="1">
      <c r="A3604" s="42"/>
      <c r="B3604" s="47"/>
      <c r="C3604" s="46"/>
      <c r="D3604" s="47"/>
      <c r="E3604" s="46"/>
      <c r="F3604" s="47"/>
      <c r="G3604" s="46"/>
      <c r="H3604" s="48"/>
      <c r="I3604" s="49"/>
    </row>
    <row r="3605" ht="22.5" customHeight="1">
      <c r="A3605" s="42"/>
      <c r="B3605" s="47"/>
      <c r="C3605" s="46"/>
      <c r="D3605" s="47"/>
      <c r="E3605" s="46"/>
      <c r="F3605" s="47"/>
      <c r="G3605" s="46"/>
      <c r="H3605" s="50"/>
      <c r="I3605" s="51"/>
    </row>
    <row r="3606" ht="22.5" customHeight="1">
      <c r="A3606" s="42"/>
      <c r="B3606" s="47"/>
      <c r="C3606" s="46"/>
      <c r="D3606" s="47"/>
      <c r="E3606" s="46"/>
      <c r="F3606" s="47"/>
      <c r="G3606" s="46"/>
      <c r="H3606" s="48"/>
      <c r="I3606" s="49"/>
    </row>
    <row r="3607" ht="22.5" customHeight="1">
      <c r="A3607" s="42"/>
      <c r="B3607" s="47"/>
      <c r="C3607" s="46"/>
      <c r="D3607" s="47"/>
      <c r="E3607" s="46"/>
      <c r="F3607" s="47"/>
      <c r="G3607" s="46"/>
      <c r="H3607" s="50"/>
      <c r="I3607" s="51"/>
    </row>
    <row r="3608" ht="22.5" customHeight="1">
      <c r="A3608" s="42"/>
      <c r="B3608" s="47"/>
      <c r="C3608" s="46"/>
      <c r="D3608" s="47"/>
      <c r="E3608" s="46"/>
      <c r="F3608" s="47"/>
      <c r="G3608" s="46"/>
      <c r="H3608" s="48"/>
      <c r="I3608" s="49"/>
    </row>
    <row r="3609" ht="22.5" customHeight="1">
      <c r="A3609" s="42"/>
      <c r="B3609" s="47"/>
      <c r="C3609" s="46"/>
      <c r="D3609" s="47"/>
      <c r="E3609" s="46"/>
      <c r="F3609" s="47"/>
      <c r="G3609" s="46"/>
      <c r="H3609" s="50"/>
      <c r="I3609" s="51"/>
    </row>
    <row r="3610" ht="22.5" customHeight="1">
      <c r="A3610" s="42"/>
      <c r="B3610" s="47"/>
      <c r="C3610" s="46"/>
      <c r="D3610" s="47"/>
      <c r="E3610" s="46"/>
      <c r="F3610" s="47"/>
      <c r="G3610" s="46"/>
      <c r="H3610" s="48"/>
      <c r="I3610" s="49"/>
    </row>
    <row r="3611" ht="22.5" customHeight="1">
      <c r="A3611" s="42"/>
      <c r="B3611" s="47"/>
      <c r="C3611" s="46"/>
      <c r="D3611" s="47"/>
      <c r="E3611" s="46"/>
      <c r="F3611" s="47"/>
      <c r="G3611" s="46"/>
      <c r="H3611" s="50"/>
      <c r="I3611" s="51"/>
    </row>
    <row r="3612" ht="22.5" customHeight="1">
      <c r="A3612" s="42"/>
      <c r="B3612" s="47"/>
      <c r="C3612" s="46"/>
      <c r="D3612" s="47"/>
      <c r="E3612" s="46"/>
      <c r="F3612" s="47"/>
      <c r="G3612" s="46"/>
      <c r="H3612" s="48"/>
      <c r="I3612" s="49"/>
    </row>
    <row r="3613" ht="22.5" customHeight="1">
      <c r="A3613" s="42"/>
      <c r="B3613" s="47"/>
      <c r="C3613" s="46"/>
      <c r="D3613" s="47"/>
      <c r="E3613" s="46"/>
      <c r="F3613" s="47"/>
      <c r="G3613" s="46"/>
      <c r="H3613" s="50"/>
      <c r="I3613" s="51"/>
    </row>
    <row r="3614" ht="22.5" customHeight="1">
      <c r="A3614" s="42"/>
      <c r="B3614" s="47"/>
      <c r="C3614" s="46"/>
      <c r="D3614" s="47"/>
      <c r="E3614" s="46"/>
      <c r="F3614" s="47"/>
      <c r="G3614" s="46"/>
      <c r="H3614" s="48"/>
      <c r="I3614" s="49"/>
    </row>
    <row r="3615" ht="22.5" customHeight="1">
      <c r="A3615" s="42"/>
      <c r="B3615" s="47"/>
      <c r="C3615" s="46"/>
      <c r="D3615" s="47"/>
      <c r="E3615" s="46"/>
      <c r="F3615" s="47"/>
      <c r="G3615" s="46"/>
      <c r="H3615" s="50"/>
      <c r="I3615" s="51"/>
    </row>
    <row r="3616" ht="22.5" customHeight="1">
      <c r="A3616" s="42"/>
      <c r="B3616" s="47"/>
      <c r="C3616" s="46"/>
      <c r="D3616" s="47"/>
      <c r="E3616" s="46"/>
      <c r="F3616" s="47"/>
      <c r="G3616" s="46"/>
      <c r="H3616" s="48"/>
      <c r="I3616" s="49"/>
    </row>
    <row r="3617" ht="22.5" customHeight="1">
      <c r="A3617" s="42"/>
      <c r="B3617" s="47"/>
      <c r="C3617" s="46"/>
      <c r="D3617" s="47"/>
      <c r="E3617" s="46"/>
      <c r="F3617" s="47"/>
      <c r="G3617" s="46"/>
      <c r="H3617" s="50"/>
      <c r="I3617" s="51"/>
    </row>
    <row r="3618" ht="22.5" customHeight="1">
      <c r="A3618" s="42"/>
      <c r="B3618" s="47"/>
      <c r="C3618" s="46"/>
      <c r="D3618" s="47"/>
      <c r="E3618" s="46"/>
      <c r="F3618" s="47"/>
      <c r="G3618" s="46"/>
      <c r="H3618" s="48"/>
      <c r="I3618" s="49"/>
    </row>
    <row r="3619" ht="22.5" customHeight="1">
      <c r="A3619" s="42"/>
      <c r="B3619" s="47"/>
      <c r="C3619" s="46"/>
      <c r="D3619" s="47"/>
      <c r="E3619" s="46"/>
      <c r="F3619" s="47"/>
      <c r="G3619" s="46"/>
      <c r="H3619" s="50"/>
      <c r="I3619" s="51"/>
    </row>
    <row r="3620" ht="22.5" customHeight="1">
      <c r="A3620" s="42"/>
      <c r="B3620" s="47"/>
      <c r="C3620" s="46"/>
      <c r="D3620" s="47"/>
      <c r="E3620" s="46"/>
      <c r="F3620" s="47"/>
      <c r="G3620" s="46"/>
      <c r="H3620" s="48"/>
      <c r="I3620" s="49"/>
    </row>
    <row r="3621" ht="22.5" customHeight="1">
      <c r="A3621" s="42"/>
      <c r="B3621" s="47"/>
      <c r="C3621" s="46"/>
      <c r="D3621" s="47"/>
      <c r="E3621" s="46"/>
      <c r="F3621" s="47"/>
      <c r="G3621" s="46"/>
      <c r="H3621" s="50"/>
      <c r="I3621" s="51"/>
    </row>
    <row r="3622" ht="22.5" customHeight="1">
      <c r="A3622" s="42"/>
      <c r="B3622" s="47"/>
      <c r="C3622" s="46"/>
      <c r="D3622" s="47"/>
      <c r="E3622" s="46"/>
      <c r="F3622" s="47"/>
      <c r="G3622" s="46"/>
      <c r="H3622" s="48"/>
      <c r="I3622" s="49"/>
    </row>
    <row r="3623" ht="22.5" customHeight="1">
      <c r="A3623" s="42"/>
      <c r="B3623" s="47"/>
      <c r="C3623" s="46"/>
      <c r="D3623" s="47"/>
      <c r="E3623" s="46"/>
      <c r="F3623" s="47"/>
      <c r="G3623" s="46"/>
      <c r="H3623" s="50"/>
      <c r="I3623" s="51"/>
    </row>
    <row r="3624" ht="22.5" customHeight="1">
      <c r="A3624" s="42"/>
      <c r="B3624" s="47"/>
      <c r="C3624" s="46"/>
      <c r="D3624" s="47"/>
      <c r="E3624" s="46"/>
      <c r="F3624" s="47"/>
      <c r="G3624" s="46"/>
      <c r="H3624" s="48"/>
      <c r="I3624" s="49"/>
    </row>
    <row r="3625" ht="22.5" customHeight="1">
      <c r="A3625" s="42"/>
      <c r="B3625" s="47"/>
      <c r="C3625" s="46"/>
      <c r="D3625" s="47"/>
      <c r="E3625" s="46"/>
      <c r="F3625" s="47"/>
      <c r="G3625" s="46"/>
      <c r="H3625" s="50"/>
      <c r="I3625" s="51"/>
    </row>
    <row r="3626" ht="22.5" customHeight="1">
      <c r="A3626" s="42"/>
      <c r="B3626" s="47"/>
      <c r="C3626" s="46"/>
      <c r="D3626" s="47"/>
      <c r="E3626" s="46"/>
      <c r="F3626" s="47"/>
      <c r="G3626" s="46"/>
      <c r="H3626" s="48"/>
      <c r="I3626" s="49"/>
    </row>
    <row r="3627" ht="22.5" customHeight="1">
      <c r="A3627" s="42"/>
      <c r="B3627" s="47"/>
      <c r="C3627" s="46"/>
      <c r="D3627" s="47"/>
      <c r="E3627" s="46"/>
      <c r="F3627" s="47"/>
      <c r="G3627" s="46"/>
      <c r="H3627" s="50"/>
      <c r="I3627" s="51"/>
    </row>
    <row r="3628" ht="22.5" customHeight="1">
      <c r="A3628" s="42"/>
      <c r="B3628" s="47"/>
      <c r="C3628" s="46"/>
      <c r="D3628" s="47"/>
      <c r="E3628" s="46"/>
      <c r="F3628" s="47"/>
      <c r="G3628" s="46"/>
      <c r="H3628" s="48"/>
      <c r="I3628" s="49"/>
    </row>
    <row r="3629" ht="22.5" customHeight="1">
      <c r="A3629" s="42"/>
      <c r="B3629" s="47"/>
      <c r="C3629" s="46"/>
      <c r="D3629" s="47"/>
      <c r="E3629" s="46"/>
      <c r="F3629" s="47"/>
      <c r="G3629" s="46"/>
      <c r="H3629" s="50"/>
      <c r="I3629" s="51"/>
    </row>
    <row r="3630" ht="22.5" customHeight="1">
      <c r="A3630" s="42"/>
      <c r="B3630" s="47"/>
      <c r="C3630" s="46"/>
      <c r="D3630" s="47"/>
      <c r="E3630" s="46"/>
      <c r="F3630" s="47"/>
      <c r="G3630" s="46"/>
      <c r="H3630" s="48"/>
      <c r="I3630" s="49"/>
    </row>
    <row r="3631" ht="22.5" customHeight="1">
      <c r="A3631" s="42"/>
      <c r="B3631" s="47"/>
      <c r="C3631" s="46"/>
      <c r="D3631" s="47"/>
      <c r="E3631" s="46"/>
      <c r="F3631" s="47"/>
      <c r="G3631" s="46"/>
      <c r="H3631" s="50"/>
      <c r="I3631" s="51"/>
    </row>
    <row r="3632" ht="22.5" customHeight="1">
      <c r="A3632" s="42"/>
      <c r="B3632" s="47"/>
      <c r="C3632" s="46"/>
      <c r="D3632" s="47"/>
      <c r="E3632" s="46"/>
      <c r="F3632" s="47"/>
      <c r="G3632" s="46"/>
      <c r="H3632" s="48"/>
      <c r="I3632" s="49"/>
    </row>
    <row r="3633" ht="22.5" customHeight="1">
      <c r="A3633" s="42"/>
      <c r="B3633" s="47"/>
      <c r="C3633" s="46"/>
      <c r="D3633" s="47"/>
      <c r="E3633" s="46"/>
      <c r="F3633" s="47"/>
      <c r="G3633" s="46"/>
      <c r="H3633" s="50"/>
      <c r="I3633" s="51"/>
    </row>
    <row r="3634" ht="22.5" customHeight="1">
      <c r="A3634" s="42"/>
      <c r="B3634" s="47"/>
      <c r="C3634" s="46"/>
      <c r="D3634" s="47"/>
      <c r="E3634" s="46"/>
      <c r="F3634" s="47"/>
      <c r="G3634" s="46"/>
      <c r="H3634" s="48"/>
      <c r="I3634" s="49"/>
    </row>
    <row r="3635" ht="22.5" customHeight="1">
      <c r="A3635" s="42"/>
      <c r="B3635" s="47"/>
      <c r="C3635" s="46"/>
      <c r="D3635" s="47"/>
      <c r="E3635" s="46"/>
      <c r="F3635" s="47"/>
      <c r="G3635" s="46"/>
      <c r="H3635" s="50"/>
      <c r="I3635" s="51"/>
    </row>
    <row r="3636" ht="22.5" customHeight="1">
      <c r="A3636" s="42"/>
      <c r="B3636" s="47"/>
      <c r="C3636" s="46"/>
      <c r="D3636" s="47"/>
      <c r="E3636" s="46"/>
      <c r="F3636" s="47"/>
      <c r="G3636" s="46"/>
      <c r="H3636" s="48"/>
      <c r="I3636" s="49"/>
    </row>
    <row r="3637" ht="22.5" customHeight="1">
      <c r="A3637" s="42"/>
      <c r="B3637" s="47"/>
      <c r="C3637" s="46"/>
      <c r="D3637" s="47"/>
      <c r="E3637" s="46"/>
      <c r="F3637" s="47"/>
      <c r="G3637" s="46"/>
      <c r="H3637" s="50"/>
      <c r="I3637" s="51"/>
    </row>
    <row r="3638" ht="22.5" customHeight="1">
      <c r="A3638" s="42"/>
      <c r="B3638" s="47"/>
      <c r="C3638" s="46"/>
      <c r="D3638" s="47"/>
      <c r="E3638" s="46"/>
      <c r="F3638" s="47"/>
      <c r="G3638" s="46"/>
      <c r="H3638" s="48"/>
      <c r="I3638" s="49"/>
    </row>
    <row r="3639" ht="22.5" customHeight="1">
      <c r="A3639" s="42"/>
      <c r="B3639" s="47"/>
      <c r="C3639" s="46"/>
      <c r="D3639" s="47"/>
      <c r="E3639" s="46"/>
      <c r="F3639" s="47"/>
      <c r="G3639" s="46"/>
      <c r="H3639" s="50"/>
      <c r="I3639" s="51"/>
    </row>
    <row r="3640" ht="22.5" customHeight="1">
      <c r="A3640" s="42"/>
      <c r="B3640" s="47"/>
      <c r="C3640" s="46"/>
      <c r="D3640" s="47"/>
      <c r="E3640" s="46"/>
      <c r="F3640" s="47"/>
      <c r="G3640" s="46"/>
      <c r="H3640" s="48"/>
      <c r="I3640" s="49"/>
    </row>
    <row r="3641" ht="22.5" customHeight="1">
      <c r="A3641" s="42"/>
      <c r="B3641" s="47"/>
      <c r="C3641" s="46"/>
      <c r="D3641" s="47"/>
      <c r="E3641" s="46"/>
      <c r="F3641" s="47"/>
      <c r="G3641" s="46"/>
      <c r="H3641" s="50"/>
      <c r="I3641" s="51"/>
    </row>
    <row r="3642" ht="22.5" customHeight="1">
      <c r="A3642" s="42"/>
      <c r="B3642" s="47"/>
      <c r="C3642" s="46"/>
      <c r="D3642" s="47"/>
      <c r="E3642" s="46"/>
      <c r="F3642" s="47"/>
      <c r="G3642" s="46"/>
      <c r="H3642" s="48"/>
      <c r="I3642" s="49"/>
    </row>
    <row r="3643" ht="22.5" customHeight="1">
      <c r="A3643" s="42"/>
      <c r="B3643" s="47"/>
      <c r="C3643" s="46"/>
      <c r="D3643" s="47"/>
      <c r="E3643" s="46"/>
      <c r="F3643" s="47"/>
      <c r="G3643" s="46"/>
      <c r="H3643" s="50"/>
      <c r="I3643" s="51"/>
    </row>
    <row r="3644" ht="22.5" customHeight="1">
      <c r="A3644" s="42"/>
      <c r="B3644" s="47"/>
      <c r="C3644" s="46"/>
      <c r="D3644" s="47"/>
      <c r="E3644" s="46"/>
      <c r="F3644" s="47"/>
      <c r="G3644" s="46"/>
      <c r="H3644" s="48"/>
      <c r="I3644" s="49"/>
    </row>
    <row r="3645" ht="22.5" customHeight="1">
      <c r="A3645" s="42"/>
      <c r="B3645" s="47"/>
      <c r="C3645" s="46"/>
      <c r="D3645" s="47"/>
      <c r="E3645" s="46"/>
      <c r="F3645" s="47"/>
      <c r="G3645" s="46"/>
      <c r="H3645" s="50"/>
      <c r="I3645" s="51"/>
    </row>
    <row r="3646" ht="22.5" customHeight="1">
      <c r="A3646" s="42"/>
      <c r="B3646" s="47"/>
      <c r="C3646" s="46"/>
      <c r="D3646" s="47"/>
      <c r="E3646" s="46"/>
      <c r="F3646" s="47"/>
      <c r="G3646" s="46"/>
      <c r="H3646" s="48"/>
      <c r="I3646" s="49"/>
    </row>
    <row r="3647" ht="22.5" customHeight="1">
      <c r="A3647" s="42"/>
      <c r="B3647" s="47"/>
      <c r="C3647" s="46"/>
      <c r="D3647" s="47"/>
      <c r="E3647" s="46"/>
      <c r="F3647" s="47"/>
      <c r="G3647" s="46"/>
      <c r="H3647" s="50"/>
      <c r="I3647" s="51"/>
    </row>
    <row r="3648" ht="22.5" customHeight="1">
      <c r="A3648" s="42"/>
      <c r="B3648" s="47"/>
      <c r="C3648" s="46"/>
      <c r="D3648" s="47"/>
      <c r="E3648" s="46"/>
      <c r="F3648" s="47"/>
      <c r="G3648" s="46"/>
      <c r="H3648" s="48"/>
      <c r="I3648" s="49"/>
    </row>
    <row r="3649" ht="22.5" customHeight="1">
      <c r="A3649" s="42"/>
      <c r="B3649" s="47"/>
      <c r="C3649" s="46"/>
      <c r="D3649" s="47"/>
      <c r="E3649" s="46"/>
      <c r="F3649" s="47"/>
      <c r="G3649" s="46"/>
      <c r="H3649" s="50"/>
      <c r="I3649" s="51"/>
    </row>
    <row r="3650" ht="22.5" customHeight="1">
      <c r="A3650" s="42"/>
      <c r="B3650" s="47"/>
      <c r="C3650" s="46"/>
      <c r="D3650" s="47"/>
      <c r="E3650" s="46"/>
      <c r="F3650" s="47"/>
      <c r="G3650" s="46"/>
      <c r="H3650" s="48"/>
      <c r="I3650" s="49"/>
    </row>
    <row r="3651" ht="22.5" customHeight="1">
      <c r="A3651" s="42"/>
      <c r="B3651" s="47"/>
      <c r="C3651" s="46"/>
      <c r="D3651" s="47"/>
      <c r="E3651" s="46"/>
      <c r="F3651" s="47"/>
      <c r="G3651" s="46"/>
      <c r="H3651" s="50"/>
      <c r="I3651" s="51"/>
    </row>
    <row r="3652" ht="22.5" customHeight="1">
      <c r="A3652" s="42"/>
      <c r="B3652" s="47"/>
      <c r="C3652" s="46"/>
      <c r="D3652" s="47"/>
      <c r="E3652" s="46"/>
      <c r="F3652" s="47"/>
      <c r="G3652" s="46"/>
      <c r="H3652" s="48"/>
      <c r="I3652" s="49"/>
    </row>
    <row r="3653" ht="22.5" customHeight="1">
      <c r="A3653" s="42"/>
      <c r="B3653" s="47"/>
      <c r="C3653" s="46"/>
      <c r="D3653" s="47"/>
      <c r="E3653" s="46"/>
      <c r="F3653" s="47"/>
      <c r="G3653" s="46"/>
      <c r="H3653" s="50"/>
      <c r="I3653" s="51"/>
    </row>
    <row r="3654" ht="22.5" customHeight="1">
      <c r="A3654" s="42"/>
      <c r="B3654" s="47"/>
      <c r="C3654" s="46"/>
      <c r="D3654" s="47"/>
      <c r="E3654" s="46"/>
      <c r="F3654" s="47"/>
      <c r="G3654" s="46"/>
      <c r="H3654" s="48"/>
      <c r="I3654" s="49"/>
    </row>
    <row r="3655" ht="22.5" customHeight="1">
      <c r="A3655" s="42"/>
      <c r="B3655" s="47"/>
      <c r="C3655" s="46"/>
      <c r="D3655" s="47"/>
      <c r="E3655" s="46"/>
      <c r="F3655" s="47"/>
      <c r="G3655" s="46"/>
      <c r="H3655" s="50"/>
      <c r="I3655" s="51"/>
    </row>
    <row r="3656" ht="22.5" customHeight="1">
      <c r="A3656" s="42"/>
      <c r="B3656" s="47"/>
      <c r="C3656" s="46"/>
      <c r="D3656" s="47"/>
      <c r="E3656" s="46"/>
      <c r="F3656" s="47"/>
      <c r="G3656" s="46"/>
      <c r="H3656" s="48"/>
      <c r="I3656" s="49"/>
    </row>
    <row r="3657" ht="22.5" customHeight="1">
      <c r="A3657" s="42"/>
      <c r="B3657" s="47"/>
      <c r="C3657" s="46"/>
      <c r="D3657" s="47"/>
      <c r="E3657" s="46"/>
      <c r="F3657" s="47"/>
      <c r="G3657" s="46"/>
      <c r="H3657" s="50"/>
      <c r="I3657" s="51"/>
    </row>
    <row r="3658" ht="22.5" customHeight="1">
      <c r="A3658" s="42"/>
      <c r="B3658" s="47"/>
      <c r="C3658" s="46"/>
      <c r="D3658" s="47"/>
      <c r="E3658" s="46"/>
      <c r="F3658" s="47"/>
      <c r="G3658" s="46"/>
      <c r="H3658" s="48"/>
      <c r="I3658" s="49"/>
    </row>
    <row r="3659" ht="22.5" customHeight="1">
      <c r="A3659" s="42"/>
      <c r="B3659" s="47"/>
      <c r="C3659" s="46"/>
      <c r="D3659" s="47"/>
      <c r="E3659" s="46"/>
      <c r="F3659" s="47"/>
      <c r="G3659" s="46"/>
      <c r="H3659" s="50"/>
      <c r="I3659" s="51"/>
    </row>
    <row r="3660" ht="22.5" customHeight="1">
      <c r="A3660" s="42"/>
      <c r="B3660" s="47"/>
      <c r="C3660" s="46"/>
      <c r="D3660" s="47"/>
      <c r="E3660" s="46"/>
      <c r="F3660" s="47"/>
      <c r="G3660" s="46"/>
      <c r="H3660" s="48"/>
      <c r="I3660" s="49"/>
    </row>
    <row r="3661" ht="22.5" customHeight="1">
      <c r="A3661" s="42"/>
      <c r="B3661" s="47"/>
      <c r="C3661" s="46"/>
      <c r="D3661" s="47"/>
      <c r="E3661" s="46"/>
      <c r="F3661" s="47"/>
      <c r="G3661" s="46"/>
      <c r="H3661" s="50"/>
      <c r="I3661" s="51"/>
    </row>
    <row r="3662" ht="22.5" customHeight="1">
      <c r="A3662" s="42"/>
      <c r="B3662" s="47"/>
      <c r="C3662" s="46"/>
      <c r="D3662" s="47"/>
      <c r="E3662" s="46"/>
      <c r="F3662" s="47"/>
      <c r="G3662" s="46"/>
      <c r="H3662" s="48"/>
      <c r="I3662" s="49"/>
    </row>
    <row r="3663" ht="22.5" customHeight="1">
      <c r="A3663" s="42"/>
      <c r="B3663" s="47"/>
      <c r="C3663" s="46"/>
      <c r="D3663" s="47"/>
      <c r="E3663" s="46"/>
      <c r="F3663" s="47"/>
      <c r="G3663" s="46"/>
      <c r="H3663" s="50"/>
      <c r="I3663" s="51"/>
    </row>
    <row r="3664" ht="22.5" customHeight="1">
      <c r="A3664" s="42"/>
      <c r="B3664" s="47"/>
      <c r="C3664" s="46"/>
      <c r="D3664" s="47"/>
      <c r="E3664" s="46"/>
      <c r="F3664" s="47"/>
      <c r="G3664" s="46"/>
      <c r="H3664" s="48"/>
      <c r="I3664" s="49"/>
    </row>
    <row r="3665" ht="22.5" customHeight="1">
      <c r="A3665" s="42"/>
      <c r="B3665" s="47"/>
      <c r="C3665" s="46"/>
      <c r="D3665" s="47"/>
      <c r="E3665" s="46"/>
      <c r="F3665" s="47"/>
      <c r="G3665" s="46"/>
      <c r="H3665" s="50"/>
      <c r="I3665" s="51"/>
    </row>
    <row r="3666" ht="22.5" customHeight="1">
      <c r="A3666" s="42"/>
      <c r="B3666" s="47"/>
      <c r="C3666" s="46"/>
      <c r="D3666" s="47"/>
      <c r="E3666" s="46"/>
      <c r="F3666" s="47"/>
      <c r="G3666" s="46"/>
      <c r="H3666" s="48"/>
      <c r="I3666" s="49"/>
    </row>
    <row r="3667" ht="22.5" customHeight="1">
      <c r="A3667" s="42"/>
      <c r="B3667" s="47"/>
      <c r="C3667" s="46"/>
      <c r="D3667" s="47"/>
      <c r="E3667" s="46"/>
      <c r="F3667" s="47"/>
      <c r="G3667" s="46"/>
      <c r="H3667" s="50"/>
      <c r="I3667" s="51"/>
    </row>
    <row r="3668" ht="22.5" customHeight="1">
      <c r="A3668" s="42"/>
      <c r="B3668" s="47"/>
      <c r="C3668" s="46"/>
      <c r="D3668" s="47"/>
      <c r="E3668" s="46"/>
      <c r="F3668" s="47"/>
      <c r="G3668" s="46"/>
      <c r="H3668" s="48"/>
      <c r="I3668" s="49"/>
    </row>
    <row r="3669" ht="22.5" customHeight="1">
      <c r="A3669" s="42"/>
      <c r="B3669" s="47"/>
      <c r="C3669" s="46"/>
      <c r="D3669" s="47"/>
      <c r="E3669" s="46"/>
      <c r="F3669" s="47"/>
      <c r="G3669" s="46"/>
      <c r="H3669" s="50"/>
      <c r="I3669" s="51"/>
    </row>
    <row r="3670" ht="22.5" customHeight="1">
      <c r="A3670" s="42"/>
      <c r="B3670" s="47"/>
      <c r="C3670" s="46"/>
      <c r="D3670" s="47"/>
      <c r="E3670" s="46"/>
      <c r="F3670" s="47"/>
      <c r="G3670" s="46"/>
      <c r="H3670" s="48"/>
      <c r="I3670" s="49"/>
    </row>
    <row r="3671" ht="22.5" customHeight="1">
      <c r="A3671" s="42"/>
      <c r="B3671" s="47"/>
      <c r="C3671" s="46"/>
      <c r="D3671" s="47"/>
      <c r="E3671" s="46"/>
      <c r="F3671" s="47"/>
      <c r="G3671" s="46"/>
      <c r="H3671" s="50"/>
      <c r="I3671" s="51"/>
    </row>
    <row r="3672" ht="22.5" customHeight="1">
      <c r="A3672" s="42"/>
      <c r="B3672" s="47"/>
      <c r="C3672" s="46"/>
      <c r="D3672" s="47"/>
      <c r="E3672" s="46"/>
      <c r="F3672" s="47"/>
      <c r="G3672" s="46"/>
      <c r="H3672" s="48"/>
      <c r="I3672" s="49"/>
    </row>
    <row r="3673" ht="22.5" customHeight="1">
      <c r="A3673" s="42"/>
      <c r="B3673" s="47"/>
      <c r="C3673" s="46"/>
      <c r="D3673" s="47"/>
      <c r="E3673" s="46"/>
      <c r="F3673" s="47"/>
      <c r="G3673" s="46"/>
      <c r="H3673" s="50"/>
      <c r="I3673" s="51"/>
    </row>
    <row r="3674" ht="22.5" customHeight="1">
      <c r="A3674" s="42"/>
      <c r="B3674" s="47"/>
      <c r="C3674" s="46"/>
      <c r="D3674" s="47"/>
      <c r="E3674" s="46"/>
      <c r="F3674" s="47"/>
      <c r="G3674" s="46"/>
      <c r="H3674" s="48"/>
      <c r="I3674" s="49"/>
    </row>
    <row r="3675" ht="22.5" customHeight="1">
      <c r="A3675" s="42"/>
      <c r="B3675" s="47"/>
      <c r="C3675" s="46"/>
      <c r="D3675" s="47"/>
      <c r="E3675" s="46"/>
      <c r="F3675" s="47"/>
      <c r="G3675" s="46"/>
      <c r="H3675" s="50"/>
      <c r="I3675" s="51"/>
    </row>
    <row r="3676" ht="22.5" customHeight="1">
      <c r="A3676" s="42"/>
      <c r="B3676" s="47"/>
      <c r="C3676" s="46"/>
      <c r="D3676" s="47"/>
      <c r="E3676" s="46"/>
      <c r="F3676" s="47"/>
      <c r="G3676" s="46"/>
      <c r="H3676" s="48"/>
      <c r="I3676" s="49"/>
    </row>
    <row r="3677" ht="22.5" customHeight="1">
      <c r="A3677" s="42"/>
      <c r="B3677" s="47"/>
      <c r="C3677" s="46"/>
      <c r="D3677" s="47"/>
      <c r="E3677" s="46"/>
      <c r="F3677" s="47"/>
      <c r="G3677" s="46"/>
      <c r="H3677" s="50"/>
      <c r="I3677" s="51"/>
    </row>
    <row r="3678" ht="22.5" customHeight="1">
      <c r="A3678" s="42"/>
      <c r="B3678" s="47"/>
      <c r="C3678" s="46"/>
      <c r="D3678" s="47"/>
      <c r="E3678" s="46"/>
      <c r="F3678" s="47"/>
      <c r="G3678" s="46"/>
      <c r="H3678" s="48"/>
      <c r="I3678" s="49"/>
    </row>
    <row r="3679" ht="22.5" customHeight="1">
      <c r="A3679" s="42"/>
      <c r="B3679" s="47"/>
      <c r="C3679" s="46"/>
      <c r="D3679" s="47"/>
      <c r="E3679" s="46"/>
      <c r="F3679" s="47"/>
      <c r="G3679" s="46"/>
      <c r="H3679" s="50"/>
      <c r="I3679" s="51"/>
    </row>
    <row r="3680" ht="22.5" customHeight="1">
      <c r="A3680" s="42"/>
      <c r="B3680" s="47"/>
      <c r="C3680" s="46"/>
      <c r="D3680" s="47"/>
      <c r="E3680" s="46"/>
      <c r="F3680" s="47"/>
      <c r="G3680" s="46"/>
      <c r="H3680" s="48"/>
      <c r="I3680" s="49"/>
    </row>
    <row r="3681" ht="22.5" customHeight="1">
      <c r="A3681" s="42"/>
      <c r="B3681" s="47"/>
      <c r="C3681" s="46"/>
      <c r="D3681" s="47"/>
      <c r="E3681" s="46"/>
      <c r="F3681" s="47"/>
      <c r="G3681" s="46"/>
      <c r="H3681" s="50"/>
      <c r="I3681" s="51"/>
    </row>
    <row r="3682" ht="22.5" customHeight="1">
      <c r="A3682" s="42"/>
      <c r="B3682" s="47"/>
      <c r="C3682" s="46"/>
      <c r="D3682" s="47"/>
      <c r="E3682" s="46"/>
      <c r="F3682" s="47"/>
      <c r="G3682" s="46"/>
      <c r="H3682" s="48"/>
      <c r="I3682" s="49"/>
    </row>
    <row r="3683" ht="22.5" customHeight="1">
      <c r="A3683" s="42"/>
      <c r="B3683" s="47"/>
      <c r="C3683" s="46"/>
      <c r="D3683" s="47"/>
      <c r="E3683" s="46"/>
      <c r="F3683" s="47"/>
      <c r="G3683" s="46"/>
      <c r="H3683" s="50"/>
      <c r="I3683" s="51"/>
    </row>
    <row r="3684" ht="22.5" customHeight="1">
      <c r="A3684" s="42"/>
      <c r="B3684" s="47"/>
      <c r="C3684" s="46"/>
      <c r="D3684" s="47"/>
      <c r="E3684" s="46"/>
      <c r="F3684" s="47"/>
      <c r="G3684" s="46"/>
      <c r="H3684" s="48"/>
      <c r="I3684" s="49"/>
    </row>
    <row r="3685" ht="22.5" customHeight="1">
      <c r="A3685" s="42"/>
      <c r="B3685" s="47"/>
      <c r="C3685" s="46"/>
      <c r="D3685" s="47"/>
      <c r="E3685" s="46"/>
      <c r="F3685" s="47"/>
      <c r="G3685" s="46"/>
      <c r="H3685" s="50"/>
      <c r="I3685" s="51"/>
    </row>
    <row r="3686" ht="22.5" customHeight="1">
      <c r="A3686" s="42"/>
      <c r="B3686" s="47"/>
      <c r="C3686" s="46"/>
      <c r="D3686" s="47"/>
      <c r="E3686" s="46"/>
      <c r="F3686" s="47"/>
      <c r="G3686" s="46"/>
      <c r="H3686" s="48"/>
      <c r="I3686" s="49"/>
    </row>
    <row r="3687" ht="22.5" customHeight="1">
      <c r="A3687" s="42"/>
      <c r="B3687" s="47"/>
      <c r="C3687" s="46"/>
      <c r="D3687" s="47"/>
      <c r="E3687" s="46"/>
      <c r="F3687" s="47"/>
      <c r="G3687" s="46"/>
      <c r="H3687" s="50"/>
      <c r="I3687" s="51"/>
    </row>
    <row r="3688" ht="22.5" customHeight="1">
      <c r="A3688" s="42"/>
      <c r="B3688" s="47"/>
      <c r="C3688" s="46"/>
      <c r="D3688" s="47"/>
      <c r="E3688" s="46"/>
      <c r="F3688" s="47"/>
      <c r="G3688" s="46"/>
      <c r="H3688" s="48"/>
      <c r="I3688" s="49"/>
    </row>
    <row r="3689" ht="22.5" customHeight="1">
      <c r="A3689" s="42"/>
      <c r="B3689" s="47"/>
      <c r="C3689" s="46"/>
      <c r="D3689" s="47"/>
      <c r="E3689" s="46"/>
      <c r="F3689" s="47"/>
      <c r="G3689" s="46"/>
      <c r="H3689" s="50"/>
      <c r="I3689" s="51"/>
    </row>
    <row r="3690" ht="22.5" customHeight="1">
      <c r="A3690" s="42"/>
      <c r="B3690" s="47"/>
      <c r="C3690" s="46"/>
      <c r="D3690" s="47"/>
      <c r="E3690" s="46"/>
      <c r="F3690" s="47"/>
      <c r="G3690" s="46"/>
      <c r="H3690" s="48"/>
      <c r="I3690" s="49"/>
    </row>
    <row r="3691" ht="22.5" customHeight="1">
      <c r="A3691" s="42"/>
      <c r="B3691" s="47"/>
      <c r="C3691" s="46"/>
      <c r="D3691" s="47"/>
      <c r="E3691" s="46"/>
      <c r="F3691" s="47"/>
      <c r="G3691" s="46"/>
      <c r="H3691" s="50"/>
      <c r="I3691" s="51"/>
    </row>
    <row r="3692" ht="22.5" customHeight="1">
      <c r="A3692" s="42"/>
      <c r="B3692" s="47"/>
      <c r="C3692" s="46"/>
      <c r="D3692" s="47"/>
      <c r="E3692" s="46"/>
      <c r="F3692" s="47"/>
      <c r="G3692" s="46"/>
      <c r="H3692" s="48"/>
      <c r="I3692" s="49"/>
    </row>
    <row r="3693" ht="22.5" customHeight="1">
      <c r="A3693" s="42"/>
      <c r="B3693" s="47"/>
      <c r="C3693" s="46"/>
      <c r="D3693" s="47"/>
      <c r="E3693" s="46"/>
      <c r="F3693" s="47"/>
      <c r="G3693" s="46"/>
      <c r="H3693" s="50"/>
      <c r="I3693" s="51"/>
    </row>
    <row r="3694" ht="22.5" customHeight="1">
      <c r="A3694" s="42"/>
      <c r="B3694" s="47"/>
      <c r="C3694" s="46"/>
      <c r="D3694" s="47"/>
      <c r="E3694" s="46"/>
      <c r="F3694" s="47"/>
      <c r="G3694" s="46"/>
      <c r="H3694" s="48"/>
      <c r="I3694" s="49"/>
    </row>
    <row r="3695" ht="22.5" customHeight="1">
      <c r="A3695" s="42"/>
      <c r="B3695" s="47"/>
      <c r="C3695" s="46"/>
      <c r="D3695" s="47"/>
      <c r="E3695" s="46"/>
      <c r="F3695" s="47"/>
      <c r="G3695" s="46"/>
      <c r="H3695" s="50"/>
      <c r="I3695" s="51"/>
    </row>
    <row r="3696" ht="22.5" customHeight="1">
      <c r="A3696" s="42"/>
      <c r="B3696" s="47"/>
      <c r="C3696" s="46"/>
      <c r="D3696" s="47"/>
      <c r="E3696" s="46"/>
      <c r="F3696" s="47"/>
      <c r="G3696" s="46"/>
      <c r="H3696" s="48"/>
      <c r="I3696" s="49"/>
    </row>
    <row r="3697" ht="22.5" customHeight="1">
      <c r="A3697" s="42"/>
      <c r="B3697" s="47"/>
      <c r="C3697" s="46"/>
      <c r="D3697" s="47"/>
      <c r="E3697" s="46"/>
      <c r="F3697" s="47"/>
      <c r="G3697" s="46"/>
      <c r="H3697" s="50"/>
      <c r="I3697" s="51"/>
    </row>
    <row r="3698" ht="22.5" customHeight="1">
      <c r="A3698" s="42"/>
      <c r="B3698" s="47"/>
      <c r="C3698" s="46"/>
      <c r="D3698" s="47"/>
      <c r="E3698" s="46"/>
      <c r="F3698" s="47"/>
      <c r="G3698" s="46"/>
      <c r="H3698" s="48"/>
      <c r="I3698" s="49"/>
    </row>
    <row r="3699" ht="22.5" customHeight="1">
      <c r="A3699" s="42"/>
      <c r="B3699" s="47"/>
      <c r="C3699" s="46"/>
      <c r="D3699" s="47"/>
      <c r="E3699" s="46"/>
      <c r="F3699" s="47"/>
      <c r="G3699" s="46"/>
      <c r="H3699" s="50"/>
      <c r="I3699" s="51"/>
    </row>
    <row r="3700" ht="22.5" customHeight="1">
      <c r="A3700" s="42"/>
      <c r="B3700" s="47"/>
      <c r="C3700" s="46"/>
      <c r="D3700" s="47"/>
      <c r="E3700" s="46"/>
      <c r="F3700" s="47"/>
      <c r="G3700" s="46"/>
      <c r="H3700" s="48"/>
      <c r="I3700" s="49"/>
    </row>
    <row r="3701" ht="22.5" customHeight="1">
      <c r="A3701" s="42"/>
      <c r="B3701" s="47"/>
      <c r="C3701" s="46"/>
      <c r="D3701" s="47"/>
      <c r="E3701" s="46"/>
      <c r="F3701" s="47"/>
      <c r="G3701" s="46"/>
      <c r="H3701" s="50"/>
      <c r="I3701" s="51"/>
    </row>
    <row r="3702" ht="22.5" customHeight="1">
      <c r="A3702" s="42"/>
      <c r="B3702" s="47"/>
      <c r="C3702" s="46"/>
      <c r="D3702" s="47"/>
      <c r="E3702" s="46"/>
      <c r="F3702" s="47"/>
      <c r="G3702" s="46"/>
      <c r="H3702" s="48"/>
      <c r="I3702" s="49"/>
    </row>
    <row r="3703" ht="22.5" customHeight="1">
      <c r="A3703" s="42"/>
      <c r="B3703" s="47"/>
      <c r="C3703" s="46"/>
      <c r="D3703" s="47"/>
      <c r="E3703" s="46"/>
      <c r="F3703" s="47"/>
      <c r="G3703" s="46"/>
      <c r="H3703" s="50"/>
      <c r="I3703" s="51"/>
    </row>
    <row r="3704" ht="22.5" customHeight="1">
      <c r="A3704" s="42"/>
      <c r="B3704" s="47"/>
      <c r="C3704" s="46"/>
      <c r="D3704" s="47"/>
      <c r="E3704" s="46"/>
      <c r="F3704" s="47"/>
      <c r="G3704" s="46"/>
      <c r="H3704" s="48"/>
      <c r="I3704" s="49"/>
    </row>
    <row r="3705" ht="22.5" customHeight="1">
      <c r="A3705" s="42"/>
      <c r="B3705" s="47"/>
      <c r="C3705" s="46"/>
      <c r="D3705" s="47"/>
      <c r="E3705" s="46"/>
      <c r="F3705" s="47"/>
      <c r="G3705" s="46"/>
      <c r="H3705" s="50"/>
      <c r="I3705" s="51"/>
    </row>
    <row r="3706" ht="22.5" customHeight="1">
      <c r="A3706" s="42"/>
      <c r="B3706" s="47"/>
      <c r="C3706" s="46"/>
      <c r="D3706" s="47"/>
      <c r="E3706" s="46"/>
      <c r="F3706" s="47"/>
      <c r="G3706" s="46"/>
      <c r="H3706" s="48"/>
      <c r="I3706" s="49"/>
    </row>
    <row r="3707" ht="22.5" customHeight="1">
      <c r="A3707" s="42"/>
      <c r="B3707" s="47"/>
      <c r="C3707" s="46"/>
      <c r="D3707" s="47"/>
      <c r="E3707" s="46"/>
      <c r="F3707" s="47"/>
      <c r="G3707" s="46"/>
      <c r="H3707" s="50"/>
      <c r="I3707" s="51"/>
    </row>
    <row r="3708" ht="22.5" customHeight="1">
      <c r="A3708" s="42"/>
      <c r="B3708" s="47"/>
      <c r="C3708" s="46"/>
      <c r="D3708" s="47"/>
      <c r="E3708" s="46"/>
      <c r="F3708" s="47"/>
      <c r="G3708" s="46"/>
      <c r="H3708" s="48"/>
      <c r="I3708" s="49"/>
    </row>
    <row r="3709" ht="22.5" customHeight="1">
      <c r="A3709" s="42"/>
      <c r="B3709" s="47"/>
      <c r="C3709" s="46"/>
      <c r="D3709" s="47"/>
      <c r="E3709" s="46"/>
      <c r="F3709" s="47"/>
      <c r="G3709" s="46"/>
      <c r="H3709" s="50"/>
      <c r="I3709" s="51"/>
    </row>
    <row r="3710" ht="22.5" customHeight="1">
      <c r="A3710" s="42"/>
      <c r="B3710" s="47"/>
      <c r="C3710" s="46"/>
      <c r="D3710" s="47"/>
      <c r="E3710" s="46"/>
      <c r="F3710" s="47"/>
      <c r="G3710" s="46"/>
      <c r="H3710" s="48"/>
      <c r="I3710" s="49"/>
    </row>
    <row r="3711" ht="22.5" customHeight="1">
      <c r="A3711" s="42"/>
      <c r="B3711" s="47"/>
      <c r="C3711" s="46"/>
      <c r="D3711" s="47"/>
      <c r="E3711" s="46"/>
      <c r="F3711" s="47"/>
      <c r="G3711" s="46"/>
      <c r="H3711" s="50"/>
      <c r="I3711" s="51"/>
    </row>
    <row r="3712" ht="22.5" customHeight="1">
      <c r="A3712" s="42"/>
      <c r="B3712" s="47"/>
      <c r="C3712" s="46"/>
      <c r="D3712" s="47"/>
      <c r="E3712" s="46"/>
      <c r="F3712" s="47"/>
      <c r="G3712" s="46"/>
      <c r="H3712" s="48"/>
      <c r="I3712" s="49"/>
    </row>
    <row r="3713" ht="22.5" customHeight="1">
      <c r="A3713" s="42"/>
      <c r="B3713" s="47"/>
      <c r="C3713" s="46"/>
      <c r="D3713" s="47"/>
      <c r="E3713" s="46"/>
      <c r="F3713" s="47"/>
      <c r="G3713" s="46"/>
      <c r="H3713" s="50"/>
      <c r="I3713" s="51"/>
    </row>
    <row r="3714" ht="22.5" customHeight="1">
      <c r="A3714" s="42"/>
      <c r="B3714" s="47"/>
      <c r="C3714" s="46"/>
      <c r="D3714" s="47"/>
      <c r="E3714" s="46"/>
      <c r="F3714" s="47"/>
      <c r="G3714" s="46"/>
      <c r="H3714" s="48"/>
      <c r="I3714" s="49"/>
    </row>
    <row r="3715" ht="22.5" customHeight="1">
      <c r="A3715" s="42"/>
      <c r="B3715" s="47"/>
      <c r="C3715" s="46"/>
      <c r="D3715" s="47"/>
      <c r="E3715" s="46"/>
      <c r="F3715" s="47"/>
      <c r="G3715" s="46"/>
      <c r="H3715" s="50"/>
      <c r="I3715" s="51"/>
    </row>
    <row r="3716" ht="22.5" customHeight="1">
      <c r="A3716" s="42"/>
      <c r="B3716" s="47"/>
      <c r="C3716" s="46"/>
      <c r="D3716" s="47"/>
      <c r="E3716" s="46"/>
      <c r="F3716" s="47"/>
      <c r="G3716" s="46"/>
      <c r="H3716" s="48"/>
      <c r="I3716" s="49"/>
    </row>
    <row r="3717" ht="22.5" customHeight="1">
      <c r="A3717" s="42"/>
      <c r="B3717" s="47"/>
      <c r="C3717" s="46"/>
      <c r="D3717" s="47"/>
      <c r="E3717" s="46"/>
      <c r="F3717" s="47"/>
      <c r="G3717" s="46"/>
      <c r="H3717" s="50"/>
      <c r="I3717" s="51"/>
    </row>
    <row r="3718" ht="22.5" customHeight="1">
      <c r="A3718" s="42"/>
      <c r="B3718" s="47"/>
      <c r="C3718" s="46"/>
      <c r="D3718" s="47"/>
      <c r="E3718" s="46"/>
      <c r="F3718" s="47"/>
      <c r="G3718" s="46"/>
      <c r="H3718" s="48"/>
      <c r="I3718" s="49"/>
    </row>
    <row r="3719" ht="22.5" customHeight="1">
      <c r="A3719" s="42"/>
      <c r="B3719" s="47"/>
      <c r="C3719" s="46"/>
      <c r="D3719" s="47"/>
      <c r="E3719" s="46"/>
      <c r="F3719" s="47"/>
      <c r="G3719" s="46"/>
      <c r="H3719" s="50"/>
      <c r="I3719" s="51"/>
    </row>
    <row r="3720" ht="22.5" customHeight="1">
      <c r="A3720" s="42"/>
      <c r="B3720" s="47"/>
      <c r="C3720" s="46"/>
      <c r="D3720" s="47"/>
      <c r="E3720" s="46"/>
      <c r="F3720" s="47"/>
      <c r="G3720" s="46"/>
      <c r="H3720" s="48"/>
      <c r="I3720" s="49"/>
    </row>
    <row r="3721" ht="22.5" customHeight="1">
      <c r="A3721" s="42"/>
      <c r="B3721" s="47"/>
      <c r="C3721" s="46"/>
      <c r="D3721" s="47"/>
      <c r="E3721" s="46"/>
      <c r="F3721" s="47"/>
      <c r="G3721" s="46"/>
      <c r="H3721" s="50"/>
      <c r="I3721" s="51"/>
    </row>
    <row r="3722" ht="22.5" customHeight="1">
      <c r="A3722" s="42"/>
      <c r="B3722" s="47"/>
      <c r="C3722" s="46"/>
      <c r="D3722" s="47"/>
      <c r="E3722" s="46"/>
      <c r="F3722" s="47"/>
      <c r="G3722" s="46"/>
      <c r="H3722" s="48"/>
      <c r="I3722" s="49"/>
    </row>
    <row r="3723" ht="22.5" customHeight="1">
      <c r="A3723" s="42"/>
      <c r="B3723" s="47"/>
      <c r="C3723" s="46"/>
      <c r="D3723" s="47"/>
      <c r="E3723" s="46"/>
      <c r="F3723" s="47"/>
      <c r="G3723" s="46"/>
      <c r="H3723" s="50"/>
      <c r="I3723" s="51"/>
    </row>
    <row r="3724" ht="22.5" customHeight="1">
      <c r="A3724" s="42"/>
      <c r="B3724" s="47"/>
      <c r="C3724" s="46"/>
      <c r="D3724" s="47"/>
      <c r="E3724" s="46"/>
      <c r="F3724" s="47"/>
      <c r="G3724" s="46"/>
      <c r="H3724" s="48"/>
      <c r="I3724" s="49"/>
    </row>
    <row r="3725" ht="22.5" customHeight="1">
      <c r="A3725" s="42"/>
      <c r="B3725" s="47"/>
      <c r="C3725" s="46"/>
      <c r="D3725" s="47"/>
      <c r="E3725" s="46"/>
      <c r="F3725" s="47"/>
      <c r="G3725" s="46"/>
      <c r="H3725" s="50"/>
      <c r="I3725" s="51"/>
    </row>
    <row r="3726" ht="22.5" customHeight="1">
      <c r="A3726" s="42"/>
      <c r="B3726" s="47"/>
      <c r="C3726" s="46"/>
      <c r="D3726" s="47"/>
      <c r="E3726" s="46"/>
      <c r="F3726" s="47"/>
      <c r="G3726" s="46"/>
      <c r="H3726" s="48"/>
      <c r="I3726" s="49"/>
    </row>
    <row r="3727" ht="22.5" customHeight="1">
      <c r="A3727" s="42"/>
      <c r="B3727" s="47"/>
      <c r="C3727" s="46"/>
      <c r="D3727" s="47"/>
      <c r="E3727" s="46"/>
      <c r="F3727" s="47"/>
      <c r="G3727" s="46"/>
      <c r="H3727" s="50"/>
      <c r="I3727" s="51"/>
    </row>
    <row r="3728" ht="22.5" customHeight="1">
      <c r="A3728" s="42"/>
      <c r="B3728" s="47"/>
      <c r="C3728" s="46"/>
      <c r="D3728" s="47"/>
      <c r="E3728" s="46"/>
      <c r="F3728" s="47"/>
      <c r="G3728" s="46"/>
      <c r="H3728" s="48"/>
      <c r="I3728" s="49"/>
    </row>
    <row r="3729" ht="22.5" customHeight="1">
      <c r="A3729" s="42"/>
      <c r="B3729" s="47"/>
      <c r="C3729" s="46"/>
      <c r="D3729" s="47"/>
      <c r="E3729" s="46"/>
      <c r="F3729" s="47"/>
      <c r="G3729" s="46"/>
      <c r="H3729" s="50"/>
      <c r="I3729" s="51"/>
    </row>
    <row r="3730" ht="22.5" customHeight="1">
      <c r="A3730" s="42"/>
      <c r="B3730" s="47"/>
      <c r="C3730" s="46"/>
      <c r="D3730" s="47"/>
      <c r="E3730" s="46"/>
      <c r="F3730" s="47"/>
      <c r="G3730" s="46"/>
      <c r="H3730" s="48"/>
      <c r="I3730" s="49"/>
    </row>
    <row r="3731" ht="22.5" customHeight="1">
      <c r="A3731" s="42"/>
      <c r="B3731" s="47"/>
      <c r="C3731" s="46"/>
      <c r="D3731" s="47"/>
      <c r="E3731" s="46"/>
      <c r="F3731" s="47"/>
      <c r="G3731" s="46"/>
      <c r="H3731" s="50"/>
      <c r="I3731" s="51"/>
    </row>
    <row r="3732" ht="22.5" customHeight="1">
      <c r="A3732" s="42"/>
      <c r="B3732" s="47"/>
      <c r="C3732" s="46"/>
      <c r="D3732" s="47"/>
      <c r="E3732" s="46"/>
      <c r="F3732" s="47"/>
      <c r="G3732" s="46"/>
      <c r="H3732" s="48"/>
      <c r="I3732" s="49"/>
    </row>
    <row r="3733" ht="22.5" customHeight="1">
      <c r="A3733" s="42"/>
      <c r="B3733" s="47"/>
      <c r="C3733" s="46"/>
      <c r="D3733" s="47"/>
      <c r="E3733" s="46"/>
      <c r="F3733" s="47"/>
      <c r="G3733" s="46"/>
      <c r="H3733" s="50"/>
      <c r="I3733" s="51"/>
    </row>
    <row r="3734" ht="22.5" customHeight="1">
      <c r="A3734" s="42"/>
      <c r="B3734" s="47"/>
      <c r="C3734" s="46"/>
      <c r="D3734" s="47"/>
      <c r="E3734" s="46"/>
      <c r="F3734" s="47"/>
      <c r="G3734" s="46"/>
      <c r="H3734" s="48"/>
      <c r="I3734" s="49"/>
    </row>
    <row r="3735" ht="22.5" customHeight="1">
      <c r="A3735" s="42"/>
      <c r="B3735" s="47"/>
      <c r="C3735" s="46"/>
      <c r="D3735" s="47"/>
      <c r="E3735" s="46"/>
      <c r="F3735" s="47"/>
      <c r="G3735" s="46"/>
      <c r="H3735" s="50"/>
      <c r="I3735" s="51"/>
    </row>
    <row r="3736" ht="22.5" customHeight="1">
      <c r="A3736" s="42"/>
      <c r="B3736" s="47"/>
      <c r="C3736" s="46"/>
      <c r="D3736" s="47"/>
      <c r="E3736" s="46"/>
      <c r="F3736" s="47"/>
      <c r="G3736" s="46"/>
      <c r="H3736" s="48"/>
      <c r="I3736" s="49"/>
    </row>
    <row r="3737" ht="22.5" customHeight="1">
      <c r="A3737" s="42"/>
      <c r="B3737" s="47"/>
      <c r="C3737" s="46"/>
      <c r="D3737" s="47"/>
      <c r="E3737" s="46"/>
      <c r="F3737" s="47"/>
      <c r="G3737" s="46"/>
      <c r="H3737" s="50"/>
      <c r="I3737" s="51"/>
    </row>
    <row r="3738" ht="22.5" customHeight="1">
      <c r="A3738" s="42"/>
      <c r="B3738" s="47"/>
      <c r="C3738" s="46"/>
      <c r="D3738" s="47"/>
      <c r="E3738" s="46"/>
      <c r="F3738" s="47"/>
      <c r="G3738" s="46"/>
      <c r="H3738" s="48"/>
      <c r="I3738" s="49"/>
    </row>
    <row r="3739" ht="22.5" customHeight="1">
      <c r="A3739" s="42"/>
      <c r="B3739" s="47"/>
      <c r="C3739" s="46"/>
      <c r="D3739" s="47"/>
      <c r="E3739" s="46"/>
      <c r="F3739" s="47"/>
      <c r="G3739" s="46"/>
      <c r="H3739" s="50"/>
      <c r="I3739" s="51"/>
    </row>
    <row r="3740" ht="22.5" customHeight="1">
      <c r="A3740" s="42"/>
      <c r="B3740" s="47"/>
      <c r="C3740" s="46"/>
      <c r="D3740" s="47"/>
      <c r="E3740" s="46"/>
      <c r="F3740" s="47"/>
      <c r="G3740" s="46"/>
      <c r="H3740" s="48"/>
      <c r="I3740" s="49"/>
    </row>
    <row r="3741" ht="22.5" customHeight="1">
      <c r="A3741" s="42"/>
      <c r="B3741" s="47"/>
      <c r="C3741" s="46"/>
      <c r="D3741" s="47"/>
      <c r="E3741" s="46"/>
      <c r="F3741" s="47"/>
      <c r="G3741" s="46"/>
      <c r="H3741" s="50"/>
      <c r="I3741" s="51"/>
    </row>
    <row r="3742" ht="22.5" customHeight="1">
      <c r="A3742" s="42"/>
      <c r="B3742" s="47"/>
      <c r="C3742" s="46"/>
      <c r="D3742" s="47"/>
      <c r="E3742" s="46"/>
      <c r="F3742" s="47"/>
      <c r="G3742" s="46"/>
      <c r="H3742" s="48"/>
      <c r="I3742" s="49"/>
    </row>
    <row r="3743" ht="22.5" customHeight="1">
      <c r="A3743" s="42"/>
      <c r="B3743" s="47"/>
      <c r="C3743" s="46"/>
      <c r="D3743" s="47"/>
      <c r="E3743" s="46"/>
      <c r="F3743" s="47"/>
      <c r="G3743" s="46"/>
      <c r="H3743" s="50"/>
      <c r="I3743" s="51"/>
    </row>
    <row r="3744" ht="22.5" customHeight="1">
      <c r="A3744" s="42"/>
      <c r="B3744" s="47"/>
      <c r="C3744" s="46"/>
      <c r="D3744" s="47"/>
      <c r="E3744" s="46"/>
      <c r="F3744" s="47"/>
      <c r="G3744" s="46"/>
      <c r="H3744" s="48"/>
      <c r="I3744" s="49"/>
    </row>
    <row r="3745" ht="22.5" customHeight="1">
      <c r="A3745" s="42"/>
      <c r="B3745" s="47"/>
      <c r="C3745" s="46"/>
      <c r="D3745" s="47"/>
      <c r="E3745" s="46"/>
      <c r="F3745" s="47"/>
      <c r="G3745" s="46"/>
      <c r="H3745" s="50"/>
      <c r="I3745" s="51"/>
    </row>
    <row r="3746" ht="22.5" customHeight="1">
      <c r="A3746" s="42"/>
      <c r="B3746" s="47"/>
      <c r="C3746" s="46"/>
      <c r="D3746" s="47"/>
      <c r="E3746" s="46"/>
      <c r="F3746" s="47"/>
      <c r="G3746" s="46"/>
      <c r="H3746" s="48"/>
      <c r="I3746" s="49"/>
    </row>
    <row r="3747" ht="22.5" customHeight="1">
      <c r="A3747" s="42"/>
      <c r="B3747" s="47"/>
      <c r="C3747" s="46"/>
      <c r="D3747" s="47"/>
      <c r="E3747" s="46"/>
      <c r="F3747" s="47"/>
      <c r="G3747" s="46"/>
      <c r="H3747" s="50"/>
      <c r="I3747" s="51"/>
    </row>
    <row r="3748" ht="22.5" customHeight="1">
      <c r="A3748" s="42"/>
      <c r="B3748" s="47"/>
      <c r="C3748" s="46"/>
      <c r="D3748" s="47"/>
      <c r="E3748" s="46"/>
      <c r="F3748" s="47"/>
      <c r="G3748" s="46"/>
      <c r="H3748" s="48"/>
      <c r="I3748" s="49"/>
    </row>
    <row r="3749" ht="22.5" customHeight="1">
      <c r="A3749" s="42"/>
      <c r="B3749" s="47"/>
      <c r="C3749" s="46"/>
      <c r="D3749" s="47"/>
      <c r="E3749" s="46"/>
      <c r="F3749" s="47"/>
      <c r="G3749" s="46"/>
      <c r="H3749" s="50"/>
      <c r="I3749" s="51"/>
    </row>
    <row r="3750" ht="22.5" customHeight="1">
      <c r="A3750" s="42"/>
      <c r="B3750" s="47"/>
      <c r="C3750" s="46"/>
      <c r="D3750" s="47"/>
      <c r="E3750" s="46"/>
      <c r="F3750" s="47"/>
      <c r="G3750" s="46"/>
      <c r="H3750" s="48"/>
      <c r="I3750" s="49"/>
    </row>
    <row r="3751" ht="22.5" customHeight="1">
      <c r="A3751" s="42"/>
      <c r="B3751" s="47"/>
      <c r="C3751" s="46"/>
      <c r="D3751" s="47"/>
      <c r="E3751" s="46"/>
      <c r="F3751" s="47"/>
      <c r="G3751" s="46"/>
      <c r="H3751" s="50"/>
      <c r="I3751" s="51"/>
    </row>
    <row r="3752" ht="22.5" customHeight="1">
      <c r="A3752" s="42"/>
      <c r="B3752" s="47"/>
      <c r="C3752" s="46"/>
      <c r="D3752" s="47"/>
      <c r="E3752" s="46"/>
      <c r="F3752" s="47"/>
      <c r="G3752" s="46"/>
      <c r="H3752" s="48"/>
      <c r="I3752" s="49"/>
    </row>
    <row r="3753" ht="22.5" customHeight="1">
      <c r="A3753" s="42"/>
      <c r="B3753" s="47"/>
      <c r="C3753" s="46"/>
      <c r="D3753" s="47"/>
      <c r="E3753" s="46"/>
      <c r="F3753" s="47"/>
      <c r="G3753" s="46"/>
      <c r="H3753" s="50"/>
      <c r="I3753" s="51"/>
    </row>
    <row r="3754" ht="22.5" customHeight="1">
      <c r="A3754" s="42"/>
      <c r="B3754" s="47"/>
      <c r="C3754" s="46"/>
      <c r="D3754" s="47"/>
      <c r="E3754" s="46"/>
      <c r="F3754" s="47"/>
      <c r="G3754" s="46"/>
      <c r="H3754" s="48"/>
      <c r="I3754" s="49"/>
    </row>
    <row r="3755" ht="22.5" customHeight="1">
      <c r="A3755" s="42"/>
      <c r="B3755" s="47"/>
      <c r="C3755" s="46"/>
      <c r="D3755" s="47"/>
      <c r="E3755" s="46"/>
      <c r="F3755" s="47"/>
      <c r="G3755" s="46"/>
      <c r="H3755" s="50"/>
      <c r="I3755" s="51"/>
    </row>
    <row r="3756" ht="22.5" customHeight="1">
      <c r="A3756" s="42"/>
      <c r="B3756" s="47"/>
      <c r="C3756" s="46"/>
      <c r="D3756" s="47"/>
      <c r="E3756" s="46"/>
      <c r="F3756" s="47"/>
      <c r="G3756" s="46"/>
      <c r="H3756" s="48"/>
      <c r="I3756" s="49"/>
    </row>
    <row r="3757" ht="22.5" customHeight="1">
      <c r="A3757" s="42"/>
      <c r="B3757" s="47"/>
      <c r="C3757" s="46"/>
      <c r="D3757" s="47"/>
      <c r="E3757" s="46"/>
      <c r="F3757" s="47"/>
      <c r="G3757" s="46"/>
      <c r="H3757" s="50"/>
      <c r="I3757" s="51"/>
    </row>
    <row r="3758" ht="22.5" customHeight="1">
      <c r="A3758" s="42"/>
      <c r="B3758" s="47"/>
      <c r="C3758" s="46"/>
      <c r="D3758" s="47"/>
      <c r="E3758" s="46"/>
      <c r="F3758" s="47"/>
      <c r="G3758" s="46"/>
      <c r="H3758" s="48"/>
      <c r="I3758" s="49"/>
    </row>
    <row r="3759" ht="22.5" customHeight="1">
      <c r="A3759" s="42"/>
      <c r="B3759" s="47"/>
      <c r="C3759" s="46"/>
      <c r="D3759" s="47"/>
      <c r="E3759" s="46"/>
      <c r="F3759" s="47"/>
      <c r="G3759" s="46"/>
      <c r="H3759" s="50"/>
      <c r="I3759" s="51"/>
    </row>
    <row r="3760" ht="22.5" customHeight="1">
      <c r="A3760" s="42"/>
      <c r="B3760" s="47"/>
      <c r="C3760" s="46"/>
      <c r="D3760" s="47"/>
      <c r="E3760" s="46"/>
      <c r="F3760" s="47"/>
      <c r="G3760" s="46"/>
      <c r="H3760" s="48"/>
      <c r="I3760" s="49"/>
    </row>
    <row r="3761" ht="22.5" customHeight="1">
      <c r="A3761" s="42"/>
      <c r="B3761" s="47"/>
      <c r="C3761" s="46"/>
      <c r="D3761" s="47"/>
      <c r="E3761" s="46"/>
      <c r="F3761" s="47"/>
      <c r="G3761" s="46"/>
      <c r="H3761" s="50"/>
      <c r="I3761" s="51"/>
    </row>
    <row r="3762" ht="22.5" customHeight="1">
      <c r="A3762" s="42"/>
      <c r="B3762" s="47"/>
      <c r="C3762" s="46"/>
      <c r="D3762" s="47"/>
      <c r="E3762" s="46"/>
      <c r="F3762" s="47"/>
      <c r="G3762" s="46"/>
      <c r="H3762" s="48"/>
      <c r="I3762" s="49"/>
    </row>
    <row r="3763" ht="22.5" customHeight="1">
      <c r="A3763" s="42"/>
      <c r="B3763" s="47"/>
      <c r="C3763" s="46"/>
      <c r="D3763" s="47"/>
      <c r="E3763" s="46"/>
      <c r="F3763" s="47"/>
      <c r="G3763" s="46"/>
      <c r="H3763" s="50"/>
      <c r="I3763" s="51"/>
    </row>
    <row r="3764" ht="22.5" customHeight="1">
      <c r="A3764" s="42"/>
      <c r="B3764" s="47"/>
      <c r="C3764" s="46"/>
      <c r="D3764" s="47"/>
      <c r="E3764" s="46"/>
      <c r="F3764" s="47"/>
      <c r="G3764" s="46"/>
      <c r="H3764" s="48"/>
      <c r="I3764" s="49"/>
    </row>
    <row r="3765" ht="22.5" customHeight="1">
      <c r="A3765" s="42"/>
      <c r="B3765" s="47"/>
      <c r="C3765" s="46"/>
      <c r="D3765" s="47"/>
      <c r="E3765" s="46"/>
      <c r="F3765" s="47"/>
      <c r="G3765" s="46"/>
      <c r="H3765" s="50"/>
      <c r="I3765" s="51"/>
    </row>
    <row r="3766" ht="22.5" customHeight="1">
      <c r="A3766" s="42"/>
      <c r="B3766" s="47"/>
      <c r="C3766" s="46"/>
      <c r="D3766" s="47"/>
      <c r="E3766" s="46"/>
      <c r="F3766" s="47"/>
      <c r="G3766" s="46"/>
      <c r="H3766" s="48"/>
      <c r="I3766" s="49"/>
    </row>
    <row r="3767" ht="22.5" customHeight="1">
      <c r="A3767" s="42"/>
      <c r="B3767" s="47"/>
      <c r="C3767" s="46"/>
      <c r="D3767" s="47"/>
      <c r="E3767" s="46"/>
      <c r="F3767" s="47"/>
      <c r="G3767" s="46"/>
      <c r="H3767" s="50"/>
      <c r="I3767" s="51"/>
    </row>
    <row r="3768" ht="22.5" customHeight="1">
      <c r="A3768" s="42"/>
      <c r="B3768" s="47"/>
      <c r="C3768" s="46"/>
      <c r="D3768" s="47"/>
      <c r="E3768" s="46"/>
      <c r="F3768" s="47"/>
      <c r="G3768" s="46"/>
      <c r="H3768" s="48"/>
      <c r="I3768" s="49"/>
    </row>
    <row r="3769" ht="22.5" customHeight="1">
      <c r="A3769" s="42"/>
      <c r="B3769" s="47"/>
      <c r="C3769" s="46"/>
      <c r="D3769" s="47"/>
      <c r="E3769" s="46"/>
      <c r="F3769" s="47"/>
      <c r="G3769" s="46"/>
      <c r="H3769" s="50"/>
      <c r="I3769" s="51"/>
    </row>
    <row r="3770" ht="22.5" customHeight="1">
      <c r="A3770" s="42"/>
      <c r="B3770" s="47"/>
      <c r="C3770" s="46"/>
      <c r="D3770" s="47"/>
      <c r="E3770" s="46"/>
      <c r="F3770" s="47"/>
      <c r="G3770" s="46"/>
      <c r="H3770" s="48"/>
      <c r="I3770" s="49"/>
    </row>
    <row r="3771" ht="22.5" customHeight="1">
      <c r="A3771" s="42"/>
      <c r="B3771" s="47"/>
      <c r="C3771" s="46"/>
      <c r="D3771" s="47"/>
      <c r="E3771" s="46"/>
      <c r="F3771" s="47"/>
      <c r="G3771" s="46"/>
      <c r="H3771" s="50"/>
      <c r="I3771" s="51"/>
    </row>
    <row r="3772" ht="22.5" customHeight="1">
      <c r="A3772" s="42"/>
      <c r="B3772" s="47"/>
      <c r="C3772" s="46"/>
      <c r="D3772" s="47"/>
      <c r="E3772" s="46"/>
      <c r="F3772" s="47"/>
      <c r="G3772" s="46"/>
      <c r="H3772" s="48"/>
      <c r="I3772" s="49"/>
    </row>
    <row r="3773" ht="22.5" customHeight="1">
      <c r="A3773" s="42"/>
      <c r="B3773" s="47"/>
      <c r="C3773" s="46"/>
      <c r="D3773" s="47"/>
      <c r="E3773" s="46"/>
      <c r="F3773" s="47"/>
      <c r="G3773" s="46"/>
      <c r="H3773" s="50"/>
      <c r="I3773" s="51"/>
    </row>
    <row r="3774" ht="22.5" customHeight="1">
      <c r="A3774" s="42"/>
      <c r="B3774" s="47"/>
      <c r="C3774" s="46"/>
      <c r="D3774" s="47"/>
      <c r="E3774" s="46"/>
      <c r="F3774" s="47"/>
      <c r="G3774" s="46"/>
      <c r="H3774" s="48"/>
      <c r="I3774" s="49"/>
    </row>
    <row r="3775" ht="22.5" customHeight="1">
      <c r="A3775" s="42"/>
      <c r="B3775" s="47"/>
      <c r="C3775" s="46"/>
      <c r="D3775" s="47"/>
      <c r="E3775" s="46"/>
      <c r="F3775" s="47"/>
      <c r="G3775" s="46"/>
      <c r="H3775" s="50"/>
      <c r="I3775" s="51"/>
    </row>
    <row r="3776" ht="22.5" customHeight="1">
      <c r="A3776" s="42"/>
      <c r="B3776" s="47"/>
      <c r="C3776" s="46"/>
      <c r="D3776" s="47"/>
      <c r="E3776" s="46"/>
      <c r="F3776" s="47"/>
      <c r="G3776" s="46"/>
      <c r="H3776" s="48"/>
      <c r="I3776" s="49"/>
    </row>
    <row r="3777" ht="22.5" customHeight="1">
      <c r="A3777" s="42"/>
      <c r="B3777" s="47"/>
      <c r="C3777" s="46"/>
      <c r="D3777" s="47"/>
      <c r="E3777" s="46"/>
      <c r="F3777" s="47"/>
      <c r="G3777" s="46"/>
      <c r="H3777" s="50"/>
      <c r="I3777" s="51"/>
    </row>
    <row r="3778" ht="22.5" customHeight="1">
      <c r="A3778" s="42"/>
      <c r="B3778" s="47"/>
      <c r="C3778" s="46"/>
      <c r="D3778" s="47"/>
      <c r="E3778" s="46"/>
      <c r="F3778" s="47"/>
      <c r="G3778" s="46"/>
      <c r="H3778" s="48"/>
      <c r="I3778" s="49"/>
    </row>
    <row r="3779" ht="22.5" customHeight="1">
      <c r="A3779" s="42"/>
      <c r="B3779" s="47"/>
      <c r="C3779" s="46"/>
      <c r="D3779" s="47"/>
      <c r="E3779" s="46"/>
      <c r="F3779" s="47"/>
      <c r="G3779" s="46"/>
      <c r="H3779" s="50"/>
      <c r="I3779" s="51"/>
    </row>
    <row r="3780" ht="22.5" customHeight="1">
      <c r="A3780" s="42"/>
      <c r="B3780" s="47"/>
      <c r="C3780" s="46"/>
      <c r="D3780" s="47"/>
      <c r="E3780" s="46"/>
      <c r="F3780" s="47"/>
      <c r="G3780" s="46"/>
      <c r="H3780" s="48"/>
      <c r="I3780" s="49"/>
    </row>
    <row r="3781" ht="22.5" customHeight="1">
      <c r="A3781" s="42"/>
      <c r="B3781" s="47"/>
      <c r="C3781" s="46"/>
      <c r="D3781" s="47"/>
      <c r="E3781" s="46"/>
      <c r="F3781" s="47"/>
      <c r="G3781" s="46"/>
      <c r="H3781" s="50"/>
      <c r="I3781" s="51"/>
    </row>
    <row r="3782" ht="22.5" customHeight="1">
      <c r="A3782" s="42"/>
      <c r="B3782" s="47"/>
      <c r="C3782" s="46"/>
      <c r="D3782" s="47"/>
      <c r="E3782" s="46"/>
      <c r="F3782" s="47"/>
      <c r="G3782" s="46"/>
      <c r="H3782" s="48"/>
      <c r="I3782" s="49"/>
    </row>
    <row r="3783" ht="22.5" customHeight="1">
      <c r="A3783" s="42"/>
      <c r="B3783" s="47"/>
      <c r="C3783" s="46"/>
      <c r="D3783" s="47"/>
      <c r="E3783" s="46"/>
      <c r="F3783" s="47"/>
      <c r="G3783" s="46"/>
      <c r="H3783" s="50"/>
      <c r="I3783" s="51"/>
    </row>
    <row r="3784" ht="22.5" customHeight="1">
      <c r="A3784" s="42"/>
      <c r="B3784" s="47"/>
      <c r="C3784" s="46"/>
      <c r="D3784" s="47"/>
      <c r="E3784" s="46"/>
      <c r="F3784" s="47"/>
      <c r="G3784" s="46"/>
      <c r="H3784" s="48"/>
      <c r="I3784" s="49"/>
    </row>
    <row r="3785" ht="22.5" customHeight="1">
      <c r="A3785" s="42"/>
      <c r="B3785" s="47"/>
      <c r="C3785" s="46"/>
      <c r="D3785" s="47"/>
      <c r="E3785" s="46"/>
      <c r="F3785" s="47"/>
      <c r="G3785" s="46"/>
      <c r="H3785" s="50"/>
      <c r="I3785" s="51"/>
    </row>
    <row r="3786" ht="22.5" customHeight="1">
      <c r="A3786" s="42"/>
      <c r="B3786" s="47"/>
      <c r="C3786" s="46"/>
      <c r="D3786" s="47"/>
      <c r="E3786" s="46"/>
      <c r="F3786" s="47"/>
      <c r="G3786" s="46"/>
      <c r="H3786" s="48"/>
      <c r="I3786" s="49"/>
    </row>
    <row r="3787" ht="22.5" customHeight="1">
      <c r="A3787" s="42"/>
      <c r="B3787" s="47"/>
      <c r="C3787" s="46"/>
      <c r="D3787" s="47"/>
      <c r="E3787" s="46"/>
      <c r="F3787" s="47"/>
      <c r="G3787" s="46"/>
      <c r="H3787" s="50"/>
      <c r="I3787" s="51"/>
    </row>
    <row r="3788" ht="22.5" customHeight="1">
      <c r="A3788" s="42"/>
      <c r="B3788" s="47"/>
      <c r="C3788" s="46"/>
      <c r="D3788" s="47"/>
      <c r="E3788" s="46"/>
      <c r="F3788" s="47"/>
      <c r="G3788" s="46"/>
      <c r="H3788" s="48"/>
      <c r="I3788" s="49"/>
    </row>
    <row r="3789" ht="22.5" customHeight="1">
      <c r="A3789" s="42"/>
      <c r="B3789" s="47"/>
      <c r="C3789" s="46"/>
      <c r="D3789" s="47"/>
      <c r="E3789" s="46"/>
      <c r="F3789" s="47"/>
      <c r="G3789" s="46"/>
      <c r="H3789" s="50"/>
      <c r="I3789" s="51"/>
    </row>
    <row r="3790" ht="22.5" customHeight="1">
      <c r="A3790" s="42"/>
      <c r="B3790" s="47"/>
      <c r="C3790" s="46"/>
      <c r="D3790" s="47"/>
      <c r="E3790" s="46"/>
      <c r="F3790" s="47"/>
      <c r="G3790" s="46"/>
      <c r="H3790" s="48"/>
      <c r="I3790" s="49"/>
    </row>
    <row r="3791" ht="22.5" customHeight="1">
      <c r="A3791" s="42"/>
      <c r="B3791" s="47"/>
      <c r="C3791" s="46"/>
      <c r="D3791" s="47"/>
      <c r="E3791" s="46"/>
      <c r="F3791" s="47"/>
      <c r="G3791" s="46"/>
      <c r="H3791" s="50"/>
      <c r="I3791" s="51"/>
    </row>
    <row r="3792" ht="22.5" customHeight="1">
      <c r="A3792" s="42"/>
      <c r="B3792" s="47"/>
      <c r="C3792" s="46"/>
      <c r="D3792" s="47"/>
      <c r="E3792" s="46"/>
      <c r="F3792" s="47"/>
      <c r="G3792" s="46"/>
      <c r="H3792" s="48"/>
      <c r="I3792" s="49"/>
    </row>
    <row r="3793" ht="22.5" customHeight="1">
      <c r="A3793" s="42"/>
      <c r="B3793" s="47"/>
      <c r="C3793" s="46"/>
      <c r="D3793" s="47"/>
      <c r="E3793" s="46"/>
      <c r="F3793" s="47"/>
      <c r="G3793" s="46"/>
      <c r="H3793" s="50"/>
      <c r="I3793" s="51"/>
    </row>
    <row r="3794" ht="22.5" customHeight="1">
      <c r="A3794" s="42"/>
      <c r="B3794" s="47"/>
      <c r="C3794" s="46"/>
      <c r="D3794" s="47"/>
      <c r="E3794" s="46"/>
      <c r="F3794" s="47"/>
      <c r="G3794" s="46"/>
      <c r="H3794" s="48"/>
      <c r="I3794" s="49"/>
    </row>
    <row r="3795" ht="22.5" customHeight="1">
      <c r="A3795" s="42"/>
      <c r="B3795" s="47"/>
      <c r="C3795" s="46"/>
      <c r="D3795" s="47"/>
      <c r="E3795" s="46"/>
      <c r="F3795" s="47"/>
      <c r="G3795" s="46"/>
      <c r="H3795" s="50"/>
      <c r="I3795" s="51"/>
    </row>
    <row r="3796" ht="22.5" customHeight="1">
      <c r="A3796" s="42"/>
      <c r="B3796" s="47"/>
      <c r="C3796" s="46"/>
      <c r="D3796" s="47"/>
      <c r="E3796" s="46"/>
      <c r="F3796" s="47"/>
      <c r="G3796" s="46"/>
      <c r="H3796" s="48"/>
      <c r="I3796" s="49"/>
    </row>
    <row r="3797" ht="22.5" customHeight="1">
      <c r="A3797" s="42"/>
      <c r="B3797" s="47"/>
      <c r="C3797" s="46"/>
      <c r="D3797" s="47"/>
      <c r="E3797" s="46"/>
      <c r="F3797" s="47"/>
      <c r="G3797" s="46"/>
      <c r="H3797" s="50"/>
      <c r="I3797" s="51"/>
    </row>
    <row r="3798" ht="22.5" customHeight="1">
      <c r="A3798" s="42"/>
      <c r="B3798" s="47"/>
      <c r="C3798" s="46"/>
      <c r="D3798" s="47"/>
      <c r="E3798" s="46"/>
      <c r="F3798" s="47"/>
      <c r="G3798" s="46"/>
      <c r="H3798" s="48"/>
      <c r="I3798" s="49"/>
    </row>
    <row r="3799" ht="22.5" customHeight="1">
      <c r="A3799" s="42"/>
      <c r="B3799" s="47"/>
      <c r="C3799" s="46"/>
      <c r="D3799" s="47"/>
      <c r="E3799" s="46"/>
      <c r="F3799" s="47"/>
      <c r="G3799" s="46"/>
      <c r="H3799" s="50"/>
      <c r="I3799" s="51"/>
    </row>
    <row r="3800" ht="22.5" customHeight="1">
      <c r="A3800" s="42"/>
      <c r="B3800" s="47"/>
      <c r="C3800" s="46"/>
      <c r="D3800" s="47"/>
      <c r="E3800" s="46"/>
      <c r="F3800" s="47"/>
      <c r="G3800" s="46"/>
      <c r="H3800" s="48"/>
      <c r="I3800" s="49"/>
    </row>
    <row r="3801" ht="22.5" customHeight="1">
      <c r="A3801" s="42"/>
      <c r="B3801" s="47"/>
      <c r="C3801" s="46"/>
      <c r="D3801" s="47"/>
      <c r="E3801" s="46"/>
      <c r="F3801" s="47"/>
      <c r="G3801" s="46"/>
      <c r="H3801" s="50"/>
      <c r="I3801" s="51"/>
    </row>
    <row r="3802" ht="22.5" customHeight="1">
      <c r="A3802" s="42"/>
      <c r="B3802" s="47"/>
      <c r="C3802" s="46"/>
      <c r="D3802" s="47"/>
      <c r="E3802" s="46"/>
      <c r="F3802" s="47"/>
      <c r="G3802" s="46"/>
      <c r="H3802" s="48"/>
      <c r="I3802" s="49"/>
    </row>
    <row r="3803" ht="22.5" customHeight="1">
      <c r="A3803" s="42"/>
      <c r="B3803" s="47"/>
      <c r="C3803" s="46"/>
      <c r="D3803" s="47"/>
      <c r="E3803" s="46"/>
      <c r="F3803" s="47"/>
      <c r="G3803" s="46"/>
      <c r="H3803" s="50"/>
      <c r="I3803" s="51"/>
    </row>
    <row r="3804" ht="22.5" customHeight="1">
      <c r="A3804" s="42"/>
      <c r="B3804" s="47"/>
      <c r="C3804" s="46"/>
      <c r="D3804" s="47"/>
      <c r="E3804" s="46"/>
      <c r="F3804" s="47"/>
      <c r="G3804" s="46"/>
      <c r="H3804" s="48"/>
      <c r="I3804" s="49"/>
    </row>
    <row r="3805" ht="22.5" customHeight="1">
      <c r="A3805" s="42"/>
      <c r="B3805" s="47"/>
      <c r="C3805" s="46"/>
      <c r="D3805" s="47"/>
      <c r="E3805" s="46"/>
      <c r="F3805" s="47"/>
      <c r="G3805" s="46"/>
      <c r="H3805" s="50"/>
      <c r="I3805" s="51"/>
    </row>
    <row r="3806" ht="22.5" customHeight="1">
      <c r="A3806" s="42"/>
      <c r="B3806" s="47"/>
      <c r="C3806" s="46"/>
      <c r="D3806" s="47"/>
      <c r="E3806" s="46"/>
      <c r="F3806" s="47"/>
      <c r="G3806" s="46"/>
      <c r="H3806" s="48"/>
      <c r="I3806" s="49"/>
    </row>
    <row r="3807" ht="22.5" customHeight="1">
      <c r="A3807" s="42"/>
      <c r="B3807" s="47"/>
      <c r="C3807" s="46"/>
      <c r="D3807" s="47"/>
      <c r="E3807" s="46"/>
      <c r="F3807" s="47"/>
      <c r="G3807" s="46"/>
      <c r="H3807" s="50"/>
      <c r="I3807" s="51"/>
    </row>
    <row r="3808" ht="22.5" customHeight="1">
      <c r="A3808" s="42"/>
      <c r="B3808" s="47"/>
      <c r="C3808" s="46"/>
      <c r="D3808" s="47"/>
      <c r="E3808" s="46"/>
      <c r="F3808" s="47"/>
      <c r="G3808" s="46"/>
      <c r="H3808" s="48"/>
      <c r="I3808" s="49"/>
    </row>
    <row r="3809" ht="22.5" customHeight="1">
      <c r="A3809" s="42"/>
      <c r="B3809" s="47"/>
      <c r="C3809" s="46"/>
      <c r="D3809" s="47"/>
      <c r="E3809" s="46"/>
      <c r="F3809" s="47"/>
      <c r="G3809" s="46"/>
      <c r="H3809" s="50"/>
      <c r="I3809" s="51"/>
    </row>
    <row r="3810" ht="22.5" customHeight="1">
      <c r="A3810" s="42"/>
      <c r="B3810" s="47"/>
      <c r="C3810" s="46"/>
      <c r="D3810" s="47"/>
      <c r="E3810" s="46"/>
      <c r="F3810" s="47"/>
      <c r="G3810" s="46"/>
      <c r="H3810" s="48"/>
      <c r="I3810" s="49"/>
    </row>
    <row r="3811" ht="22.5" customHeight="1">
      <c r="A3811" s="42"/>
      <c r="B3811" s="47"/>
      <c r="C3811" s="46"/>
      <c r="D3811" s="47"/>
      <c r="E3811" s="46"/>
      <c r="F3811" s="47"/>
      <c r="G3811" s="46"/>
      <c r="H3811" s="50"/>
      <c r="I3811" s="51"/>
    </row>
    <row r="3812" ht="22.5" customHeight="1">
      <c r="A3812" s="42"/>
      <c r="B3812" s="47"/>
      <c r="C3812" s="46"/>
      <c r="D3812" s="47"/>
      <c r="E3812" s="46"/>
      <c r="F3812" s="47"/>
      <c r="G3812" s="46"/>
      <c r="H3812" s="48"/>
      <c r="I3812" s="49"/>
    </row>
    <row r="3813" ht="22.5" customHeight="1">
      <c r="A3813" s="42"/>
      <c r="B3813" s="47"/>
      <c r="C3813" s="46"/>
      <c r="D3813" s="47"/>
      <c r="E3813" s="46"/>
      <c r="F3813" s="47"/>
      <c r="G3813" s="46"/>
      <c r="H3813" s="50"/>
      <c r="I3813" s="51"/>
    </row>
    <row r="3814" ht="22.5" customHeight="1">
      <c r="A3814" s="42"/>
      <c r="B3814" s="47"/>
      <c r="C3814" s="46"/>
      <c r="D3814" s="47"/>
      <c r="E3814" s="46"/>
      <c r="F3814" s="47"/>
      <c r="G3814" s="46"/>
      <c r="H3814" s="48"/>
      <c r="I3814" s="49"/>
    </row>
    <row r="3815" ht="22.5" customHeight="1">
      <c r="A3815" s="42"/>
      <c r="B3815" s="47"/>
      <c r="C3815" s="46"/>
      <c r="D3815" s="47"/>
      <c r="E3815" s="46"/>
      <c r="F3815" s="47"/>
      <c r="G3815" s="46"/>
      <c r="H3815" s="50"/>
      <c r="I3815" s="51"/>
    </row>
    <row r="3816" ht="22.5" customHeight="1">
      <c r="A3816" s="42"/>
      <c r="B3816" s="47"/>
      <c r="C3816" s="46"/>
      <c r="D3816" s="47"/>
      <c r="E3816" s="46"/>
      <c r="F3816" s="47"/>
      <c r="G3816" s="46"/>
      <c r="H3816" s="48"/>
      <c r="I3816" s="49"/>
    </row>
    <row r="3817" ht="22.5" customHeight="1">
      <c r="A3817" s="42"/>
      <c r="B3817" s="47"/>
      <c r="C3817" s="46"/>
      <c r="D3817" s="47"/>
      <c r="E3817" s="46"/>
      <c r="F3817" s="47"/>
      <c r="G3817" s="46"/>
      <c r="H3817" s="50"/>
      <c r="I3817" s="51"/>
    </row>
    <row r="3818" ht="22.5" customHeight="1">
      <c r="A3818" s="42"/>
      <c r="B3818" s="47"/>
      <c r="C3818" s="46"/>
      <c r="D3818" s="47"/>
      <c r="E3818" s="46"/>
      <c r="F3818" s="47"/>
      <c r="G3818" s="46"/>
      <c r="H3818" s="48"/>
      <c r="I3818" s="49"/>
    </row>
    <row r="3819" ht="22.5" customHeight="1">
      <c r="A3819" s="42"/>
      <c r="B3819" s="47"/>
      <c r="C3819" s="46"/>
      <c r="D3819" s="47"/>
      <c r="E3819" s="46"/>
      <c r="F3819" s="47"/>
      <c r="G3819" s="46"/>
      <c r="H3819" s="50"/>
      <c r="I3819" s="51"/>
    </row>
    <row r="3820" ht="22.5" customHeight="1">
      <c r="A3820" s="42"/>
      <c r="B3820" s="47"/>
      <c r="C3820" s="46"/>
      <c r="D3820" s="47"/>
      <c r="E3820" s="46"/>
      <c r="F3820" s="47"/>
      <c r="G3820" s="46"/>
      <c r="H3820" s="48"/>
      <c r="I3820" s="49"/>
    </row>
    <row r="3821" ht="22.5" customHeight="1">
      <c r="A3821" s="42"/>
      <c r="B3821" s="47"/>
      <c r="C3821" s="46"/>
      <c r="D3821" s="47"/>
      <c r="E3821" s="46"/>
      <c r="F3821" s="47"/>
      <c r="G3821" s="46"/>
      <c r="H3821" s="50"/>
      <c r="I3821" s="51"/>
    </row>
    <row r="3822" ht="22.5" customHeight="1">
      <c r="A3822" s="42"/>
      <c r="B3822" s="47"/>
      <c r="C3822" s="46"/>
      <c r="D3822" s="47"/>
      <c r="E3822" s="46"/>
      <c r="F3822" s="47"/>
      <c r="G3822" s="46"/>
      <c r="H3822" s="48"/>
      <c r="I3822" s="49"/>
    </row>
    <row r="3823" ht="22.5" customHeight="1">
      <c r="A3823" s="42"/>
      <c r="B3823" s="47"/>
      <c r="C3823" s="46"/>
      <c r="D3823" s="47"/>
      <c r="E3823" s="46"/>
      <c r="F3823" s="47"/>
      <c r="G3823" s="46"/>
      <c r="H3823" s="50"/>
      <c r="I3823" s="51"/>
    </row>
    <row r="3824" ht="22.5" customHeight="1">
      <c r="A3824" s="42"/>
      <c r="B3824" s="47"/>
      <c r="C3824" s="46"/>
      <c r="D3824" s="47"/>
      <c r="E3824" s="46"/>
      <c r="F3824" s="47"/>
      <c r="G3824" s="46"/>
      <c r="H3824" s="48"/>
      <c r="I3824" s="49"/>
    </row>
    <row r="3825" ht="22.5" customHeight="1">
      <c r="A3825" s="42"/>
      <c r="B3825" s="47"/>
      <c r="C3825" s="46"/>
      <c r="D3825" s="47"/>
      <c r="E3825" s="46"/>
      <c r="F3825" s="47"/>
      <c r="G3825" s="46"/>
      <c r="H3825" s="50"/>
      <c r="I3825" s="51"/>
    </row>
    <row r="3826" ht="22.5" customHeight="1">
      <c r="A3826" s="42"/>
      <c r="B3826" s="47"/>
      <c r="C3826" s="46"/>
      <c r="D3826" s="47"/>
      <c r="E3826" s="46"/>
      <c r="F3826" s="47"/>
      <c r="G3826" s="46"/>
      <c r="H3826" s="48"/>
      <c r="I3826" s="49"/>
    </row>
    <row r="3827" ht="22.5" customHeight="1">
      <c r="A3827" s="42"/>
      <c r="B3827" s="47"/>
      <c r="C3827" s="46"/>
      <c r="D3827" s="47"/>
      <c r="E3827" s="46"/>
      <c r="F3827" s="47"/>
      <c r="G3827" s="46"/>
      <c r="H3827" s="50"/>
      <c r="I3827" s="51"/>
    </row>
    <row r="3828" ht="22.5" customHeight="1">
      <c r="A3828" s="42"/>
      <c r="B3828" s="47"/>
      <c r="C3828" s="46"/>
      <c r="D3828" s="47"/>
      <c r="E3828" s="46"/>
      <c r="F3828" s="47"/>
      <c r="G3828" s="46"/>
      <c r="H3828" s="48"/>
      <c r="I3828" s="49"/>
    </row>
    <row r="3829" ht="22.5" customHeight="1">
      <c r="A3829" s="42"/>
      <c r="B3829" s="47"/>
      <c r="C3829" s="46"/>
      <c r="D3829" s="47"/>
      <c r="E3829" s="46"/>
      <c r="F3829" s="47"/>
      <c r="G3829" s="46"/>
      <c r="H3829" s="50"/>
      <c r="I3829" s="51"/>
    </row>
    <row r="3830" ht="22.5" customHeight="1">
      <c r="A3830" s="42"/>
      <c r="B3830" s="47"/>
      <c r="C3830" s="46"/>
      <c r="D3830" s="47"/>
      <c r="E3830" s="46"/>
      <c r="F3830" s="47"/>
      <c r="G3830" s="46"/>
      <c r="H3830" s="48"/>
      <c r="I3830" s="49"/>
    </row>
    <row r="3831" ht="22.5" customHeight="1">
      <c r="A3831" s="42"/>
      <c r="B3831" s="47"/>
      <c r="C3831" s="46"/>
      <c r="D3831" s="47"/>
      <c r="E3831" s="46"/>
      <c r="F3831" s="47"/>
      <c r="G3831" s="46"/>
      <c r="H3831" s="50"/>
      <c r="I3831" s="51"/>
    </row>
    <row r="3832" ht="22.5" customHeight="1">
      <c r="A3832" s="42"/>
      <c r="B3832" s="47"/>
      <c r="C3832" s="46"/>
      <c r="D3832" s="47"/>
      <c r="E3832" s="46"/>
      <c r="F3832" s="47"/>
      <c r="G3832" s="46"/>
      <c r="H3832" s="48"/>
      <c r="I3832" s="49"/>
    </row>
    <row r="3833" ht="22.5" customHeight="1">
      <c r="A3833" s="42"/>
      <c r="B3833" s="47"/>
      <c r="C3833" s="46"/>
      <c r="D3833" s="47"/>
      <c r="E3833" s="46"/>
      <c r="F3833" s="47"/>
      <c r="G3833" s="46"/>
      <c r="H3833" s="50"/>
      <c r="I3833" s="51"/>
    </row>
    <row r="3834" ht="22.5" customHeight="1">
      <c r="A3834" s="42"/>
      <c r="B3834" s="47"/>
      <c r="C3834" s="46"/>
      <c r="D3834" s="47"/>
      <c r="E3834" s="46"/>
      <c r="F3834" s="47"/>
      <c r="G3834" s="46"/>
      <c r="H3834" s="48"/>
      <c r="I3834" s="49"/>
    </row>
    <row r="3835" ht="22.5" customHeight="1">
      <c r="A3835" s="42"/>
      <c r="B3835" s="47"/>
      <c r="C3835" s="46"/>
      <c r="D3835" s="47"/>
      <c r="E3835" s="46"/>
      <c r="F3835" s="47"/>
      <c r="G3835" s="46"/>
      <c r="H3835" s="50"/>
      <c r="I3835" s="51"/>
    </row>
    <row r="3836" ht="22.5" customHeight="1">
      <c r="A3836" s="42"/>
      <c r="B3836" s="47"/>
      <c r="C3836" s="46"/>
      <c r="D3836" s="47"/>
      <c r="E3836" s="46"/>
      <c r="F3836" s="47"/>
      <c r="G3836" s="46"/>
      <c r="H3836" s="48"/>
      <c r="I3836" s="49"/>
    </row>
    <row r="3837" ht="22.5" customHeight="1">
      <c r="A3837" s="42"/>
      <c r="B3837" s="47"/>
      <c r="C3837" s="46"/>
      <c r="D3837" s="47"/>
      <c r="E3837" s="46"/>
      <c r="F3837" s="47"/>
      <c r="G3837" s="46"/>
      <c r="H3837" s="50"/>
      <c r="I3837" s="51"/>
    </row>
    <row r="3838" ht="22.5" customHeight="1">
      <c r="A3838" s="42"/>
      <c r="B3838" s="47"/>
      <c r="C3838" s="46"/>
      <c r="D3838" s="47"/>
      <c r="E3838" s="46"/>
      <c r="F3838" s="47"/>
      <c r="G3838" s="46"/>
      <c r="H3838" s="48"/>
      <c r="I3838" s="49"/>
    </row>
    <row r="3839" ht="22.5" customHeight="1">
      <c r="A3839" s="42"/>
      <c r="B3839" s="47"/>
      <c r="C3839" s="46"/>
      <c r="D3839" s="47"/>
      <c r="E3839" s="46"/>
      <c r="F3839" s="47"/>
      <c r="G3839" s="46"/>
      <c r="H3839" s="50"/>
      <c r="I3839" s="51"/>
    </row>
    <row r="3840" ht="22.5" customHeight="1">
      <c r="A3840" s="42"/>
      <c r="B3840" s="47"/>
      <c r="C3840" s="46"/>
      <c r="D3840" s="47"/>
      <c r="E3840" s="46"/>
      <c r="F3840" s="47"/>
      <c r="G3840" s="46"/>
      <c r="H3840" s="48"/>
      <c r="I3840" s="49"/>
    </row>
    <row r="3841" ht="22.5" customHeight="1">
      <c r="A3841" s="42"/>
      <c r="B3841" s="47"/>
      <c r="C3841" s="46"/>
      <c r="D3841" s="47"/>
      <c r="E3841" s="46"/>
      <c r="F3841" s="47"/>
      <c r="G3841" s="46"/>
      <c r="H3841" s="50"/>
      <c r="I3841" s="51"/>
    </row>
    <row r="3842" ht="22.5" customHeight="1">
      <c r="A3842" s="42"/>
      <c r="B3842" s="47"/>
      <c r="C3842" s="46"/>
      <c r="D3842" s="47"/>
      <c r="E3842" s="46"/>
      <c r="F3842" s="47"/>
      <c r="G3842" s="46"/>
      <c r="H3842" s="48"/>
      <c r="I3842" s="49"/>
    </row>
    <row r="3843" ht="22.5" customHeight="1">
      <c r="A3843" s="42"/>
      <c r="B3843" s="47"/>
      <c r="C3843" s="46"/>
      <c r="D3843" s="47"/>
      <c r="E3843" s="46"/>
      <c r="F3843" s="47"/>
      <c r="G3843" s="46"/>
      <c r="H3843" s="50"/>
      <c r="I3843" s="51"/>
    </row>
    <row r="3844" ht="22.5" customHeight="1">
      <c r="A3844" s="42"/>
      <c r="B3844" s="47"/>
      <c r="C3844" s="46"/>
      <c r="D3844" s="47"/>
      <c r="E3844" s="46"/>
      <c r="F3844" s="47"/>
      <c r="G3844" s="46"/>
      <c r="H3844" s="48"/>
      <c r="I3844" s="49"/>
    </row>
    <row r="3845" ht="22.5" customHeight="1">
      <c r="A3845" s="42"/>
      <c r="B3845" s="47"/>
      <c r="C3845" s="46"/>
      <c r="D3845" s="47"/>
      <c r="E3845" s="46"/>
      <c r="F3845" s="47"/>
      <c r="G3845" s="46"/>
      <c r="H3845" s="50"/>
      <c r="I3845" s="51"/>
    </row>
    <row r="3846" ht="22.5" customHeight="1">
      <c r="A3846" s="42"/>
      <c r="B3846" s="47"/>
      <c r="C3846" s="46"/>
      <c r="D3846" s="47"/>
      <c r="E3846" s="46"/>
      <c r="F3846" s="47"/>
      <c r="G3846" s="46"/>
      <c r="H3846" s="48"/>
      <c r="I3846" s="49"/>
    </row>
    <row r="3847" ht="22.5" customHeight="1">
      <c r="A3847" s="42"/>
      <c r="B3847" s="47"/>
      <c r="C3847" s="46"/>
      <c r="D3847" s="47"/>
      <c r="E3847" s="46"/>
      <c r="F3847" s="47"/>
      <c r="G3847" s="46"/>
      <c r="H3847" s="50"/>
      <c r="I3847" s="51"/>
    </row>
    <row r="3848" ht="22.5" customHeight="1">
      <c r="A3848" s="42"/>
      <c r="B3848" s="47"/>
      <c r="C3848" s="46"/>
      <c r="D3848" s="47"/>
      <c r="E3848" s="46"/>
      <c r="F3848" s="47"/>
      <c r="G3848" s="46"/>
      <c r="H3848" s="48"/>
      <c r="I3848" s="49"/>
    </row>
    <row r="3849" ht="22.5" customHeight="1">
      <c r="A3849" s="42"/>
      <c r="B3849" s="47"/>
      <c r="C3849" s="46"/>
      <c r="D3849" s="47"/>
      <c r="E3849" s="46"/>
      <c r="F3849" s="47"/>
      <c r="G3849" s="46"/>
      <c r="H3849" s="50"/>
      <c r="I3849" s="51"/>
    </row>
    <row r="3850" ht="22.5" customHeight="1">
      <c r="A3850" s="42"/>
      <c r="B3850" s="47"/>
      <c r="C3850" s="46"/>
      <c r="D3850" s="47"/>
      <c r="E3850" s="46"/>
      <c r="F3850" s="47"/>
      <c r="G3850" s="46"/>
      <c r="H3850" s="48"/>
      <c r="I3850" s="49"/>
    </row>
    <row r="3851" ht="22.5" customHeight="1">
      <c r="A3851" s="42"/>
      <c r="B3851" s="47"/>
      <c r="C3851" s="46"/>
      <c r="D3851" s="47"/>
      <c r="E3851" s="46"/>
      <c r="F3851" s="47"/>
      <c r="G3851" s="46"/>
      <c r="H3851" s="50"/>
      <c r="I3851" s="51"/>
    </row>
    <row r="3852" ht="22.5" customHeight="1">
      <c r="A3852" s="42"/>
      <c r="B3852" s="47"/>
      <c r="C3852" s="46"/>
      <c r="D3852" s="47"/>
      <c r="E3852" s="46"/>
      <c r="F3852" s="47"/>
      <c r="G3852" s="46"/>
      <c r="H3852" s="48"/>
      <c r="I3852" s="49"/>
    </row>
    <row r="3853" ht="22.5" customHeight="1">
      <c r="A3853" s="42"/>
      <c r="B3853" s="47"/>
      <c r="C3853" s="46"/>
      <c r="D3853" s="47"/>
      <c r="E3853" s="46"/>
      <c r="F3853" s="47"/>
      <c r="G3853" s="46"/>
      <c r="H3853" s="50"/>
      <c r="I3853" s="51"/>
    </row>
    <row r="3854" ht="22.5" customHeight="1">
      <c r="A3854" s="42"/>
      <c r="B3854" s="47"/>
      <c r="C3854" s="46"/>
      <c r="D3854" s="47"/>
      <c r="E3854" s="46"/>
      <c r="F3854" s="47"/>
      <c r="G3854" s="46"/>
      <c r="H3854" s="48"/>
      <c r="I3854" s="49"/>
    </row>
    <row r="3855" ht="22.5" customHeight="1">
      <c r="A3855" s="42"/>
      <c r="B3855" s="47"/>
      <c r="C3855" s="46"/>
      <c r="D3855" s="47"/>
      <c r="E3855" s="46"/>
      <c r="F3855" s="47"/>
      <c r="G3855" s="46"/>
      <c r="H3855" s="50"/>
      <c r="I3855" s="51"/>
    </row>
    <row r="3856" ht="22.5" customHeight="1">
      <c r="A3856" s="42"/>
      <c r="B3856" s="47"/>
      <c r="C3856" s="46"/>
      <c r="D3856" s="47"/>
      <c r="E3856" s="46"/>
      <c r="F3856" s="47"/>
      <c r="G3856" s="46"/>
      <c r="H3856" s="48"/>
      <c r="I3856" s="49"/>
    </row>
    <row r="3857" ht="22.5" customHeight="1">
      <c r="A3857" s="42"/>
      <c r="B3857" s="47"/>
      <c r="C3857" s="46"/>
      <c r="D3857" s="47"/>
      <c r="E3857" s="46"/>
      <c r="F3857" s="47"/>
      <c r="G3857" s="46"/>
      <c r="H3857" s="50"/>
      <c r="I3857" s="51"/>
    </row>
    <row r="3858" ht="22.5" customHeight="1">
      <c r="A3858" s="42"/>
      <c r="B3858" s="47"/>
      <c r="C3858" s="46"/>
      <c r="D3858" s="47"/>
      <c r="E3858" s="46"/>
      <c r="F3858" s="47"/>
      <c r="G3858" s="46"/>
      <c r="H3858" s="48"/>
      <c r="I3858" s="49"/>
    </row>
    <row r="3859" ht="22.5" customHeight="1">
      <c r="A3859" s="42"/>
      <c r="B3859" s="47"/>
      <c r="C3859" s="46"/>
      <c r="D3859" s="47"/>
      <c r="E3859" s="46"/>
      <c r="F3859" s="47"/>
      <c r="G3859" s="46"/>
      <c r="H3859" s="50"/>
      <c r="I3859" s="51"/>
    </row>
    <row r="3860" ht="22.5" customHeight="1">
      <c r="A3860" s="42"/>
      <c r="B3860" s="47"/>
      <c r="C3860" s="46"/>
      <c r="D3860" s="47"/>
      <c r="E3860" s="46"/>
      <c r="F3860" s="47"/>
      <c r="G3860" s="46"/>
      <c r="H3860" s="48"/>
      <c r="I3860" s="49"/>
    </row>
    <row r="3861" ht="22.5" customHeight="1">
      <c r="A3861" s="42"/>
      <c r="B3861" s="47"/>
      <c r="C3861" s="46"/>
      <c r="D3861" s="47"/>
      <c r="E3861" s="46"/>
      <c r="F3861" s="47"/>
      <c r="G3861" s="46"/>
      <c r="H3861" s="50"/>
      <c r="I3861" s="51"/>
    </row>
    <row r="3862" ht="22.5" customHeight="1">
      <c r="A3862" s="42"/>
      <c r="B3862" s="47"/>
      <c r="C3862" s="46"/>
      <c r="D3862" s="47"/>
      <c r="E3862" s="46"/>
      <c r="F3862" s="47"/>
      <c r="G3862" s="46"/>
      <c r="H3862" s="48"/>
      <c r="I3862" s="49"/>
    </row>
    <row r="3863" ht="22.5" customHeight="1">
      <c r="A3863" s="42"/>
      <c r="B3863" s="47"/>
      <c r="C3863" s="46"/>
      <c r="D3863" s="47"/>
      <c r="E3863" s="46"/>
      <c r="F3863" s="47"/>
      <c r="G3863" s="46"/>
      <c r="H3863" s="50"/>
      <c r="I3863" s="51"/>
    </row>
    <row r="3864" ht="22.5" customHeight="1">
      <c r="A3864" s="42"/>
      <c r="B3864" s="47"/>
      <c r="C3864" s="46"/>
      <c r="D3864" s="47"/>
      <c r="E3864" s="46"/>
      <c r="F3864" s="47"/>
      <c r="G3864" s="46"/>
      <c r="H3864" s="48"/>
      <c r="I3864" s="49"/>
    </row>
    <row r="3865" ht="22.5" customHeight="1">
      <c r="A3865" s="42"/>
      <c r="B3865" s="47"/>
      <c r="C3865" s="46"/>
      <c r="D3865" s="47"/>
      <c r="E3865" s="46"/>
      <c r="F3865" s="47"/>
      <c r="G3865" s="46"/>
      <c r="H3865" s="50"/>
      <c r="I3865" s="51"/>
    </row>
    <row r="3866" ht="22.5" customHeight="1">
      <c r="A3866" s="42"/>
      <c r="B3866" s="47"/>
      <c r="C3866" s="46"/>
      <c r="D3866" s="47"/>
      <c r="E3866" s="46"/>
      <c r="F3866" s="47"/>
      <c r="G3866" s="46"/>
      <c r="H3866" s="48"/>
      <c r="I3866" s="49"/>
    </row>
    <row r="3867" ht="22.5" customHeight="1">
      <c r="A3867" s="42"/>
      <c r="B3867" s="47"/>
      <c r="C3867" s="46"/>
      <c r="D3867" s="47"/>
      <c r="E3867" s="46"/>
      <c r="F3867" s="47"/>
      <c r="G3867" s="46"/>
      <c r="H3867" s="50"/>
      <c r="I3867" s="51"/>
    </row>
    <row r="3868" ht="22.5" customHeight="1">
      <c r="A3868" s="42"/>
      <c r="B3868" s="47"/>
      <c r="C3868" s="46"/>
      <c r="D3868" s="47"/>
      <c r="E3868" s="46"/>
      <c r="F3868" s="47"/>
      <c r="G3868" s="46"/>
      <c r="H3868" s="48"/>
      <c r="I3868" s="49"/>
    </row>
    <row r="3869" ht="22.5" customHeight="1">
      <c r="A3869" s="42"/>
      <c r="B3869" s="47"/>
      <c r="C3869" s="46"/>
      <c r="D3869" s="47"/>
      <c r="E3869" s="46"/>
      <c r="F3869" s="47"/>
      <c r="G3869" s="46"/>
      <c r="H3869" s="50"/>
      <c r="I3869" s="51"/>
    </row>
    <row r="3870" ht="22.5" customHeight="1">
      <c r="A3870" s="42"/>
      <c r="B3870" s="47"/>
      <c r="C3870" s="46"/>
      <c r="D3870" s="47"/>
      <c r="E3870" s="46"/>
      <c r="F3870" s="47"/>
      <c r="G3870" s="46"/>
      <c r="H3870" s="48"/>
      <c r="I3870" s="49"/>
    </row>
    <row r="3871" ht="22.5" customHeight="1">
      <c r="A3871" s="42"/>
      <c r="B3871" s="47"/>
      <c r="C3871" s="46"/>
      <c r="D3871" s="47"/>
      <c r="E3871" s="46"/>
      <c r="F3871" s="47"/>
      <c r="G3871" s="46"/>
      <c r="H3871" s="50"/>
      <c r="I3871" s="51"/>
    </row>
    <row r="3872" ht="22.5" customHeight="1">
      <c r="A3872" s="42"/>
      <c r="B3872" s="47"/>
      <c r="C3872" s="46"/>
      <c r="D3872" s="47"/>
      <c r="E3872" s="46"/>
      <c r="F3872" s="47"/>
      <c r="G3872" s="46"/>
      <c r="H3872" s="48"/>
      <c r="I3872" s="49"/>
    </row>
    <row r="3873" ht="22.5" customHeight="1">
      <c r="A3873" s="42"/>
      <c r="B3873" s="47"/>
      <c r="C3873" s="46"/>
      <c r="D3873" s="47"/>
      <c r="E3873" s="46"/>
      <c r="F3873" s="47"/>
      <c r="G3873" s="46"/>
      <c r="H3873" s="50"/>
      <c r="I3873" s="51"/>
    </row>
    <row r="3874" ht="22.5" customHeight="1">
      <c r="A3874" s="42"/>
      <c r="B3874" s="47"/>
      <c r="C3874" s="46"/>
      <c r="D3874" s="47"/>
      <c r="E3874" s="46"/>
      <c r="F3874" s="47"/>
      <c r="G3874" s="46"/>
      <c r="H3874" s="48"/>
      <c r="I3874" s="49"/>
    </row>
    <row r="3875" ht="22.5" customHeight="1">
      <c r="A3875" s="42"/>
      <c r="B3875" s="47"/>
      <c r="C3875" s="46"/>
      <c r="D3875" s="47"/>
      <c r="E3875" s="46"/>
      <c r="F3875" s="47"/>
      <c r="G3875" s="46"/>
      <c r="H3875" s="50"/>
      <c r="I3875" s="51"/>
    </row>
    <row r="3876" ht="22.5" customHeight="1">
      <c r="A3876" s="42"/>
      <c r="B3876" s="47"/>
      <c r="C3876" s="46"/>
      <c r="D3876" s="47"/>
      <c r="E3876" s="46"/>
      <c r="F3876" s="47"/>
      <c r="G3876" s="46"/>
      <c r="H3876" s="48"/>
      <c r="I3876" s="49"/>
    </row>
    <row r="3877" ht="22.5" customHeight="1">
      <c r="A3877" s="42"/>
      <c r="B3877" s="47"/>
      <c r="C3877" s="46"/>
      <c r="D3877" s="47"/>
      <c r="E3877" s="46"/>
      <c r="F3877" s="47"/>
      <c r="G3877" s="46"/>
      <c r="H3877" s="50"/>
      <c r="I3877" s="51"/>
    </row>
    <row r="3878" ht="22.5" customHeight="1">
      <c r="A3878" s="42"/>
      <c r="B3878" s="47"/>
      <c r="C3878" s="46"/>
      <c r="D3878" s="47"/>
      <c r="E3878" s="46"/>
      <c r="F3878" s="47"/>
      <c r="G3878" s="46"/>
      <c r="H3878" s="48"/>
      <c r="I3878" s="49"/>
    </row>
    <row r="3879" ht="22.5" customHeight="1">
      <c r="A3879" s="42"/>
      <c r="B3879" s="47"/>
      <c r="C3879" s="46"/>
      <c r="D3879" s="47"/>
      <c r="E3879" s="46"/>
      <c r="F3879" s="47"/>
      <c r="G3879" s="46"/>
      <c r="H3879" s="50"/>
      <c r="I3879" s="51"/>
    </row>
    <row r="3880" ht="22.5" customHeight="1">
      <c r="A3880" s="42"/>
      <c r="B3880" s="47"/>
      <c r="C3880" s="46"/>
      <c r="D3880" s="47"/>
      <c r="E3880" s="46"/>
      <c r="F3880" s="47"/>
      <c r="G3880" s="46"/>
      <c r="H3880" s="48"/>
      <c r="I3880" s="49"/>
    </row>
    <row r="3881" ht="22.5" customHeight="1">
      <c r="A3881" s="42"/>
      <c r="B3881" s="47"/>
      <c r="C3881" s="46"/>
      <c r="D3881" s="47"/>
      <c r="E3881" s="46"/>
      <c r="F3881" s="47"/>
      <c r="G3881" s="46"/>
      <c r="H3881" s="50"/>
      <c r="I3881" s="51"/>
    </row>
    <row r="3882" ht="22.5" customHeight="1">
      <c r="A3882" s="42"/>
      <c r="B3882" s="47"/>
      <c r="C3882" s="46"/>
      <c r="D3882" s="47"/>
      <c r="E3882" s="46"/>
      <c r="F3882" s="47"/>
      <c r="G3882" s="46"/>
      <c r="H3882" s="48"/>
      <c r="I3882" s="49"/>
    </row>
    <row r="3883" ht="22.5" customHeight="1">
      <c r="A3883" s="42"/>
      <c r="B3883" s="47"/>
      <c r="C3883" s="46"/>
      <c r="D3883" s="47"/>
      <c r="E3883" s="46"/>
      <c r="F3883" s="47"/>
      <c r="G3883" s="46"/>
      <c r="H3883" s="50"/>
      <c r="I3883" s="51"/>
    </row>
    <row r="3884" ht="22.5" customHeight="1">
      <c r="A3884" s="42"/>
      <c r="B3884" s="47"/>
      <c r="C3884" s="46"/>
      <c r="D3884" s="47"/>
      <c r="E3884" s="46"/>
      <c r="F3884" s="47"/>
      <c r="G3884" s="46"/>
      <c r="H3884" s="48"/>
      <c r="I3884" s="49"/>
    </row>
    <row r="3885" ht="22.5" customHeight="1">
      <c r="A3885" s="42"/>
      <c r="B3885" s="47"/>
      <c r="C3885" s="46"/>
      <c r="D3885" s="47"/>
      <c r="E3885" s="46"/>
      <c r="F3885" s="47"/>
      <c r="G3885" s="46"/>
      <c r="H3885" s="50"/>
      <c r="I3885" s="51"/>
    </row>
    <row r="3886" ht="22.5" customHeight="1">
      <c r="A3886" s="42"/>
      <c r="B3886" s="47"/>
      <c r="C3886" s="46"/>
      <c r="D3886" s="47"/>
      <c r="E3886" s="46"/>
      <c r="F3886" s="47"/>
      <c r="G3886" s="46"/>
      <c r="H3886" s="48"/>
      <c r="I3886" s="49"/>
    </row>
    <row r="3887" ht="22.5" customHeight="1">
      <c r="A3887" s="42"/>
      <c r="B3887" s="47"/>
      <c r="C3887" s="46"/>
      <c r="D3887" s="47"/>
      <c r="E3887" s="46"/>
      <c r="F3887" s="47"/>
      <c r="G3887" s="46"/>
      <c r="H3887" s="50"/>
      <c r="I3887" s="51"/>
    </row>
    <row r="3888" ht="22.5" customHeight="1">
      <c r="A3888" s="42"/>
      <c r="B3888" s="47"/>
      <c r="C3888" s="46"/>
      <c r="D3888" s="47"/>
      <c r="E3888" s="46"/>
      <c r="F3888" s="47"/>
      <c r="G3888" s="46"/>
      <c r="H3888" s="48"/>
      <c r="I3888" s="49"/>
    </row>
    <row r="3889" ht="22.5" customHeight="1">
      <c r="A3889" s="42"/>
      <c r="B3889" s="47"/>
      <c r="C3889" s="46"/>
      <c r="D3889" s="47"/>
      <c r="E3889" s="46"/>
      <c r="F3889" s="47"/>
      <c r="G3889" s="46"/>
      <c r="H3889" s="50"/>
      <c r="I3889" s="51"/>
    </row>
    <row r="3890" ht="22.5" customHeight="1">
      <c r="A3890" s="42"/>
      <c r="B3890" s="47"/>
      <c r="C3890" s="46"/>
      <c r="D3890" s="47"/>
      <c r="E3890" s="46"/>
      <c r="F3890" s="47"/>
      <c r="G3890" s="46"/>
      <c r="H3890" s="48"/>
      <c r="I3890" s="49"/>
    </row>
    <row r="3891" ht="22.5" customHeight="1">
      <c r="A3891" s="42"/>
      <c r="B3891" s="47"/>
      <c r="C3891" s="46"/>
      <c r="D3891" s="47"/>
      <c r="E3891" s="46"/>
      <c r="F3891" s="47"/>
      <c r="G3891" s="46"/>
      <c r="H3891" s="50"/>
      <c r="I3891" s="51"/>
    </row>
    <row r="3892" ht="22.5" customHeight="1">
      <c r="A3892" s="42"/>
      <c r="B3892" s="47"/>
      <c r="C3892" s="46"/>
      <c r="D3892" s="47"/>
      <c r="E3892" s="46"/>
      <c r="F3892" s="47"/>
      <c r="G3892" s="46"/>
      <c r="H3892" s="48"/>
      <c r="I3892" s="49"/>
    </row>
    <row r="3893" ht="22.5" customHeight="1">
      <c r="A3893" s="42"/>
      <c r="B3893" s="47"/>
      <c r="C3893" s="46"/>
      <c r="D3893" s="47"/>
      <c r="E3893" s="46"/>
      <c r="F3893" s="47"/>
      <c r="G3893" s="46"/>
      <c r="H3893" s="50"/>
      <c r="I3893" s="51"/>
    </row>
    <row r="3894" ht="22.5" customHeight="1">
      <c r="A3894" s="42"/>
      <c r="B3894" s="47"/>
      <c r="C3894" s="46"/>
      <c r="D3894" s="47"/>
      <c r="E3894" s="46"/>
      <c r="F3894" s="47"/>
      <c r="G3894" s="46"/>
      <c r="H3894" s="48"/>
      <c r="I3894" s="49"/>
    </row>
    <row r="3895" ht="22.5" customHeight="1">
      <c r="A3895" s="42"/>
      <c r="B3895" s="47"/>
      <c r="C3895" s="46"/>
      <c r="D3895" s="47"/>
      <c r="E3895" s="46"/>
      <c r="F3895" s="47"/>
      <c r="G3895" s="46"/>
      <c r="H3895" s="50"/>
      <c r="I3895" s="51"/>
    </row>
    <row r="3896" ht="22.5" customHeight="1">
      <c r="A3896" s="42"/>
      <c r="B3896" s="47"/>
      <c r="C3896" s="46"/>
      <c r="D3896" s="47"/>
      <c r="E3896" s="46"/>
      <c r="F3896" s="47"/>
      <c r="G3896" s="46"/>
      <c r="H3896" s="48"/>
      <c r="I3896" s="49"/>
    </row>
    <row r="3897" ht="22.5" customHeight="1">
      <c r="A3897" s="42"/>
      <c r="B3897" s="47"/>
      <c r="C3897" s="46"/>
      <c r="D3897" s="47"/>
      <c r="E3897" s="46"/>
      <c r="F3897" s="47"/>
      <c r="G3897" s="46"/>
      <c r="H3897" s="50"/>
      <c r="I3897" s="51"/>
    </row>
    <row r="3898" ht="22.5" customHeight="1">
      <c r="A3898" s="42"/>
      <c r="B3898" s="47"/>
      <c r="C3898" s="46"/>
      <c r="D3898" s="47"/>
      <c r="E3898" s="46"/>
      <c r="F3898" s="47"/>
      <c r="G3898" s="46"/>
      <c r="H3898" s="48"/>
      <c r="I3898" s="49"/>
    </row>
    <row r="3899" ht="22.5" customHeight="1">
      <c r="A3899" s="42"/>
      <c r="B3899" s="47"/>
      <c r="C3899" s="46"/>
      <c r="D3899" s="47"/>
      <c r="E3899" s="46"/>
      <c r="F3899" s="47"/>
      <c r="G3899" s="46"/>
      <c r="H3899" s="50"/>
      <c r="I3899" s="51"/>
    </row>
    <row r="3900" ht="22.5" customHeight="1">
      <c r="A3900" s="42"/>
      <c r="B3900" s="47"/>
      <c r="C3900" s="46"/>
      <c r="D3900" s="47"/>
      <c r="E3900" s="46"/>
      <c r="F3900" s="47"/>
      <c r="G3900" s="46"/>
      <c r="H3900" s="48"/>
      <c r="I3900" s="49"/>
    </row>
    <row r="3901" ht="22.5" customHeight="1">
      <c r="A3901" s="42"/>
      <c r="B3901" s="47"/>
      <c r="C3901" s="46"/>
      <c r="D3901" s="47"/>
      <c r="E3901" s="46"/>
      <c r="F3901" s="47"/>
      <c r="G3901" s="46"/>
      <c r="H3901" s="50"/>
      <c r="I3901" s="51"/>
    </row>
    <row r="3902" ht="22.5" customHeight="1">
      <c r="A3902" s="42"/>
      <c r="B3902" s="47"/>
      <c r="C3902" s="46"/>
      <c r="D3902" s="47"/>
      <c r="E3902" s="46"/>
      <c r="F3902" s="47"/>
      <c r="G3902" s="46"/>
      <c r="H3902" s="48"/>
      <c r="I3902" s="49"/>
    </row>
    <row r="3903" ht="22.5" customHeight="1">
      <c r="A3903" s="42"/>
      <c r="B3903" s="47"/>
      <c r="C3903" s="46"/>
      <c r="D3903" s="47"/>
      <c r="E3903" s="46"/>
      <c r="F3903" s="47"/>
      <c r="G3903" s="46"/>
      <c r="H3903" s="50"/>
      <c r="I3903" s="51"/>
    </row>
    <row r="3904" ht="22.5" customHeight="1">
      <c r="A3904" s="42"/>
      <c r="B3904" s="47"/>
      <c r="C3904" s="46"/>
      <c r="D3904" s="47"/>
      <c r="E3904" s="46"/>
      <c r="F3904" s="47"/>
      <c r="G3904" s="46"/>
      <c r="H3904" s="48"/>
      <c r="I3904" s="49"/>
    </row>
    <row r="3905" ht="22.5" customHeight="1">
      <c r="A3905" s="42"/>
      <c r="B3905" s="47"/>
      <c r="C3905" s="46"/>
      <c r="D3905" s="47"/>
      <c r="E3905" s="46"/>
      <c r="F3905" s="47"/>
      <c r="G3905" s="46"/>
      <c r="H3905" s="50"/>
      <c r="I3905" s="51"/>
    </row>
    <row r="3906" ht="22.5" customHeight="1">
      <c r="A3906" s="42"/>
      <c r="B3906" s="47"/>
      <c r="C3906" s="46"/>
      <c r="D3906" s="47"/>
      <c r="E3906" s="46"/>
      <c r="F3906" s="47"/>
      <c r="G3906" s="46"/>
      <c r="H3906" s="48"/>
      <c r="I3906" s="49"/>
    </row>
    <row r="3907" ht="22.5" customHeight="1">
      <c r="A3907" s="42"/>
      <c r="B3907" s="47"/>
      <c r="C3907" s="46"/>
      <c r="D3907" s="47"/>
      <c r="E3907" s="46"/>
      <c r="F3907" s="47"/>
      <c r="G3907" s="46"/>
      <c r="H3907" s="50"/>
      <c r="I3907" s="51"/>
    </row>
    <row r="3908" ht="22.5" customHeight="1">
      <c r="A3908" s="42"/>
      <c r="B3908" s="47"/>
      <c r="C3908" s="46"/>
      <c r="D3908" s="47"/>
      <c r="E3908" s="46"/>
      <c r="F3908" s="47"/>
      <c r="G3908" s="46"/>
      <c r="H3908" s="48"/>
      <c r="I3908" s="49"/>
    </row>
    <row r="3909" ht="22.5" customHeight="1">
      <c r="A3909" s="42"/>
      <c r="B3909" s="47"/>
      <c r="C3909" s="46"/>
      <c r="D3909" s="47"/>
      <c r="E3909" s="46"/>
      <c r="F3909" s="47"/>
      <c r="G3909" s="46"/>
      <c r="H3909" s="50"/>
      <c r="I3909" s="51"/>
    </row>
    <row r="3910" ht="22.5" customHeight="1">
      <c r="A3910" s="42"/>
      <c r="B3910" s="47"/>
      <c r="C3910" s="46"/>
      <c r="D3910" s="47"/>
      <c r="E3910" s="46"/>
      <c r="F3910" s="47"/>
      <c r="G3910" s="46"/>
      <c r="H3910" s="48"/>
      <c r="I3910" s="49"/>
    </row>
    <row r="3911" ht="22.5" customHeight="1">
      <c r="A3911" s="42"/>
      <c r="B3911" s="47"/>
      <c r="C3911" s="46"/>
      <c r="D3911" s="47"/>
      <c r="E3911" s="46"/>
      <c r="F3911" s="47"/>
      <c r="G3911" s="46"/>
      <c r="H3911" s="50"/>
      <c r="I3911" s="51"/>
    </row>
    <row r="3912" ht="22.5" customHeight="1">
      <c r="A3912" s="42"/>
      <c r="B3912" s="47"/>
      <c r="C3912" s="46"/>
      <c r="D3912" s="47"/>
      <c r="E3912" s="46"/>
      <c r="F3912" s="47"/>
      <c r="G3912" s="46"/>
      <c r="H3912" s="48"/>
      <c r="I3912" s="49"/>
    </row>
    <row r="3913" ht="22.5" customHeight="1">
      <c r="A3913" s="42"/>
      <c r="B3913" s="47"/>
      <c r="C3913" s="46"/>
      <c r="D3913" s="47"/>
      <c r="E3913" s="46"/>
      <c r="F3913" s="47"/>
      <c r="G3913" s="46"/>
      <c r="H3913" s="50"/>
      <c r="I3913" s="51"/>
    </row>
    <row r="3914" ht="22.5" customHeight="1">
      <c r="A3914" s="42"/>
      <c r="B3914" s="47"/>
      <c r="C3914" s="46"/>
      <c r="D3914" s="47"/>
      <c r="E3914" s="46"/>
      <c r="F3914" s="47"/>
      <c r="G3914" s="46"/>
      <c r="H3914" s="48"/>
      <c r="I3914" s="49"/>
    </row>
    <row r="3915" ht="22.5" customHeight="1">
      <c r="A3915" s="42"/>
      <c r="B3915" s="47"/>
      <c r="C3915" s="46"/>
      <c r="D3915" s="47"/>
      <c r="E3915" s="46"/>
      <c r="F3915" s="47"/>
      <c r="G3915" s="46"/>
      <c r="H3915" s="50"/>
      <c r="I3915" s="51"/>
    </row>
    <row r="3916" ht="22.5" customHeight="1">
      <c r="A3916" s="42"/>
      <c r="B3916" s="47"/>
      <c r="C3916" s="46"/>
      <c r="D3916" s="47"/>
      <c r="E3916" s="46"/>
      <c r="F3916" s="47"/>
      <c r="G3916" s="46"/>
      <c r="H3916" s="48"/>
      <c r="I3916" s="49"/>
    </row>
    <row r="3917" ht="22.5" customHeight="1">
      <c r="A3917" s="42"/>
      <c r="B3917" s="47"/>
      <c r="C3917" s="46"/>
      <c r="D3917" s="47"/>
      <c r="E3917" s="46"/>
      <c r="F3917" s="47"/>
      <c r="G3917" s="46"/>
      <c r="H3917" s="50"/>
      <c r="I3917" s="51"/>
    </row>
    <row r="3918" ht="22.5" customHeight="1">
      <c r="A3918" s="42"/>
      <c r="B3918" s="47"/>
      <c r="C3918" s="46"/>
      <c r="D3918" s="47"/>
      <c r="E3918" s="46"/>
      <c r="F3918" s="47"/>
      <c r="G3918" s="46"/>
      <c r="H3918" s="48"/>
      <c r="I3918" s="49"/>
    </row>
    <row r="3919" ht="22.5" customHeight="1">
      <c r="A3919" s="42"/>
      <c r="B3919" s="47"/>
      <c r="C3919" s="46"/>
      <c r="D3919" s="47"/>
      <c r="E3919" s="46"/>
      <c r="F3919" s="47"/>
      <c r="G3919" s="46"/>
      <c r="H3919" s="50"/>
      <c r="I3919" s="51"/>
    </row>
    <row r="3920" ht="22.5" customHeight="1">
      <c r="A3920" s="42"/>
      <c r="B3920" s="47"/>
      <c r="C3920" s="46"/>
      <c r="D3920" s="47"/>
      <c r="E3920" s="46"/>
      <c r="F3920" s="47"/>
      <c r="G3920" s="46"/>
      <c r="H3920" s="48"/>
      <c r="I3920" s="49"/>
    </row>
    <row r="3921" ht="22.5" customHeight="1">
      <c r="A3921" s="42"/>
      <c r="B3921" s="47"/>
      <c r="C3921" s="46"/>
      <c r="D3921" s="47"/>
      <c r="E3921" s="46"/>
      <c r="F3921" s="47"/>
      <c r="G3921" s="46"/>
      <c r="H3921" s="50"/>
      <c r="I3921" s="51"/>
    </row>
    <row r="3922" ht="22.5" customHeight="1">
      <c r="A3922" s="42"/>
      <c r="B3922" s="47"/>
      <c r="C3922" s="46"/>
      <c r="D3922" s="47"/>
      <c r="E3922" s="46"/>
      <c r="F3922" s="47"/>
      <c r="G3922" s="46"/>
      <c r="H3922" s="48"/>
      <c r="I3922" s="49"/>
    </row>
    <row r="3923" ht="22.5" customHeight="1">
      <c r="A3923" s="42"/>
      <c r="B3923" s="47"/>
      <c r="C3923" s="46"/>
      <c r="D3923" s="47"/>
      <c r="E3923" s="46"/>
      <c r="F3923" s="47"/>
      <c r="G3923" s="46"/>
      <c r="H3923" s="50"/>
      <c r="I3923" s="51"/>
    </row>
    <row r="3924" ht="22.5" customHeight="1">
      <c r="A3924" s="42"/>
      <c r="B3924" s="47"/>
      <c r="C3924" s="46"/>
      <c r="D3924" s="47"/>
      <c r="E3924" s="46"/>
      <c r="F3924" s="47"/>
      <c r="G3924" s="46"/>
      <c r="H3924" s="48"/>
      <c r="I3924" s="49"/>
    </row>
    <row r="3925" ht="22.5" customHeight="1">
      <c r="A3925" s="42"/>
      <c r="B3925" s="47"/>
      <c r="C3925" s="46"/>
      <c r="D3925" s="47"/>
      <c r="E3925" s="46"/>
      <c r="F3925" s="47"/>
      <c r="G3925" s="46"/>
      <c r="H3925" s="50"/>
      <c r="I3925" s="51"/>
    </row>
    <row r="3926" ht="22.5" customHeight="1">
      <c r="A3926" s="42"/>
      <c r="B3926" s="47"/>
      <c r="C3926" s="46"/>
      <c r="D3926" s="47"/>
      <c r="E3926" s="46"/>
      <c r="F3926" s="47"/>
      <c r="G3926" s="46"/>
      <c r="H3926" s="48"/>
      <c r="I3926" s="49"/>
    </row>
    <row r="3927" ht="22.5" customHeight="1">
      <c r="A3927" s="42"/>
      <c r="B3927" s="47"/>
      <c r="C3927" s="46"/>
      <c r="D3927" s="47"/>
      <c r="E3927" s="46"/>
      <c r="F3927" s="47"/>
      <c r="G3927" s="46"/>
      <c r="H3927" s="50"/>
      <c r="I3927" s="51"/>
    </row>
    <row r="3928" ht="22.5" customHeight="1">
      <c r="A3928" s="42"/>
      <c r="B3928" s="47"/>
      <c r="C3928" s="46"/>
      <c r="D3928" s="47"/>
      <c r="E3928" s="46"/>
      <c r="F3928" s="47"/>
      <c r="G3928" s="46"/>
      <c r="H3928" s="48"/>
      <c r="I3928" s="49"/>
    </row>
    <row r="3929" ht="22.5" customHeight="1">
      <c r="A3929" s="42"/>
      <c r="B3929" s="47"/>
      <c r="C3929" s="46"/>
      <c r="D3929" s="47"/>
      <c r="E3929" s="46"/>
      <c r="F3929" s="47"/>
      <c r="G3929" s="46"/>
      <c r="H3929" s="50"/>
      <c r="I3929" s="51"/>
    </row>
    <row r="3930" ht="22.5" customHeight="1">
      <c r="A3930" s="42"/>
      <c r="B3930" s="47"/>
      <c r="C3930" s="46"/>
      <c r="D3930" s="47"/>
      <c r="E3930" s="46"/>
      <c r="F3930" s="47"/>
      <c r="G3930" s="46"/>
      <c r="H3930" s="48"/>
      <c r="I3930" s="49"/>
    </row>
    <row r="3931" ht="22.5" customHeight="1">
      <c r="A3931" s="42"/>
      <c r="B3931" s="47"/>
      <c r="C3931" s="46"/>
      <c r="D3931" s="47"/>
      <c r="E3931" s="46"/>
      <c r="F3931" s="47"/>
      <c r="G3931" s="46"/>
      <c r="H3931" s="50"/>
      <c r="I3931" s="51"/>
    </row>
    <row r="3932" ht="22.5" customHeight="1">
      <c r="A3932" s="42"/>
      <c r="B3932" s="47"/>
      <c r="C3932" s="46"/>
      <c r="D3932" s="47"/>
      <c r="E3932" s="46"/>
      <c r="F3932" s="47"/>
      <c r="G3932" s="46"/>
      <c r="H3932" s="48"/>
      <c r="I3932" s="49"/>
    </row>
    <row r="3933" ht="22.5" customHeight="1">
      <c r="A3933" s="42"/>
      <c r="B3933" s="47"/>
      <c r="C3933" s="46"/>
      <c r="D3933" s="47"/>
      <c r="E3933" s="46"/>
      <c r="F3933" s="47"/>
      <c r="G3933" s="46"/>
      <c r="H3933" s="50"/>
      <c r="I3933" s="51"/>
    </row>
    <row r="3934" ht="22.5" customHeight="1">
      <c r="A3934" s="42"/>
      <c r="B3934" s="47"/>
      <c r="C3934" s="46"/>
      <c r="D3934" s="47"/>
      <c r="E3934" s="46"/>
      <c r="F3934" s="47"/>
      <c r="G3934" s="46"/>
      <c r="H3934" s="48"/>
      <c r="I3934" s="49"/>
    </row>
    <row r="3935" ht="22.5" customHeight="1">
      <c r="A3935" s="42"/>
      <c r="B3935" s="47"/>
      <c r="C3935" s="46"/>
      <c r="D3935" s="47"/>
      <c r="E3935" s="46"/>
      <c r="F3935" s="47"/>
      <c r="G3935" s="46"/>
      <c r="H3935" s="50"/>
      <c r="I3935" s="51"/>
    </row>
    <row r="3936" ht="22.5" customHeight="1">
      <c r="A3936" s="42"/>
      <c r="B3936" s="47"/>
      <c r="C3936" s="46"/>
      <c r="D3936" s="47"/>
      <c r="E3936" s="46"/>
      <c r="F3936" s="47"/>
      <c r="G3936" s="46"/>
      <c r="H3936" s="48"/>
      <c r="I3936" s="49"/>
    </row>
    <row r="3937" ht="22.5" customHeight="1">
      <c r="A3937" s="42"/>
      <c r="B3937" s="47"/>
      <c r="C3937" s="46"/>
      <c r="D3937" s="47"/>
      <c r="E3937" s="46"/>
      <c r="F3937" s="47"/>
      <c r="G3937" s="46"/>
      <c r="H3937" s="50"/>
      <c r="I3937" s="51"/>
    </row>
    <row r="3938" ht="22.5" customHeight="1">
      <c r="A3938" s="42"/>
      <c r="B3938" s="47"/>
      <c r="C3938" s="46"/>
      <c r="D3938" s="47"/>
      <c r="E3938" s="46"/>
      <c r="F3938" s="47"/>
      <c r="G3938" s="46"/>
      <c r="H3938" s="48"/>
      <c r="I3938" s="49"/>
    </row>
    <row r="3939" ht="22.5" customHeight="1">
      <c r="A3939" s="42"/>
      <c r="B3939" s="47"/>
      <c r="C3939" s="46"/>
      <c r="D3939" s="47"/>
      <c r="E3939" s="46"/>
      <c r="F3939" s="47"/>
      <c r="G3939" s="46"/>
      <c r="H3939" s="50"/>
      <c r="I3939" s="51"/>
    </row>
    <row r="3940" ht="22.5" customHeight="1">
      <c r="A3940" s="42"/>
      <c r="B3940" s="47"/>
      <c r="C3940" s="46"/>
      <c r="D3940" s="47"/>
      <c r="E3940" s="46"/>
      <c r="F3940" s="47"/>
      <c r="G3940" s="46"/>
      <c r="H3940" s="48"/>
      <c r="I3940" s="49"/>
    </row>
    <row r="3941" ht="22.5" customHeight="1">
      <c r="A3941" s="42"/>
      <c r="B3941" s="47"/>
      <c r="C3941" s="46"/>
      <c r="D3941" s="47"/>
      <c r="E3941" s="46"/>
      <c r="F3941" s="47"/>
      <c r="G3941" s="46"/>
      <c r="H3941" s="50"/>
      <c r="I3941" s="51"/>
    </row>
    <row r="3942" ht="22.5" customHeight="1">
      <c r="A3942" s="42"/>
      <c r="B3942" s="47"/>
      <c r="C3942" s="46"/>
      <c r="D3942" s="47"/>
      <c r="E3942" s="46"/>
      <c r="F3942" s="47"/>
      <c r="G3942" s="46"/>
      <c r="H3942" s="48"/>
      <c r="I3942" s="49"/>
    </row>
    <row r="3943" ht="22.5" customHeight="1">
      <c r="A3943" s="42"/>
      <c r="B3943" s="47"/>
      <c r="C3943" s="46"/>
      <c r="D3943" s="47"/>
      <c r="E3943" s="46"/>
      <c r="F3943" s="47"/>
      <c r="G3943" s="46"/>
      <c r="H3943" s="50"/>
      <c r="I3943" s="51"/>
    </row>
    <row r="3944" ht="22.5" customHeight="1">
      <c r="A3944" s="42"/>
      <c r="B3944" s="47"/>
      <c r="C3944" s="46"/>
      <c r="D3944" s="47"/>
      <c r="E3944" s="46"/>
      <c r="F3944" s="47"/>
      <c r="G3944" s="46"/>
      <c r="H3944" s="48"/>
      <c r="I3944" s="49"/>
    </row>
    <row r="3945" ht="22.5" customHeight="1">
      <c r="A3945" s="42"/>
      <c r="B3945" s="47"/>
      <c r="C3945" s="46"/>
      <c r="D3945" s="47"/>
      <c r="E3945" s="46"/>
      <c r="F3945" s="47"/>
      <c r="G3945" s="46"/>
      <c r="H3945" s="50"/>
      <c r="I3945" s="51"/>
    </row>
    <row r="3946" ht="22.5" customHeight="1">
      <c r="A3946" s="42"/>
      <c r="B3946" s="47"/>
      <c r="C3946" s="46"/>
      <c r="D3946" s="47"/>
      <c r="E3946" s="46"/>
      <c r="F3946" s="47"/>
      <c r="G3946" s="46"/>
      <c r="H3946" s="48"/>
      <c r="I3946" s="49"/>
    </row>
    <row r="3947" ht="22.5" customHeight="1">
      <c r="A3947" s="42"/>
      <c r="B3947" s="47"/>
      <c r="C3947" s="46"/>
      <c r="D3947" s="47"/>
      <c r="E3947" s="46"/>
      <c r="F3947" s="47"/>
      <c r="G3947" s="46"/>
      <c r="H3947" s="50"/>
      <c r="I3947" s="51"/>
    </row>
    <row r="3948" ht="22.5" customHeight="1">
      <c r="A3948" s="42"/>
      <c r="B3948" s="47"/>
      <c r="C3948" s="46"/>
      <c r="D3948" s="47"/>
      <c r="E3948" s="46"/>
      <c r="F3948" s="47"/>
      <c r="G3948" s="46"/>
      <c r="H3948" s="48"/>
      <c r="I3948" s="49"/>
    </row>
    <row r="3949" ht="22.5" customHeight="1">
      <c r="A3949" s="42"/>
      <c r="B3949" s="47"/>
      <c r="C3949" s="46"/>
      <c r="D3949" s="47"/>
      <c r="E3949" s="46"/>
      <c r="F3949" s="47"/>
      <c r="G3949" s="46"/>
      <c r="H3949" s="50"/>
      <c r="I3949" s="51"/>
    </row>
    <row r="3950" ht="22.5" customHeight="1">
      <c r="A3950" s="42"/>
      <c r="B3950" s="47"/>
      <c r="C3950" s="46"/>
      <c r="D3950" s="47"/>
      <c r="E3950" s="46"/>
      <c r="F3950" s="47"/>
      <c r="G3950" s="46"/>
      <c r="H3950" s="48"/>
      <c r="I3950" s="49"/>
    </row>
    <row r="3951" ht="22.5" customHeight="1">
      <c r="A3951" s="42"/>
      <c r="B3951" s="47"/>
      <c r="C3951" s="46"/>
      <c r="D3951" s="47"/>
      <c r="E3951" s="46"/>
      <c r="F3951" s="47"/>
      <c r="G3951" s="46"/>
      <c r="H3951" s="50"/>
      <c r="I3951" s="51"/>
    </row>
    <row r="3952" ht="22.5" customHeight="1">
      <c r="A3952" s="42"/>
      <c r="B3952" s="47"/>
      <c r="C3952" s="46"/>
      <c r="D3952" s="47"/>
      <c r="E3952" s="46"/>
      <c r="F3952" s="47"/>
      <c r="G3952" s="46"/>
      <c r="H3952" s="48"/>
      <c r="I3952" s="49"/>
    </row>
    <row r="3953" ht="22.5" customHeight="1">
      <c r="A3953" s="42"/>
      <c r="B3953" s="47"/>
      <c r="C3953" s="46"/>
      <c r="D3953" s="47"/>
      <c r="E3953" s="46"/>
      <c r="F3953" s="47"/>
      <c r="G3953" s="46"/>
      <c r="H3953" s="50"/>
      <c r="I3953" s="51"/>
    </row>
    <row r="3954" ht="22.5" customHeight="1">
      <c r="A3954" s="42"/>
      <c r="B3954" s="47"/>
      <c r="C3954" s="46"/>
      <c r="D3954" s="47"/>
      <c r="E3954" s="46"/>
      <c r="F3954" s="47"/>
      <c r="G3954" s="46"/>
      <c r="H3954" s="48"/>
      <c r="I3954" s="49"/>
    </row>
    <row r="3955" ht="22.5" customHeight="1">
      <c r="A3955" s="42"/>
      <c r="B3955" s="47"/>
      <c r="C3955" s="46"/>
      <c r="D3955" s="47"/>
      <c r="E3955" s="46"/>
      <c r="F3955" s="47"/>
      <c r="G3955" s="46"/>
      <c r="H3955" s="50"/>
      <c r="I3955" s="51"/>
    </row>
    <row r="3956" ht="22.5" customHeight="1">
      <c r="A3956" s="42"/>
      <c r="B3956" s="47"/>
      <c r="C3956" s="46"/>
      <c r="D3956" s="47"/>
      <c r="E3956" s="46"/>
      <c r="F3956" s="47"/>
      <c r="G3956" s="46"/>
      <c r="H3956" s="48"/>
      <c r="I3956" s="49"/>
    </row>
    <row r="3957" ht="22.5" customHeight="1">
      <c r="A3957" s="42"/>
      <c r="B3957" s="47"/>
      <c r="C3957" s="46"/>
      <c r="D3957" s="47"/>
      <c r="E3957" s="46"/>
      <c r="F3957" s="47"/>
      <c r="G3957" s="46"/>
      <c r="H3957" s="50"/>
      <c r="I3957" s="51"/>
    </row>
    <row r="3958" ht="22.5" customHeight="1">
      <c r="A3958" s="42"/>
      <c r="B3958" s="47"/>
      <c r="C3958" s="46"/>
      <c r="D3958" s="47"/>
      <c r="E3958" s="46"/>
      <c r="F3958" s="47"/>
      <c r="G3958" s="46"/>
      <c r="H3958" s="48"/>
      <c r="I3958" s="49"/>
    </row>
    <row r="3959" ht="22.5" customHeight="1">
      <c r="A3959" s="42"/>
      <c r="B3959" s="47"/>
      <c r="C3959" s="46"/>
      <c r="D3959" s="47"/>
      <c r="E3959" s="46"/>
      <c r="F3959" s="47"/>
      <c r="G3959" s="46"/>
      <c r="H3959" s="50"/>
      <c r="I3959" s="51"/>
    </row>
    <row r="3960" ht="22.5" customHeight="1">
      <c r="A3960" s="42"/>
      <c r="B3960" s="47"/>
      <c r="C3960" s="46"/>
      <c r="D3960" s="47"/>
      <c r="E3960" s="46"/>
      <c r="F3960" s="47"/>
      <c r="G3960" s="46"/>
      <c r="H3960" s="48"/>
      <c r="I3960" s="49"/>
    </row>
    <row r="3961" ht="22.5" customHeight="1">
      <c r="A3961" s="42"/>
      <c r="B3961" s="47"/>
      <c r="C3961" s="46"/>
      <c r="D3961" s="47"/>
      <c r="E3961" s="46"/>
      <c r="F3961" s="47"/>
      <c r="G3961" s="46"/>
      <c r="H3961" s="50"/>
      <c r="I3961" s="51"/>
    </row>
    <row r="3962" ht="22.5" customHeight="1">
      <c r="A3962" s="42"/>
      <c r="B3962" s="47"/>
      <c r="C3962" s="46"/>
      <c r="D3962" s="47"/>
      <c r="E3962" s="46"/>
      <c r="F3962" s="47"/>
      <c r="G3962" s="46"/>
      <c r="H3962" s="48"/>
      <c r="I3962" s="49"/>
    </row>
    <row r="3963" ht="22.5" customHeight="1">
      <c r="A3963" s="42"/>
      <c r="B3963" s="47"/>
      <c r="C3963" s="46"/>
      <c r="D3963" s="47"/>
      <c r="E3963" s="46"/>
      <c r="F3963" s="47"/>
      <c r="G3963" s="46"/>
      <c r="H3963" s="50"/>
      <c r="I3963" s="51"/>
    </row>
    <row r="3964" ht="22.5" customHeight="1">
      <c r="A3964" s="42"/>
      <c r="B3964" s="47"/>
      <c r="C3964" s="46"/>
      <c r="D3964" s="47"/>
      <c r="E3964" s="46"/>
      <c r="F3964" s="47"/>
      <c r="G3964" s="46"/>
      <c r="H3964" s="48"/>
      <c r="I3964" s="49"/>
    </row>
    <row r="3965" ht="22.5" customHeight="1">
      <c r="A3965" s="42"/>
      <c r="B3965" s="47"/>
      <c r="C3965" s="46"/>
      <c r="D3965" s="47"/>
      <c r="E3965" s="46"/>
      <c r="F3965" s="47"/>
      <c r="G3965" s="46"/>
      <c r="H3965" s="50"/>
      <c r="I3965" s="51"/>
    </row>
    <row r="3966" ht="22.5" customHeight="1">
      <c r="A3966" s="42"/>
      <c r="B3966" s="47"/>
      <c r="C3966" s="46"/>
      <c r="D3966" s="47"/>
      <c r="E3966" s="46"/>
      <c r="F3966" s="47"/>
      <c r="G3966" s="46"/>
      <c r="H3966" s="48"/>
      <c r="I3966" s="49"/>
    </row>
    <row r="3967" ht="22.5" customHeight="1">
      <c r="A3967" s="42"/>
      <c r="B3967" s="47"/>
      <c r="C3967" s="46"/>
      <c r="D3967" s="47"/>
      <c r="E3967" s="46"/>
      <c r="F3967" s="47"/>
      <c r="G3967" s="46"/>
      <c r="H3967" s="50"/>
      <c r="I3967" s="51"/>
    </row>
    <row r="3968" ht="22.5" customHeight="1">
      <c r="A3968" s="42"/>
      <c r="B3968" s="47"/>
      <c r="C3968" s="46"/>
      <c r="D3968" s="47"/>
      <c r="E3968" s="46"/>
      <c r="F3968" s="47"/>
      <c r="G3968" s="46"/>
      <c r="H3968" s="48"/>
      <c r="I3968" s="49"/>
    </row>
    <row r="3969" ht="22.5" customHeight="1">
      <c r="A3969" s="42"/>
      <c r="B3969" s="47"/>
      <c r="C3969" s="46"/>
      <c r="D3969" s="47"/>
      <c r="E3969" s="46"/>
      <c r="F3969" s="47"/>
      <c r="G3969" s="46"/>
      <c r="H3969" s="50"/>
      <c r="I3969" s="51"/>
    </row>
    <row r="3970" ht="22.5" customHeight="1">
      <c r="A3970" s="42"/>
      <c r="B3970" s="47"/>
      <c r="C3970" s="46"/>
      <c r="D3970" s="47"/>
      <c r="E3970" s="46"/>
      <c r="F3970" s="47"/>
      <c r="G3970" s="46"/>
      <c r="H3970" s="48"/>
      <c r="I3970" s="49"/>
    </row>
    <row r="3971" ht="22.5" customHeight="1">
      <c r="A3971" s="42"/>
      <c r="B3971" s="47"/>
      <c r="C3971" s="46"/>
      <c r="D3971" s="47"/>
      <c r="E3971" s="46"/>
      <c r="F3971" s="47"/>
      <c r="G3971" s="46"/>
      <c r="H3971" s="50"/>
      <c r="I3971" s="51"/>
    </row>
    <row r="3972" ht="22.5" customHeight="1">
      <c r="A3972" s="42"/>
      <c r="B3972" s="47"/>
      <c r="C3972" s="46"/>
      <c r="D3972" s="47"/>
      <c r="E3972" s="46"/>
      <c r="F3972" s="47"/>
      <c r="G3972" s="46"/>
      <c r="H3972" s="48"/>
      <c r="I3972" s="49"/>
    </row>
    <row r="3973" ht="22.5" customHeight="1">
      <c r="A3973" s="42"/>
      <c r="B3973" s="47"/>
      <c r="C3973" s="46"/>
      <c r="D3973" s="47"/>
      <c r="E3973" s="46"/>
      <c r="F3973" s="47"/>
      <c r="G3973" s="46"/>
      <c r="H3973" s="50"/>
      <c r="I3973" s="51"/>
    </row>
    <row r="3974" ht="22.5" customHeight="1">
      <c r="A3974" s="42"/>
      <c r="B3974" s="47"/>
      <c r="C3974" s="46"/>
      <c r="D3974" s="47"/>
      <c r="E3974" s="46"/>
      <c r="F3974" s="47"/>
      <c r="G3974" s="46"/>
      <c r="H3974" s="48"/>
      <c r="I3974" s="49"/>
    </row>
    <row r="3975" ht="22.5" customHeight="1">
      <c r="A3975" s="42"/>
      <c r="B3975" s="47"/>
      <c r="C3975" s="46"/>
      <c r="D3975" s="47"/>
      <c r="E3975" s="46"/>
      <c r="F3975" s="47"/>
      <c r="G3975" s="46"/>
      <c r="H3975" s="50"/>
      <c r="I3975" s="51"/>
    </row>
    <row r="3976" ht="22.5" customHeight="1">
      <c r="A3976" s="42"/>
      <c r="B3976" s="47"/>
      <c r="C3976" s="46"/>
      <c r="D3976" s="47"/>
      <c r="E3976" s="46"/>
      <c r="F3976" s="47"/>
      <c r="G3976" s="46"/>
      <c r="H3976" s="48"/>
      <c r="I3976" s="49"/>
    </row>
    <row r="3977" ht="22.5" customHeight="1">
      <c r="A3977" s="42"/>
      <c r="B3977" s="47"/>
      <c r="C3977" s="46"/>
      <c r="D3977" s="47"/>
      <c r="E3977" s="46"/>
      <c r="F3977" s="47"/>
      <c r="G3977" s="46"/>
      <c r="H3977" s="50"/>
      <c r="I3977" s="51"/>
    </row>
    <row r="3978" ht="22.5" customHeight="1">
      <c r="A3978" s="42"/>
      <c r="B3978" s="47"/>
      <c r="C3978" s="46"/>
      <c r="D3978" s="47"/>
      <c r="E3978" s="46"/>
      <c r="F3978" s="47"/>
      <c r="G3978" s="46"/>
      <c r="H3978" s="48"/>
      <c r="I3978" s="49"/>
    </row>
    <row r="3979" ht="22.5" customHeight="1">
      <c r="A3979" s="42"/>
      <c r="B3979" s="47"/>
      <c r="C3979" s="46"/>
      <c r="D3979" s="47"/>
      <c r="E3979" s="46"/>
      <c r="F3979" s="47"/>
      <c r="G3979" s="46"/>
      <c r="H3979" s="50"/>
      <c r="I3979" s="51"/>
    </row>
    <row r="3980" ht="22.5" customHeight="1">
      <c r="A3980" s="42"/>
      <c r="B3980" s="47"/>
      <c r="C3980" s="46"/>
      <c r="D3980" s="47"/>
      <c r="E3980" s="46"/>
      <c r="F3980" s="47"/>
      <c r="G3980" s="46"/>
      <c r="H3980" s="48"/>
      <c r="I3980" s="49"/>
    </row>
    <row r="3981" ht="22.5" customHeight="1">
      <c r="A3981" s="42"/>
      <c r="B3981" s="47"/>
      <c r="C3981" s="46"/>
      <c r="D3981" s="47"/>
      <c r="E3981" s="46"/>
      <c r="F3981" s="47"/>
      <c r="G3981" s="46"/>
      <c r="H3981" s="50"/>
      <c r="I3981" s="51"/>
    </row>
    <row r="3982" ht="22.5" customHeight="1">
      <c r="A3982" s="42"/>
      <c r="B3982" s="47"/>
      <c r="C3982" s="46"/>
      <c r="D3982" s="47"/>
      <c r="E3982" s="46"/>
      <c r="F3982" s="47"/>
      <c r="G3982" s="46"/>
      <c r="H3982" s="48"/>
      <c r="I3982" s="49"/>
    </row>
    <row r="3983" ht="22.5" customHeight="1">
      <c r="A3983" s="42"/>
      <c r="B3983" s="47"/>
      <c r="C3983" s="46"/>
      <c r="D3983" s="47"/>
      <c r="E3983" s="46"/>
      <c r="F3983" s="47"/>
      <c r="G3983" s="46"/>
      <c r="H3983" s="50"/>
      <c r="I3983" s="51"/>
    </row>
    <row r="3984" ht="22.5" customHeight="1">
      <c r="A3984" s="42"/>
      <c r="B3984" s="47"/>
      <c r="C3984" s="46"/>
      <c r="D3984" s="47"/>
      <c r="E3984" s="46"/>
      <c r="F3984" s="47"/>
      <c r="G3984" s="46"/>
      <c r="H3984" s="48"/>
      <c r="I3984" s="49"/>
    </row>
    <row r="3985" ht="22.5" customHeight="1">
      <c r="A3985" s="42"/>
      <c r="B3985" s="47"/>
      <c r="C3985" s="46"/>
      <c r="D3985" s="47"/>
      <c r="E3985" s="46"/>
      <c r="F3985" s="47"/>
      <c r="G3985" s="46"/>
      <c r="H3985" s="50"/>
      <c r="I3985" s="51"/>
    </row>
    <row r="3986" ht="22.5" customHeight="1">
      <c r="A3986" s="42"/>
      <c r="B3986" s="47"/>
      <c r="C3986" s="46"/>
      <c r="D3986" s="47"/>
      <c r="E3986" s="46"/>
      <c r="F3986" s="47"/>
      <c r="G3986" s="46"/>
      <c r="H3986" s="48"/>
      <c r="I3986" s="49"/>
    </row>
    <row r="3987" ht="22.5" customHeight="1">
      <c r="A3987" s="42"/>
      <c r="B3987" s="47"/>
      <c r="C3987" s="46"/>
      <c r="D3987" s="47"/>
      <c r="E3987" s="46"/>
      <c r="F3987" s="47"/>
      <c r="G3987" s="46"/>
      <c r="H3987" s="50"/>
      <c r="I3987" s="51"/>
    </row>
    <row r="3988" ht="22.5" customHeight="1">
      <c r="A3988" s="42"/>
      <c r="B3988" s="47"/>
      <c r="C3988" s="46"/>
      <c r="D3988" s="47"/>
      <c r="E3988" s="46"/>
      <c r="F3988" s="47"/>
      <c r="G3988" s="46"/>
      <c r="H3988" s="48"/>
      <c r="I3988" s="49"/>
    </row>
    <row r="3989" ht="22.5" customHeight="1">
      <c r="A3989" s="42"/>
      <c r="B3989" s="47"/>
      <c r="C3989" s="46"/>
      <c r="D3989" s="47"/>
      <c r="E3989" s="46"/>
      <c r="F3989" s="47"/>
      <c r="G3989" s="46"/>
      <c r="H3989" s="50"/>
      <c r="I3989" s="51"/>
    </row>
    <row r="3990" ht="22.5" customHeight="1">
      <c r="A3990" s="42"/>
      <c r="B3990" s="47"/>
      <c r="C3990" s="46"/>
      <c r="D3990" s="47"/>
      <c r="E3990" s="46"/>
      <c r="F3990" s="47"/>
      <c r="G3990" s="46"/>
      <c r="H3990" s="48"/>
      <c r="I3990" s="49"/>
    </row>
    <row r="3991" ht="22.5" customHeight="1">
      <c r="A3991" s="42"/>
      <c r="B3991" s="47"/>
      <c r="C3991" s="46"/>
      <c r="D3991" s="47"/>
      <c r="E3991" s="46"/>
      <c r="F3991" s="47"/>
      <c r="G3991" s="46"/>
      <c r="H3991" s="50"/>
      <c r="I3991" s="51"/>
    </row>
    <row r="3992" ht="22.5" customHeight="1">
      <c r="A3992" s="42"/>
      <c r="B3992" s="47"/>
      <c r="C3992" s="46"/>
      <c r="D3992" s="47"/>
      <c r="E3992" s="46"/>
      <c r="F3992" s="47"/>
      <c r="G3992" s="46"/>
      <c r="H3992" s="48"/>
      <c r="I3992" s="49"/>
    </row>
    <row r="3993" ht="22.5" customHeight="1">
      <c r="A3993" s="42"/>
      <c r="B3993" s="47"/>
      <c r="C3993" s="46"/>
      <c r="D3993" s="47"/>
      <c r="E3993" s="46"/>
      <c r="F3993" s="47"/>
      <c r="G3993" s="46"/>
      <c r="H3993" s="50"/>
      <c r="I3993" s="51"/>
    </row>
    <row r="3994" ht="22.5" customHeight="1">
      <c r="A3994" s="42"/>
      <c r="B3994" s="47"/>
      <c r="C3994" s="46"/>
      <c r="D3994" s="47"/>
      <c r="E3994" s="46"/>
      <c r="F3994" s="47"/>
      <c r="G3994" s="46"/>
      <c r="H3994" s="48"/>
      <c r="I3994" s="49"/>
    </row>
    <row r="3995" ht="22.5" customHeight="1">
      <c r="A3995" s="42"/>
      <c r="B3995" s="47"/>
      <c r="C3995" s="46"/>
      <c r="D3995" s="47"/>
      <c r="E3995" s="46"/>
      <c r="F3995" s="47"/>
      <c r="G3995" s="46"/>
      <c r="H3995" s="50"/>
      <c r="I3995" s="51"/>
    </row>
    <row r="3996" ht="22.5" customHeight="1">
      <c r="A3996" s="42"/>
      <c r="B3996" s="47"/>
      <c r="C3996" s="46"/>
      <c r="D3996" s="47"/>
      <c r="E3996" s="46"/>
      <c r="F3996" s="47"/>
      <c r="G3996" s="46"/>
      <c r="H3996" s="48"/>
      <c r="I3996" s="49"/>
    </row>
    <row r="3997" ht="22.5" customHeight="1">
      <c r="A3997" s="42"/>
      <c r="B3997" s="47"/>
      <c r="C3997" s="46"/>
      <c r="D3997" s="47"/>
      <c r="E3997" s="46"/>
      <c r="F3997" s="47"/>
      <c r="G3997" s="46"/>
      <c r="H3997" s="50"/>
      <c r="I3997" s="51"/>
    </row>
    <row r="3998" ht="22.5" customHeight="1">
      <c r="A3998" s="42"/>
      <c r="B3998" s="47"/>
      <c r="C3998" s="46"/>
      <c r="D3998" s="47"/>
      <c r="E3998" s="46"/>
      <c r="F3998" s="47"/>
      <c r="G3998" s="46"/>
      <c r="H3998" s="48"/>
      <c r="I3998" s="49"/>
    </row>
    <row r="3999" ht="22.5" customHeight="1">
      <c r="A3999" s="42"/>
      <c r="B3999" s="47"/>
      <c r="C3999" s="46"/>
      <c r="D3999" s="47"/>
      <c r="E3999" s="46"/>
      <c r="F3999" s="47"/>
      <c r="G3999" s="46"/>
      <c r="H3999" s="50"/>
      <c r="I3999" s="51"/>
    </row>
    <row r="4000" ht="22.5" customHeight="1">
      <c r="A4000" s="42"/>
      <c r="B4000" s="47"/>
      <c r="C4000" s="46"/>
      <c r="D4000" s="47"/>
      <c r="E4000" s="46"/>
      <c r="F4000" s="47"/>
      <c r="G4000" s="46"/>
      <c r="H4000" s="48"/>
      <c r="I4000" s="49"/>
    </row>
    <row r="4001" ht="22.5" customHeight="1">
      <c r="A4001" s="42"/>
      <c r="B4001" s="47"/>
      <c r="C4001" s="46"/>
      <c r="D4001" s="47"/>
      <c r="E4001" s="46"/>
      <c r="F4001" s="47"/>
      <c r="G4001" s="46"/>
      <c r="H4001" s="50"/>
      <c r="I4001" s="51"/>
    </row>
    <row r="4002" ht="22.5" customHeight="1">
      <c r="A4002" s="42"/>
      <c r="B4002" s="47"/>
      <c r="C4002" s="46"/>
      <c r="D4002" s="47"/>
      <c r="E4002" s="46"/>
      <c r="F4002" s="47"/>
      <c r="G4002" s="46"/>
      <c r="H4002" s="48"/>
      <c r="I4002" s="49"/>
    </row>
    <row r="4003" ht="22.5" customHeight="1">
      <c r="A4003" s="42"/>
      <c r="B4003" s="47"/>
      <c r="C4003" s="46"/>
      <c r="D4003" s="47"/>
      <c r="E4003" s="46"/>
      <c r="F4003" s="47"/>
      <c r="G4003" s="46"/>
      <c r="H4003" s="50"/>
      <c r="I4003" s="51"/>
    </row>
    <row r="4004" ht="22.5" customHeight="1">
      <c r="A4004" s="42"/>
      <c r="B4004" s="47"/>
      <c r="C4004" s="46"/>
      <c r="D4004" s="47"/>
      <c r="E4004" s="46"/>
      <c r="F4004" s="47"/>
      <c r="G4004" s="46"/>
      <c r="H4004" s="48"/>
      <c r="I4004" s="49"/>
    </row>
    <row r="4005" ht="22.5" customHeight="1">
      <c r="A4005" s="42"/>
      <c r="B4005" s="47"/>
      <c r="C4005" s="46"/>
      <c r="D4005" s="47"/>
      <c r="E4005" s="46"/>
      <c r="F4005" s="47"/>
      <c r="G4005" s="46"/>
      <c r="H4005" s="50"/>
      <c r="I4005" s="51"/>
    </row>
    <row r="4006" ht="22.5" customHeight="1">
      <c r="A4006" s="42"/>
      <c r="B4006" s="47"/>
      <c r="C4006" s="46"/>
      <c r="D4006" s="47"/>
      <c r="E4006" s="46"/>
      <c r="F4006" s="47"/>
      <c r="G4006" s="46"/>
      <c r="H4006" s="48"/>
      <c r="I4006" s="49"/>
    </row>
    <row r="4007" ht="22.5" customHeight="1">
      <c r="A4007" s="42"/>
      <c r="B4007" s="47"/>
      <c r="C4007" s="46"/>
      <c r="D4007" s="47"/>
      <c r="E4007" s="46"/>
      <c r="F4007" s="47"/>
      <c r="G4007" s="46"/>
      <c r="H4007" s="50"/>
      <c r="I4007" s="51"/>
    </row>
    <row r="4008" ht="22.5" customHeight="1">
      <c r="A4008" s="42"/>
      <c r="B4008" s="47"/>
      <c r="C4008" s="46"/>
      <c r="D4008" s="47"/>
      <c r="E4008" s="46"/>
      <c r="F4008" s="47"/>
      <c r="G4008" s="46"/>
      <c r="H4008" s="48"/>
      <c r="I4008" s="49"/>
    </row>
    <row r="4009" ht="22.5" customHeight="1">
      <c r="A4009" s="42"/>
      <c r="B4009" s="47"/>
      <c r="C4009" s="46"/>
      <c r="D4009" s="47"/>
      <c r="E4009" s="46"/>
      <c r="F4009" s="47"/>
      <c r="G4009" s="46"/>
      <c r="H4009" s="50"/>
      <c r="I4009" s="51"/>
    </row>
    <row r="4010" ht="22.5" customHeight="1">
      <c r="A4010" s="42"/>
      <c r="B4010" s="47"/>
      <c r="C4010" s="46"/>
      <c r="D4010" s="47"/>
      <c r="E4010" s="46"/>
      <c r="F4010" s="47"/>
      <c r="G4010" s="46"/>
      <c r="H4010" s="48"/>
      <c r="I4010" s="49"/>
    </row>
    <row r="4011" ht="22.5" customHeight="1">
      <c r="A4011" s="42"/>
      <c r="B4011" s="47"/>
      <c r="C4011" s="46"/>
      <c r="D4011" s="47"/>
      <c r="E4011" s="46"/>
      <c r="F4011" s="47"/>
      <c r="G4011" s="46"/>
      <c r="H4011" s="50"/>
      <c r="I4011" s="51"/>
    </row>
    <row r="4012" ht="22.5" customHeight="1">
      <c r="A4012" s="42"/>
      <c r="B4012" s="47"/>
      <c r="C4012" s="46"/>
      <c r="D4012" s="47"/>
      <c r="E4012" s="46"/>
      <c r="F4012" s="47"/>
      <c r="G4012" s="46"/>
      <c r="H4012" s="48"/>
      <c r="I4012" s="49"/>
    </row>
    <row r="4013" ht="22.5" customHeight="1">
      <c r="A4013" s="42"/>
      <c r="B4013" s="47"/>
      <c r="C4013" s="46"/>
      <c r="D4013" s="47"/>
      <c r="E4013" s="46"/>
      <c r="F4013" s="47"/>
      <c r="G4013" s="46"/>
      <c r="H4013" s="50"/>
      <c r="I4013" s="51"/>
    </row>
    <row r="4014" ht="22.5" customHeight="1">
      <c r="A4014" s="42"/>
      <c r="B4014" s="47"/>
      <c r="C4014" s="46"/>
      <c r="D4014" s="47"/>
      <c r="E4014" s="46"/>
      <c r="F4014" s="47"/>
      <c r="G4014" s="46"/>
      <c r="H4014" s="48"/>
      <c r="I4014" s="49"/>
    </row>
    <row r="4015" ht="22.5" customHeight="1">
      <c r="A4015" s="42"/>
      <c r="B4015" s="47"/>
      <c r="C4015" s="46"/>
      <c r="D4015" s="47"/>
      <c r="E4015" s="46"/>
      <c r="F4015" s="47"/>
      <c r="G4015" s="46"/>
      <c r="H4015" s="50"/>
      <c r="I4015" s="51"/>
    </row>
    <row r="4016" ht="22.5" customHeight="1">
      <c r="A4016" s="42"/>
      <c r="B4016" s="47"/>
      <c r="C4016" s="46"/>
      <c r="D4016" s="47"/>
      <c r="E4016" s="46"/>
      <c r="F4016" s="47"/>
      <c r="G4016" s="46"/>
      <c r="H4016" s="48"/>
      <c r="I4016" s="49"/>
    </row>
    <row r="4017" ht="22.5" customHeight="1">
      <c r="A4017" s="42"/>
      <c r="B4017" s="47"/>
      <c r="C4017" s="46"/>
      <c r="D4017" s="47"/>
      <c r="E4017" s="46"/>
      <c r="F4017" s="47"/>
      <c r="G4017" s="46"/>
      <c r="H4017" s="50"/>
      <c r="I4017" s="51"/>
    </row>
    <row r="4018" ht="22.5" customHeight="1">
      <c r="A4018" s="42"/>
      <c r="B4018" s="47"/>
      <c r="C4018" s="46"/>
      <c r="D4018" s="47"/>
      <c r="E4018" s="46"/>
      <c r="F4018" s="47"/>
      <c r="G4018" s="46"/>
      <c r="H4018" s="48"/>
      <c r="I4018" s="49"/>
    </row>
    <row r="4019" ht="22.5" customHeight="1">
      <c r="A4019" s="42"/>
      <c r="B4019" s="47"/>
      <c r="C4019" s="46"/>
      <c r="D4019" s="47"/>
      <c r="E4019" s="46"/>
      <c r="F4019" s="47"/>
      <c r="G4019" s="46"/>
      <c r="H4019" s="50"/>
      <c r="I4019" s="51"/>
    </row>
    <row r="4020" ht="22.5" customHeight="1">
      <c r="A4020" s="42"/>
      <c r="B4020" s="47"/>
      <c r="C4020" s="46"/>
      <c r="D4020" s="47"/>
      <c r="E4020" s="46"/>
      <c r="F4020" s="47"/>
      <c r="G4020" s="46"/>
      <c r="H4020" s="48"/>
      <c r="I4020" s="49"/>
    </row>
    <row r="4021" ht="22.5" customHeight="1">
      <c r="A4021" s="42"/>
      <c r="B4021" s="47"/>
      <c r="C4021" s="46"/>
      <c r="D4021" s="47"/>
      <c r="E4021" s="46"/>
      <c r="F4021" s="47"/>
      <c r="G4021" s="46"/>
      <c r="H4021" s="50"/>
      <c r="I4021" s="51"/>
    </row>
    <row r="4022" ht="22.5" customHeight="1">
      <c r="A4022" s="42"/>
      <c r="B4022" s="47"/>
      <c r="C4022" s="46"/>
      <c r="D4022" s="47"/>
      <c r="E4022" s="46"/>
      <c r="F4022" s="47"/>
      <c r="G4022" s="46"/>
      <c r="H4022" s="48"/>
      <c r="I4022" s="49"/>
    </row>
    <row r="4023" ht="22.5" customHeight="1">
      <c r="A4023" s="42"/>
      <c r="B4023" s="47"/>
      <c r="C4023" s="46"/>
      <c r="D4023" s="47"/>
      <c r="E4023" s="46"/>
      <c r="F4023" s="47"/>
      <c r="G4023" s="46"/>
      <c r="H4023" s="50"/>
      <c r="I4023" s="51"/>
    </row>
    <row r="4024" ht="22.5" customHeight="1">
      <c r="A4024" s="42"/>
      <c r="B4024" s="47"/>
      <c r="C4024" s="46"/>
      <c r="D4024" s="47"/>
      <c r="E4024" s="46"/>
      <c r="F4024" s="47"/>
      <c r="G4024" s="46"/>
      <c r="H4024" s="48"/>
      <c r="I4024" s="49"/>
    </row>
    <row r="4025" ht="22.5" customHeight="1">
      <c r="A4025" s="42"/>
      <c r="B4025" s="47"/>
      <c r="C4025" s="46"/>
      <c r="D4025" s="47"/>
      <c r="E4025" s="46"/>
      <c r="F4025" s="47"/>
      <c r="G4025" s="46"/>
      <c r="H4025" s="50"/>
      <c r="I4025" s="51"/>
    </row>
    <row r="4026" ht="22.5" customHeight="1">
      <c r="A4026" s="42"/>
      <c r="B4026" s="47"/>
      <c r="C4026" s="46"/>
      <c r="D4026" s="47"/>
      <c r="E4026" s="46"/>
      <c r="F4026" s="47"/>
      <c r="G4026" s="46"/>
      <c r="H4026" s="48"/>
      <c r="I4026" s="49"/>
    </row>
    <row r="4027" ht="22.5" customHeight="1">
      <c r="A4027" s="42"/>
      <c r="B4027" s="47"/>
      <c r="C4027" s="46"/>
      <c r="D4027" s="47"/>
      <c r="E4027" s="46"/>
      <c r="F4027" s="47"/>
      <c r="G4027" s="46"/>
      <c r="H4027" s="50"/>
      <c r="I4027" s="51"/>
    </row>
    <row r="4028" ht="22.5" customHeight="1">
      <c r="A4028" s="42"/>
      <c r="B4028" s="47"/>
      <c r="C4028" s="46"/>
      <c r="D4028" s="47"/>
      <c r="E4028" s="46"/>
      <c r="F4028" s="47"/>
      <c r="G4028" s="46"/>
      <c r="H4028" s="48"/>
      <c r="I4028" s="49"/>
    </row>
    <row r="4029" ht="22.5" customHeight="1">
      <c r="A4029" s="42"/>
      <c r="B4029" s="47"/>
      <c r="C4029" s="46"/>
      <c r="D4029" s="47"/>
      <c r="E4029" s="46"/>
      <c r="F4029" s="47"/>
      <c r="G4029" s="46"/>
      <c r="H4029" s="50"/>
      <c r="I4029" s="51"/>
    </row>
    <row r="4030" ht="22.5" customHeight="1">
      <c r="A4030" s="42"/>
      <c r="B4030" s="47"/>
      <c r="C4030" s="46"/>
      <c r="D4030" s="47"/>
      <c r="E4030" s="46"/>
      <c r="F4030" s="47"/>
      <c r="G4030" s="46"/>
      <c r="H4030" s="48"/>
      <c r="I4030" s="49"/>
    </row>
    <row r="4031" ht="22.5" customHeight="1">
      <c r="A4031" s="42"/>
      <c r="B4031" s="47"/>
      <c r="C4031" s="46"/>
      <c r="D4031" s="47"/>
      <c r="E4031" s="46"/>
      <c r="F4031" s="47"/>
      <c r="G4031" s="46"/>
      <c r="H4031" s="50"/>
      <c r="I4031" s="51"/>
    </row>
    <row r="4032" ht="22.5" customHeight="1">
      <c r="A4032" s="42"/>
      <c r="B4032" s="47"/>
      <c r="C4032" s="46"/>
      <c r="D4032" s="47"/>
      <c r="E4032" s="46"/>
      <c r="F4032" s="47"/>
      <c r="G4032" s="46"/>
      <c r="H4032" s="48"/>
      <c r="I4032" s="49"/>
    </row>
    <row r="4033" ht="22.5" customHeight="1">
      <c r="A4033" s="42"/>
      <c r="B4033" s="47"/>
      <c r="C4033" s="46"/>
      <c r="D4033" s="47"/>
      <c r="E4033" s="46"/>
      <c r="F4033" s="47"/>
      <c r="G4033" s="46"/>
      <c r="H4033" s="50"/>
      <c r="I4033" s="51"/>
    </row>
    <row r="4034" ht="22.5" customHeight="1">
      <c r="A4034" s="42"/>
      <c r="B4034" s="47"/>
      <c r="C4034" s="46"/>
      <c r="D4034" s="47"/>
      <c r="E4034" s="46"/>
      <c r="F4034" s="47"/>
      <c r="G4034" s="46"/>
      <c r="H4034" s="48"/>
      <c r="I4034" s="49"/>
    </row>
    <row r="4035" ht="22.5" customHeight="1">
      <c r="A4035" s="42"/>
      <c r="B4035" s="47"/>
      <c r="C4035" s="46"/>
      <c r="D4035" s="47"/>
      <c r="E4035" s="46"/>
      <c r="F4035" s="47"/>
      <c r="G4035" s="46"/>
      <c r="H4035" s="50"/>
      <c r="I4035" s="51"/>
    </row>
    <row r="4036" ht="22.5" customHeight="1">
      <c r="A4036" s="42"/>
      <c r="B4036" s="47"/>
      <c r="C4036" s="46"/>
      <c r="D4036" s="47"/>
      <c r="E4036" s="46"/>
      <c r="F4036" s="47"/>
      <c r="G4036" s="46"/>
      <c r="H4036" s="48"/>
      <c r="I4036" s="49"/>
    </row>
    <row r="4037" ht="22.5" customHeight="1">
      <c r="A4037" s="42"/>
      <c r="B4037" s="47"/>
      <c r="C4037" s="46"/>
      <c r="D4037" s="47"/>
      <c r="E4037" s="46"/>
      <c r="F4037" s="47"/>
      <c r="G4037" s="46"/>
      <c r="H4037" s="50"/>
      <c r="I4037" s="51"/>
    </row>
    <row r="4038" ht="22.5" customHeight="1">
      <c r="A4038" s="42"/>
      <c r="B4038" s="47"/>
      <c r="C4038" s="46"/>
      <c r="D4038" s="47"/>
      <c r="E4038" s="46"/>
      <c r="F4038" s="47"/>
      <c r="G4038" s="46"/>
      <c r="H4038" s="48"/>
      <c r="I4038" s="49"/>
    </row>
    <row r="4039" ht="22.5" customHeight="1">
      <c r="A4039" s="42"/>
      <c r="B4039" s="47"/>
      <c r="C4039" s="46"/>
      <c r="D4039" s="47"/>
      <c r="E4039" s="46"/>
      <c r="F4039" s="47"/>
      <c r="G4039" s="46"/>
      <c r="H4039" s="50"/>
      <c r="I4039" s="51"/>
    </row>
    <row r="4040" ht="22.5" customHeight="1">
      <c r="A4040" s="42"/>
      <c r="B4040" s="47"/>
      <c r="C4040" s="46"/>
      <c r="D4040" s="47"/>
      <c r="E4040" s="46"/>
      <c r="F4040" s="47"/>
      <c r="G4040" s="46"/>
      <c r="H4040" s="48"/>
      <c r="I4040" s="49"/>
    </row>
    <row r="4041" ht="22.5" customHeight="1">
      <c r="A4041" s="42"/>
      <c r="B4041" s="47"/>
      <c r="C4041" s="46"/>
      <c r="D4041" s="47"/>
      <c r="E4041" s="46"/>
      <c r="F4041" s="47"/>
      <c r="G4041" s="46"/>
      <c r="H4041" s="50"/>
      <c r="I4041" s="51"/>
    </row>
    <row r="4042" ht="22.5" customHeight="1">
      <c r="A4042" s="42"/>
      <c r="B4042" s="47"/>
      <c r="C4042" s="46"/>
      <c r="D4042" s="47"/>
      <c r="E4042" s="46"/>
      <c r="F4042" s="47"/>
      <c r="G4042" s="46"/>
      <c r="H4042" s="48"/>
      <c r="I4042" s="49"/>
    </row>
    <row r="4043" ht="22.5" customHeight="1">
      <c r="A4043" s="42"/>
      <c r="B4043" s="47"/>
      <c r="C4043" s="46"/>
      <c r="D4043" s="47"/>
      <c r="E4043" s="46"/>
      <c r="F4043" s="47"/>
      <c r="G4043" s="46"/>
      <c r="H4043" s="50"/>
      <c r="I4043" s="51"/>
    </row>
    <row r="4044" ht="22.5" customHeight="1">
      <c r="A4044" s="42"/>
      <c r="B4044" s="47"/>
      <c r="C4044" s="46"/>
      <c r="D4044" s="47"/>
      <c r="E4044" s="46"/>
      <c r="F4044" s="47"/>
      <c r="G4044" s="46"/>
      <c r="H4044" s="48"/>
      <c r="I4044" s="49"/>
    </row>
    <row r="4045" ht="22.5" customHeight="1">
      <c r="A4045" s="42"/>
      <c r="B4045" s="47"/>
      <c r="C4045" s="46"/>
      <c r="D4045" s="47"/>
      <c r="E4045" s="46"/>
      <c r="F4045" s="47"/>
      <c r="G4045" s="46"/>
      <c r="H4045" s="50"/>
      <c r="I4045" s="51"/>
    </row>
    <row r="4046" ht="22.5" customHeight="1">
      <c r="A4046" s="42"/>
      <c r="B4046" s="47"/>
      <c r="C4046" s="46"/>
      <c r="D4046" s="47"/>
      <c r="E4046" s="46"/>
      <c r="F4046" s="47"/>
      <c r="G4046" s="46"/>
      <c r="H4046" s="48"/>
      <c r="I4046" s="49"/>
    </row>
    <row r="4047" ht="22.5" customHeight="1">
      <c r="A4047" s="42"/>
      <c r="B4047" s="47"/>
      <c r="C4047" s="46"/>
      <c r="D4047" s="47"/>
      <c r="E4047" s="46"/>
      <c r="F4047" s="47"/>
      <c r="G4047" s="46"/>
      <c r="H4047" s="50"/>
      <c r="I4047" s="51"/>
    </row>
    <row r="4048" ht="22.5" customHeight="1">
      <c r="A4048" s="42"/>
      <c r="B4048" s="47"/>
      <c r="C4048" s="46"/>
      <c r="D4048" s="47"/>
      <c r="E4048" s="46"/>
      <c r="F4048" s="47"/>
      <c r="G4048" s="46"/>
      <c r="H4048" s="48"/>
      <c r="I4048" s="49"/>
    </row>
    <row r="4049" ht="22.5" customHeight="1">
      <c r="A4049" s="42"/>
      <c r="B4049" s="47"/>
      <c r="C4049" s="46"/>
      <c r="D4049" s="47"/>
      <c r="E4049" s="46"/>
      <c r="F4049" s="47"/>
      <c r="G4049" s="46"/>
      <c r="H4049" s="50"/>
      <c r="I4049" s="51"/>
    </row>
    <row r="4050" ht="22.5" customHeight="1">
      <c r="A4050" s="42"/>
      <c r="B4050" s="47"/>
      <c r="C4050" s="46"/>
      <c r="D4050" s="47"/>
      <c r="E4050" s="46"/>
      <c r="F4050" s="47"/>
      <c r="G4050" s="46"/>
      <c r="H4050" s="48"/>
      <c r="I4050" s="49"/>
    </row>
    <row r="4051" ht="22.5" customHeight="1">
      <c r="A4051" s="42"/>
      <c r="B4051" s="47"/>
      <c r="C4051" s="46"/>
      <c r="D4051" s="47"/>
      <c r="E4051" s="46"/>
      <c r="F4051" s="47"/>
      <c r="G4051" s="46"/>
      <c r="H4051" s="50"/>
      <c r="I4051" s="51"/>
    </row>
    <row r="4052" ht="22.5" customHeight="1">
      <c r="A4052" s="42"/>
      <c r="B4052" s="47"/>
      <c r="C4052" s="46"/>
      <c r="D4052" s="47"/>
      <c r="E4052" s="46"/>
      <c r="F4052" s="47"/>
      <c r="G4052" s="46"/>
      <c r="H4052" s="48"/>
      <c r="I4052" s="49"/>
    </row>
    <row r="4053" ht="22.5" customHeight="1">
      <c r="A4053" s="42"/>
      <c r="B4053" s="47"/>
      <c r="C4053" s="46"/>
      <c r="D4053" s="47"/>
      <c r="E4053" s="46"/>
      <c r="F4053" s="47"/>
      <c r="G4053" s="46"/>
      <c r="H4053" s="50"/>
      <c r="I4053" s="51"/>
    </row>
    <row r="4054" ht="22.5" customHeight="1">
      <c r="A4054" s="42"/>
      <c r="B4054" s="47"/>
      <c r="C4054" s="46"/>
      <c r="D4054" s="47"/>
      <c r="E4054" s="46"/>
      <c r="F4054" s="47"/>
      <c r="G4054" s="46"/>
      <c r="H4054" s="48"/>
      <c r="I4054" s="49"/>
    </row>
    <row r="4055" ht="22.5" customHeight="1">
      <c r="A4055" s="42"/>
      <c r="B4055" s="47"/>
      <c r="C4055" s="46"/>
      <c r="D4055" s="47"/>
      <c r="E4055" s="46"/>
      <c r="F4055" s="47"/>
      <c r="G4055" s="46"/>
      <c r="H4055" s="50"/>
      <c r="I4055" s="51"/>
    </row>
    <row r="4056" ht="22.5" customHeight="1">
      <c r="A4056" s="42"/>
      <c r="B4056" s="47"/>
      <c r="C4056" s="46"/>
      <c r="D4056" s="47"/>
      <c r="E4056" s="46"/>
      <c r="F4056" s="47"/>
      <c r="G4056" s="46"/>
      <c r="H4056" s="48"/>
      <c r="I4056" s="49"/>
    </row>
    <row r="4057" ht="22.5" customHeight="1">
      <c r="A4057" s="42"/>
      <c r="B4057" s="47"/>
      <c r="C4057" s="46"/>
      <c r="D4057" s="47"/>
      <c r="E4057" s="46"/>
      <c r="F4057" s="47"/>
      <c r="G4057" s="46"/>
      <c r="H4057" s="50"/>
      <c r="I4057" s="51"/>
    </row>
    <row r="4058" ht="22.5" customHeight="1">
      <c r="A4058" s="42"/>
      <c r="B4058" s="47"/>
      <c r="C4058" s="46"/>
      <c r="D4058" s="47"/>
      <c r="E4058" s="46"/>
      <c r="F4058" s="47"/>
      <c r="G4058" s="46"/>
      <c r="H4058" s="48"/>
      <c r="I4058" s="49"/>
    </row>
    <row r="4059" ht="22.5" customHeight="1">
      <c r="A4059" s="42"/>
      <c r="B4059" s="47"/>
      <c r="C4059" s="46"/>
      <c r="D4059" s="47"/>
      <c r="E4059" s="46"/>
      <c r="F4059" s="47"/>
      <c r="G4059" s="46"/>
      <c r="H4059" s="50"/>
      <c r="I4059" s="51"/>
    </row>
    <row r="4060" ht="22.5" customHeight="1">
      <c r="A4060" s="42"/>
      <c r="B4060" s="47"/>
      <c r="C4060" s="46"/>
      <c r="D4060" s="47"/>
      <c r="E4060" s="46"/>
      <c r="F4060" s="47"/>
      <c r="G4060" s="46"/>
      <c r="H4060" s="48"/>
      <c r="I4060" s="49"/>
    </row>
    <row r="4061" ht="22.5" customHeight="1">
      <c r="A4061" s="42"/>
      <c r="B4061" s="47"/>
      <c r="C4061" s="46"/>
      <c r="D4061" s="47"/>
      <c r="E4061" s="46"/>
      <c r="F4061" s="47"/>
      <c r="G4061" s="46"/>
      <c r="H4061" s="50"/>
      <c r="I4061" s="51"/>
    </row>
    <row r="4062" ht="22.5" customHeight="1">
      <c r="A4062" s="42"/>
      <c r="B4062" s="47"/>
      <c r="C4062" s="46"/>
      <c r="D4062" s="47"/>
      <c r="E4062" s="46"/>
      <c r="F4062" s="47"/>
      <c r="G4062" s="46"/>
      <c r="H4062" s="48"/>
      <c r="I4062" s="49"/>
    </row>
    <row r="4063" ht="22.5" customHeight="1">
      <c r="A4063" s="42"/>
      <c r="B4063" s="47"/>
      <c r="C4063" s="46"/>
      <c r="D4063" s="47"/>
      <c r="E4063" s="46"/>
      <c r="F4063" s="47"/>
      <c r="G4063" s="46"/>
      <c r="H4063" s="50"/>
      <c r="I4063" s="51"/>
    </row>
    <row r="4064" ht="22.5" customHeight="1">
      <c r="A4064" s="42"/>
      <c r="B4064" s="47"/>
      <c r="C4064" s="46"/>
      <c r="D4064" s="47"/>
      <c r="E4064" s="46"/>
      <c r="F4064" s="47"/>
      <c r="G4064" s="46"/>
      <c r="H4064" s="48"/>
      <c r="I4064" s="49"/>
    </row>
    <row r="4065" ht="22.5" customHeight="1">
      <c r="A4065" s="42"/>
      <c r="B4065" s="47"/>
      <c r="C4065" s="46"/>
      <c r="D4065" s="47"/>
      <c r="E4065" s="46"/>
      <c r="F4065" s="47"/>
      <c r="G4065" s="46"/>
      <c r="H4065" s="50"/>
      <c r="I4065" s="51"/>
    </row>
    <row r="4066" ht="22.5" customHeight="1">
      <c r="A4066" s="42"/>
      <c r="B4066" s="47"/>
      <c r="C4066" s="46"/>
      <c r="D4066" s="47"/>
      <c r="E4066" s="46"/>
      <c r="F4066" s="47"/>
      <c r="G4066" s="46"/>
      <c r="H4066" s="48"/>
      <c r="I4066" s="49"/>
    </row>
    <row r="4067" ht="22.5" customHeight="1">
      <c r="A4067" s="42"/>
      <c r="B4067" s="47"/>
      <c r="C4067" s="46"/>
      <c r="D4067" s="47"/>
      <c r="E4067" s="46"/>
      <c r="F4067" s="47"/>
      <c r="G4067" s="46"/>
      <c r="H4067" s="50"/>
      <c r="I4067" s="51"/>
    </row>
    <row r="4068" ht="22.5" customHeight="1">
      <c r="A4068" s="42"/>
      <c r="B4068" s="47"/>
      <c r="C4068" s="46"/>
      <c r="D4068" s="47"/>
      <c r="E4068" s="46"/>
      <c r="F4068" s="47"/>
      <c r="G4068" s="46"/>
      <c r="H4068" s="48"/>
      <c r="I4068" s="49"/>
    </row>
    <row r="4069" ht="22.5" customHeight="1">
      <c r="A4069" s="42"/>
      <c r="B4069" s="47"/>
      <c r="C4069" s="46"/>
      <c r="D4069" s="47"/>
      <c r="E4069" s="46"/>
      <c r="F4069" s="47"/>
      <c r="G4069" s="46"/>
      <c r="H4069" s="50"/>
      <c r="I4069" s="51"/>
    </row>
    <row r="4070" ht="22.5" customHeight="1">
      <c r="A4070" s="42"/>
      <c r="B4070" s="47"/>
      <c r="C4070" s="46"/>
      <c r="D4070" s="47"/>
      <c r="E4070" s="46"/>
      <c r="F4070" s="47"/>
      <c r="G4070" s="46"/>
      <c r="H4070" s="48"/>
      <c r="I4070" s="49"/>
    </row>
    <row r="4071" ht="22.5" customHeight="1">
      <c r="A4071" s="42"/>
      <c r="B4071" s="47"/>
      <c r="C4071" s="46"/>
      <c r="D4071" s="47"/>
      <c r="E4071" s="46"/>
      <c r="F4071" s="47"/>
      <c r="G4071" s="46"/>
      <c r="H4071" s="50"/>
      <c r="I4071" s="51"/>
    </row>
    <row r="4072" ht="22.5" customHeight="1">
      <c r="A4072" s="42"/>
      <c r="B4072" s="47"/>
      <c r="C4072" s="46"/>
      <c r="D4072" s="47"/>
      <c r="E4072" s="46"/>
      <c r="F4072" s="47"/>
      <c r="G4072" s="46"/>
      <c r="H4072" s="48"/>
      <c r="I4072" s="49"/>
    </row>
    <row r="4073" ht="22.5" customHeight="1">
      <c r="A4073" s="42"/>
      <c r="B4073" s="47"/>
      <c r="C4073" s="46"/>
      <c r="D4073" s="47"/>
      <c r="E4073" s="46"/>
      <c r="F4073" s="47"/>
      <c r="G4073" s="46"/>
      <c r="H4073" s="50"/>
      <c r="I4073" s="51"/>
    </row>
    <row r="4074" ht="22.5" customHeight="1">
      <c r="A4074" s="42"/>
      <c r="B4074" s="47"/>
      <c r="C4074" s="46"/>
      <c r="D4074" s="47"/>
      <c r="E4074" s="46"/>
      <c r="F4074" s="47"/>
      <c r="G4074" s="46"/>
      <c r="H4074" s="48"/>
      <c r="I4074" s="49"/>
    </row>
    <row r="4075" ht="22.5" customHeight="1">
      <c r="A4075" s="42"/>
      <c r="B4075" s="47"/>
      <c r="C4075" s="46"/>
      <c r="D4075" s="47"/>
      <c r="E4075" s="46"/>
      <c r="F4075" s="47"/>
      <c r="G4075" s="46"/>
      <c r="H4075" s="50"/>
      <c r="I4075" s="51"/>
    </row>
    <row r="4076" ht="22.5" customHeight="1">
      <c r="A4076" s="42"/>
      <c r="B4076" s="47"/>
      <c r="C4076" s="46"/>
      <c r="D4076" s="47"/>
      <c r="E4076" s="46"/>
      <c r="F4076" s="47"/>
      <c r="G4076" s="46"/>
      <c r="H4076" s="48"/>
      <c r="I4076" s="49"/>
    </row>
    <row r="4077" ht="22.5" customHeight="1">
      <c r="A4077" s="42"/>
      <c r="B4077" s="47"/>
      <c r="C4077" s="46"/>
      <c r="D4077" s="47"/>
      <c r="E4077" s="46"/>
      <c r="F4077" s="47"/>
      <c r="G4077" s="46"/>
      <c r="H4077" s="50"/>
      <c r="I4077" s="51"/>
    </row>
    <row r="4078" ht="22.5" customHeight="1">
      <c r="A4078" s="42"/>
      <c r="B4078" s="47"/>
      <c r="C4078" s="46"/>
      <c r="D4078" s="47"/>
      <c r="E4078" s="46"/>
      <c r="F4078" s="47"/>
      <c r="G4078" s="46"/>
      <c r="H4078" s="48"/>
      <c r="I4078" s="49"/>
    </row>
    <row r="4079" ht="22.5" customHeight="1">
      <c r="A4079" s="42"/>
      <c r="B4079" s="47"/>
      <c r="C4079" s="46"/>
      <c r="D4079" s="47"/>
      <c r="E4079" s="46"/>
      <c r="F4079" s="47"/>
      <c r="G4079" s="46"/>
      <c r="H4079" s="50"/>
      <c r="I4079" s="51"/>
    </row>
    <row r="4080" ht="22.5" customHeight="1">
      <c r="A4080" s="42"/>
      <c r="B4080" s="47"/>
      <c r="C4080" s="46"/>
      <c r="D4080" s="47"/>
      <c r="E4080" s="46"/>
      <c r="F4080" s="47"/>
      <c r="G4080" s="46"/>
      <c r="H4080" s="48"/>
      <c r="I4080" s="49"/>
    </row>
    <row r="4081" ht="22.5" customHeight="1">
      <c r="A4081" s="42"/>
      <c r="B4081" s="47"/>
      <c r="C4081" s="46"/>
      <c r="D4081" s="47"/>
      <c r="E4081" s="46"/>
      <c r="F4081" s="47"/>
      <c r="G4081" s="46"/>
      <c r="H4081" s="50"/>
      <c r="I4081" s="51"/>
    </row>
    <row r="4082" ht="22.5" customHeight="1">
      <c r="A4082" s="42"/>
      <c r="B4082" s="47"/>
      <c r="C4082" s="46"/>
      <c r="D4082" s="47"/>
      <c r="E4082" s="46"/>
      <c r="F4082" s="47"/>
      <c r="G4082" s="46"/>
      <c r="H4082" s="48"/>
      <c r="I4082" s="49"/>
    </row>
    <row r="4083" ht="22.5" customHeight="1">
      <c r="A4083" s="42"/>
      <c r="B4083" s="47"/>
      <c r="C4083" s="46"/>
      <c r="D4083" s="47"/>
      <c r="E4083" s="46"/>
      <c r="F4083" s="47"/>
      <c r="G4083" s="46"/>
      <c r="H4083" s="50"/>
      <c r="I4083" s="51"/>
    </row>
    <row r="4084" ht="22.5" customHeight="1">
      <c r="A4084" s="42"/>
      <c r="B4084" s="47"/>
      <c r="C4084" s="46"/>
      <c r="D4084" s="47"/>
      <c r="E4084" s="46"/>
      <c r="F4084" s="47"/>
      <c r="G4084" s="46"/>
      <c r="H4084" s="48"/>
      <c r="I4084" s="49"/>
    </row>
    <row r="4085" ht="22.5" customHeight="1">
      <c r="A4085" s="42"/>
      <c r="B4085" s="47"/>
      <c r="C4085" s="46"/>
      <c r="D4085" s="47"/>
      <c r="E4085" s="46"/>
      <c r="F4085" s="47"/>
      <c r="G4085" s="46"/>
      <c r="H4085" s="50"/>
      <c r="I4085" s="51"/>
    </row>
    <row r="4086" ht="22.5" customHeight="1">
      <c r="A4086" s="42"/>
      <c r="B4086" s="47"/>
      <c r="C4086" s="46"/>
      <c r="D4086" s="47"/>
      <c r="E4086" s="46"/>
      <c r="F4086" s="47"/>
      <c r="G4086" s="46"/>
      <c r="H4086" s="48"/>
      <c r="I4086" s="49"/>
    </row>
    <row r="4087" ht="22.5" customHeight="1">
      <c r="A4087" s="42"/>
      <c r="B4087" s="47"/>
      <c r="C4087" s="46"/>
      <c r="D4087" s="47"/>
      <c r="E4087" s="46"/>
      <c r="F4087" s="47"/>
      <c r="G4087" s="46"/>
      <c r="H4087" s="50"/>
      <c r="I4087" s="51"/>
    </row>
    <row r="4088" ht="22.5" customHeight="1">
      <c r="A4088" s="42"/>
      <c r="B4088" s="47"/>
      <c r="C4088" s="46"/>
      <c r="D4088" s="47"/>
      <c r="E4088" s="46"/>
      <c r="F4088" s="47"/>
      <c r="G4088" s="46"/>
      <c r="H4088" s="48"/>
      <c r="I4088" s="49"/>
    </row>
    <row r="4089" ht="22.5" customHeight="1">
      <c r="A4089" s="42"/>
      <c r="B4089" s="47"/>
      <c r="C4089" s="46"/>
      <c r="D4089" s="47"/>
      <c r="E4089" s="46"/>
      <c r="F4089" s="47"/>
      <c r="G4089" s="46"/>
      <c r="H4089" s="50"/>
      <c r="I4089" s="51"/>
    </row>
    <row r="4090" ht="22.5" customHeight="1">
      <c r="A4090" s="42"/>
      <c r="B4090" s="47"/>
      <c r="C4090" s="46"/>
      <c r="D4090" s="47"/>
      <c r="E4090" s="46"/>
      <c r="F4090" s="47"/>
      <c r="G4090" s="46"/>
      <c r="H4090" s="48"/>
      <c r="I4090" s="49"/>
    </row>
    <row r="4091" ht="22.5" customHeight="1">
      <c r="A4091" s="42"/>
      <c r="B4091" s="47"/>
      <c r="C4091" s="46"/>
      <c r="D4091" s="47"/>
      <c r="E4091" s="46"/>
      <c r="F4091" s="47"/>
      <c r="G4091" s="46"/>
      <c r="H4091" s="50"/>
      <c r="I4091" s="51"/>
    </row>
    <row r="4092" ht="22.5" customHeight="1">
      <c r="A4092" s="42"/>
      <c r="B4092" s="47"/>
      <c r="C4092" s="46"/>
      <c r="D4092" s="47"/>
      <c r="E4092" s="46"/>
      <c r="F4092" s="47"/>
      <c r="G4092" s="46"/>
      <c r="H4092" s="48"/>
      <c r="I4092" s="49"/>
    </row>
    <row r="4093" ht="22.5" customHeight="1">
      <c r="A4093" s="42"/>
      <c r="B4093" s="47"/>
      <c r="C4093" s="46"/>
      <c r="D4093" s="47"/>
      <c r="E4093" s="46"/>
      <c r="F4093" s="47"/>
      <c r="G4093" s="46"/>
      <c r="H4093" s="50"/>
      <c r="I4093" s="51"/>
    </row>
    <row r="4094" ht="22.5" customHeight="1">
      <c r="A4094" s="42"/>
      <c r="B4094" s="47"/>
      <c r="C4094" s="46"/>
      <c r="D4094" s="47"/>
      <c r="E4094" s="46"/>
      <c r="F4094" s="47"/>
      <c r="G4094" s="46"/>
      <c r="H4094" s="48"/>
      <c r="I4094" s="49"/>
    </row>
    <row r="4095" ht="22.5" customHeight="1">
      <c r="A4095" s="42"/>
      <c r="B4095" s="47"/>
      <c r="C4095" s="46"/>
      <c r="D4095" s="47"/>
      <c r="E4095" s="46"/>
      <c r="F4095" s="47"/>
      <c r="G4095" s="46"/>
      <c r="H4095" s="50"/>
      <c r="I4095" s="51"/>
    </row>
    <row r="4096" ht="22.5" customHeight="1">
      <c r="A4096" s="42"/>
      <c r="B4096" s="47"/>
      <c r="C4096" s="46"/>
      <c r="D4096" s="47"/>
      <c r="E4096" s="46"/>
      <c r="F4096" s="47"/>
      <c r="G4096" s="46"/>
      <c r="H4096" s="48"/>
      <c r="I4096" s="49"/>
    </row>
    <row r="4097" ht="22.5" customHeight="1">
      <c r="A4097" s="42"/>
      <c r="B4097" s="47"/>
      <c r="C4097" s="46"/>
      <c r="D4097" s="47"/>
      <c r="E4097" s="46"/>
      <c r="F4097" s="47"/>
      <c r="G4097" s="46"/>
      <c r="H4097" s="50"/>
      <c r="I4097" s="51"/>
    </row>
    <row r="4098" ht="22.5" customHeight="1">
      <c r="A4098" s="42"/>
      <c r="B4098" s="47"/>
      <c r="C4098" s="46"/>
      <c r="D4098" s="47"/>
      <c r="E4098" s="46"/>
      <c r="F4098" s="47"/>
      <c r="G4098" s="46"/>
      <c r="H4098" s="48"/>
      <c r="I4098" s="49"/>
    </row>
    <row r="4099" ht="22.5" customHeight="1">
      <c r="A4099" s="42"/>
      <c r="B4099" s="47"/>
      <c r="C4099" s="46"/>
      <c r="D4099" s="47"/>
      <c r="E4099" s="46"/>
      <c r="F4099" s="47"/>
      <c r="G4099" s="46"/>
      <c r="H4099" s="50"/>
      <c r="I4099" s="51"/>
    </row>
    <row r="4100" ht="22.5" customHeight="1">
      <c r="A4100" s="42"/>
      <c r="B4100" s="47"/>
      <c r="C4100" s="46"/>
      <c r="D4100" s="47"/>
      <c r="E4100" s="46"/>
      <c r="F4100" s="47"/>
      <c r="G4100" s="46"/>
      <c r="H4100" s="48"/>
      <c r="I4100" s="49"/>
    </row>
    <row r="4101" ht="22.5" customHeight="1">
      <c r="A4101" s="42"/>
      <c r="B4101" s="47"/>
      <c r="C4101" s="46"/>
      <c r="D4101" s="47"/>
      <c r="E4101" s="46"/>
      <c r="F4101" s="47"/>
      <c r="G4101" s="46"/>
      <c r="H4101" s="50"/>
      <c r="I4101" s="51"/>
    </row>
    <row r="4102" ht="22.5" customHeight="1">
      <c r="A4102" s="42"/>
      <c r="B4102" s="47"/>
      <c r="C4102" s="46"/>
      <c r="D4102" s="47"/>
      <c r="E4102" s="46"/>
      <c r="F4102" s="47"/>
      <c r="G4102" s="46"/>
      <c r="H4102" s="48"/>
      <c r="I4102" s="49"/>
    </row>
    <row r="4103" ht="22.5" customHeight="1">
      <c r="A4103" s="42"/>
      <c r="B4103" s="47"/>
      <c r="C4103" s="46"/>
      <c r="D4103" s="47"/>
      <c r="E4103" s="46"/>
      <c r="F4103" s="47"/>
      <c r="G4103" s="46"/>
      <c r="H4103" s="50"/>
      <c r="I4103" s="51"/>
    </row>
    <row r="4104" ht="22.5" customHeight="1">
      <c r="A4104" s="42"/>
      <c r="B4104" s="47"/>
      <c r="C4104" s="46"/>
      <c r="D4104" s="47"/>
      <c r="E4104" s="46"/>
      <c r="F4104" s="47"/>
      <c r="G4104" s="46"/>
      <c r="H4104" s="48"/>
      <c r="I4104" s="49"/>
    </row>
    <row r="4105" ht="22.5" customHeight="1">
      <c r="A4105" s="42"/>
      <c r="B4105" s="47"/>
      <c r="C4105" s="46"/>
      <c r="D4105" s="47"/>
      <c r="E4105" s="46"/>
      <c r="F4105" s="47"/>
      <c r="G4105" s="46"/>
      <c r="H4105" s="50"/>
      <c r="I4105" s="51"/>
    </row>
    <row r="4106" ht="22.5" customHeight="1">
      <c r="A4106" s="42"/>
      <c r="B4106" s="47"/>
      <c r="C4106" s="46"/>
      <c r="D4106" s="47"/>
      <c r="E4106" s="46"/>
      <c r="F4106" s="47"/>
      <c r="G4106" s="46"/>
      <c r="H4106" s="48"/>
      <c r="I4106" s="49"/>
    </row>
    <row r="4107" ht="22.5" customHeight="1">
      <c r="A4107" s="42"/>
      <c r="B4107" s="47"/>
      <c r="C4107" s="46"/>
      <c r="D4107" s="47"/>
      <c r="E4107" s="46"/>
      <c r="F4107" s="47"/>
      <c r="G4107" s="46"/>
      <c r="H4107" s="50"/>
      <c r="I4107" s="51"/>
    </row>
    <row r="4108" ht="22.5" customHeight="1">
      <c r="A4108" s="42"/>
      <c r="B4108" s="47"/>
      <c r="C4108" s="46"/>
      <c r="D4108" s="47"/>
      <c r="E4108" s="46"/>
      <c r="F4108" s="47"/>
      <c r="G4108" s="46"/>
      <c r="H4108" s="48"/>
      <c r="I4108" s="49"/>
    </row>
    <row r="4109" ht="22.5" customHeight="1">
      <c r="A4109" s="42"/>
      <c r="B4109" s="47"/>
      <c r="C4109" s="46"/>
      <c r="D4109" s="47"/>
      <c r="E4109" s="46"/>
      <c r="F4109" s="47"/>
      <c r="G4109" s="46"/>
      <c r="H4109" s="50"/>
      <c r="I4109" s="51"/>
    </row>
    <row r="4110" ht="22.5" customHeight="1">
      <c r="A4110" s="42"/>
      <c r="B4110" s="47"/>
      <c r="C4110" s="46"/>
      <c r="D4110" s="47"/>
      <c r="E4110" s="46"/>
      <c r="F4110" s="47"/>
      <c r="G4110" s="46"/>
      <c r="H4110" s="48"/>
      <c r="I4110" s="49"/>
    </row>
    <row r="4111" ht="22.5" customHeight="1">
      <c r="A4111" s="42"/>
      <c r="B4111" s="47"/>
      <c r="C4111" s="46"/>
      <c r="D4111" s="47"/>
      <c r="E4111" s="46"/>
      <c r="F4111" s="47"/>
      <c r="G4111" s="46"/>
      <c r="H4111" s="50"/>
      <c r="I4111" s="51"/>
    </row>
    <row r="4112" ht="22.5" customHeight="1">
      <c r="A4112" s="42"/>
      <c r="B4112" s="47"/>
      <c r="C4112" s="46"/>
      <c r="D4112" s="47"/>
      <c r="E4112" s="46"/>
      <c r="F4112" s="47"/>
      <c r="G4112" s="46"/>
      <c r="H4112" s="48"/>
      <c r="I4112" s="49"/>
    </row>
    <row r="4113" ht="22.5" customHeight="1">
      <c r="A4113" s="42"/>
      <c r="B4113" s="47"/>
      <c r="C4113" s="46"/>
      <c r="D4113" s="47"/>
      <c r="E4113" s="46"/>
      <c r="F4113" s="47"/>
      <c r="G4113" s="46"/>
      <c r="H4113" s="50"/>
      <c r="I4113" s="51"/>
    </row>
    <row r="4114" ht="22.5" customHeight="1">
      <c r="A4114" s="42"/>
      <c r="B4114" s="47"/>
      <c r="C4114" s="46"/>
      <c r="D4114" s="47"/>
      <c r="E4114" s="46"/>
      <c r="F4114" s="47"/>
      <c r="G4114" s="46"/>
      <c r="H4114" s="48"/>
      <c r="I4114" s="49"/>
    </row>
    <row r="4115" ht="22.5" customHeight="1">
      <c r="A4115" s="42"/>
      <c r="B4115" s="47"/>
      <c r="C4115" s="46"/>
      <c r="D4115" s="47"/>
      <c r="E4115" s="46"/>
      <c r="F4115" s="47"/>
      <c r="G4115" s="46"/>
      <c r="H4115" s="50"/>
      <c r="I4115" s="51"/>
    </row>
    <row r="4116" ht="22.5" customHeight="1">
      <c r="A4116" s="42"/>
      <c r="B4116" s="47"/>
      <c r="C4116" s="46"/>
      <c r="D4116" s="47"/>
      <c r="E4116" s="46"/>
      <c r="F4116" s="47"/>
      <c r="G4116" s="46"/>
      <c r="H4116" s="48"/>
      <c r="I4116" s="49"/>
    </row>
    <row r="4117" ht="22.5" customHeight="1">
      <c r="A4117" s="42"/>
      <c r="B4117" s="47"/>
      <c r="C4117" s="46"/>
      <c r="D4117" s="47"/>
      <c r="E4117" s="46"/>
      <c r="F4117" s="47"/>
      <c r="G4117" s="46"/>
      <c r="H4117" s="50"/>
      <c r="I4117" s="51"/>
    </row>
    <row r="4118" ht="22.5" customHeight="1">
      <c r="A4118" s="42"/>
      <c r="B4118" s="47"/>
      <c r="C4118" s="46"/>
      <c r="D4118" s="47"/>
      <c r="E4118" s="46"/>
      <c r="F4118" s="47"/>
      <c r="G4118" s="46"/>
      <c r="H4118" s="48"/>
      <c r="I4118" s="49"/>
    </row>
    <row r="4119" ht="22.5" customHeight="1">
      <c r="A4119" s="42"/>
      <c r="B4119" s="47"/>
      <c r="C4119" s="46"/>
      <c r="D4119" s="47"/>
      <c r="E4119" s="46"/>
      <c r="F4119" s="47"/>
      <c r="G4119" s="46"/>
      <c r="H4119" s="50"/>
      <c r="I4119" s="51"/>
    </row>
    <row r="4120" ht="22.5" customHeight="1">
      <c r="A4120" s="42"/>
      <c r="B4120" s="47"/>
      <c r="C4120" s="46"/>
      <c r="D4120" s="47"/>
      <c r="E4120" s="46"/>
      <c r="F4120" s="47"/>
      <c r="G4120" s="46"/>
      <c r="H4120" s="48"/>
      <c r="I4120" s="49"/>
    </row>
    <row r="4121" ht="22.5" customHeight="1">
      <c r="A4121" s="42"/>
      <c r="B4121" s="47"/>
      <c r="C4121" s="46"/>
      <c r="D4121" s="47"/>
      <c r="E4121" s="46"/>
      <c r="F4121" s="47"/>
      <c r="G4121" s="46"/>
      <c r="H4121" s="50"/>
      <c r="I4121" s="51"/>
    </row>
    <row r="4122" ht="22.5" customHeight="1">
      <c r="A4122" s="42"/>
      <c r="B4122" s="47"/>
      <c r="C4122" s="46"/>
      <c r="D4122" s="47"/>
      <c r="E4122" s="46"/>
      <c r="F4122" s="47"/>
      <c r="G4122" s="46"/>
      <c r="H4122" s="48"/>
      <c r="I4122" s="49"/>
    </row>
    <row r="4123" ht="22.5" customHeight="1">
      <c r="A4123" s="42"/>
      <c r="B4123" s="47"/>
      <c r="C4123" s="46"/>
      <c r="D4123" s="47"/>
      <c r="E4123" s="46"/>
      <c r="F4123" s="47"/>
      <c r="G4123" s="46"/>
      <c r="H4123" s="50"/>
      <c r="I4123" s="51"/>
    </row>
    <row r="4124" ht="22.5" customHeight="1">
      <c r="A4124" s="42"/>
      <c r="B4124" s="47"/>
      <c r="C4124" s="46"/>
      <c r="D4124" s="47"/>
      <c r="E4124" s="46"/>
      <c r="F4124" s="47"/>
      <c r="G4124" s="46"/>
      <c r="H4124" s="48"/>
      <c r="I4124" s="49"/>
    </row>
    <row r="4125" ht="22.5" customHeight="1">
      <c r="A4125" s="42"/>
      <c r="B4125" s="47"/>
      <c r="C4125" s="46"/>
      <c r="D4125" s="47"/>
      <c r="E4125" s="46"/>
      <c r="F4125" s="47"/>
      <c r="G4125" s="46"/>
      <c r="H4125" s="50"/>
      <c r="I4125" s="51"/>
    </row>
    <row r="4126" ht="22.5" customHeight="1">
      <c r="A4126" s="42"/>
      <c r="B4126" s="47"/>
      <c r="C4126" s="46"/>
      <c r="D4126" s="47"/>
      <c r="E4126" s="46"/>
      <c r="F4126" s="47"/>
      <c r="G4126" s="46"/>
      <c r="H4126" s="48"/>
      <c r="I4126" s="49"/>
    </row>
    <row r="4127" ht="22.5" customHeight="1">
      <c r="A4127" s="42"/>
      <c r="B4127" s="47"/>
      <c r="C4127" s="46"/>
      <c r="D4127" s="47"/>
      <c r="E4127" s="46"/>
      <c r="F4127" s="47"/>
      <c r="G4127" s="46"/>
      <c r="H4127" s="50"/>
      <c r="I4127" s="51"/>
    </row>
    <row r="4128" ht="22.5" customHeight="1">
      <c r="A4128" s="42"/>
      <c r="B4128" s="47"/>
      <c r="C4128" s="46"/>
      <c r="D4128" s="47"/>
      <c r="E4128" s="46"/>
      <c r="F4128" s="47"/>
      <c r="G4128" s="46"/>
      <c r="H4128" s="48"/>
      <c r="I4128" s="49"/>
    </row>
    <row r="4129" ht="22.5" customHeight="1">
      <c r="A4129" s="42"/>
      <c r="B4129" s="47"/>
      <c r="C4129" s="46"/>
      <c r="D4129" s="47"/>
      <c r="E4129" s="46"/>
      <c r="F4129" s="47"/>
      <c r="G4129" s="46"/>
      <c r="H4129" s="50"/>
      <c r="I4129" s="51"/>
    </row>
    <row r="4130" ht="22.5" customHeight="1">
      <c r="A4130" s="42"/>
      <c r="B4130" s="47"/>
      <c r="C4130" s="46"/>
      <c r="D4130" s="47"/>
      <c r="E4130" s="46"/>
      <c r="F4130" s="47"/>
      <c r="G4130" s="46"/>
      <c r="H4130" s="48"/>
      <c r="I4130" s="49"/>
    </row>
    <row r="4131" ht="22.5" customHeight="1">
      <c r="A4131" s="42"/>
      <c r="B4131" s="47"/>
      <c r="C4131" s="46"/>
      <c r="D4131" s="47"/>
      <c r="E4131" s="46"/>
      <c r="F4131" s="47"/>
      <c r="G4131" s="46"/>
      <c r="H4131" s="50"/>
      <c r="I4131" s="51"/>
    </row>
    <row r="4132" ht="22.5" customHeight="1">
      <c r="A4132" s="42"/>
      <c r="B4132" s="47"/>
      <c r="C4132" s="46"/>
      <c r="D4132" s="47"/>
      <c r="E4132" s="46"/>
      <c r="F4132" s="47"/>
      <c r="G4132" s="46"/>
      <c r="H4132" s="48"/>
      <c r="I4132" s="49"/>
    </row>
    <row r="4133" ht="22.5" customHeight="1">
      <c r="A4133" s="42"/>
      <c r="B4133" s="47"/>
      <c r="C4133" s="46"/>
      <c r="D4133" s="47"/>
      <c r="E4133" s="46"/>
      <c r="F4133" s="47"/>
      <c r="G4133" s="46"/>
      <c r="H4133" s="50"/>
      <c r="I4133" s="51"/>
    </row>
    <row r="4134" ht="22.5" customHeight="1">
      <c r="A4134" s="42"/>
      <c r="B4134" s="47"/>
      <c r="C4134" s="46"/>
      <c r="D4134" s="47"/>
      <c r="E4134" s="46"/>
      <c r="F4134" s="47"/>
      <c r="G4134" s="46"/>
      <c r="H4134" s="48"/>
      <c r="I4134" s="49"/>
    </row>
    <row r="4135" ht="22.5" customHeight="1">
      <c r="A4135" s="42"/>
      <c r="B4135" s="47"/>
      <c r="C4135" s="46"/>
      <c r="D4135" s="47"/>
      <c r="E4135" s="46"/>
      <c r="F4135" s="47"/>
      <c r="G4135" s="46"/>
      <c r="H4135" s="50"/>
      <c r="I4135" s="51"/>
    </row>
    <row r="4136" ht="22.5" customHeight="1">
      <c r="A4136" s="42"/>
      <c r="B4136" s="47"/>
      <c r="C4136" s="46"/>
      <c r="D4136" s="47"/>
      <c r="E4136" s="46"/>
      <c r="F4136" s="47"/>
      <c r="G4136" s="46"/>
      <c r="H4136" s="48"/>
      <c r="I4136" s="49"/>
    </row>
    <row r="4137" ht="22.5" customHeight="1">
      <c r="A4137" s="42"/>
      <c r="B4137" s="47"/>
      <c r="C4137" s="46"/>
      <c r="D4137" s="47"/>
      <c r="E4137" s="46"/>
      <c r="F4137" s="47"/>
      <c r="G4137" s="46"/>
      <c r="H4137" s="50"/>
      <c r="I4137" s="51"/>
    </row>
    <row r="4138" ht="22.5" customHeight="1">
      <c r="A4138" s="42"/>
      <c r="B4138" s="47"/>
      <c r="C4138" s="46"/>
      <c r="D4138" s="47"/>
      <c r="E4138" s="46"/>
      <c r="F4138" s="47"/>
      <c r="G4138" s="46"/>
      <c r="H4138" s="48"/>
      <c r="I4138" s="49"/>
    </row>
    <row r="4139" ht="22.5" customHeight="1">
      <c r="A4139" s="42"/>
      <c r="B4139" s="47"/>
      <c r="C4139" s="46"/>
      <c r="D4139" s="47"/>
      <c r="E4139" s="46"/>
      <c r="F4139" s="47"/>
      <c r="G4139" s="46"/>
      <c r="H4139" s="50"/>
      <c r="I4139" s="51"/>
    </row>
    <row r="4140" ht="22.5" customHeight="1">
      <c r="A4140" s="42"/>
      <c r="B4140" s="47"/>
      <c r="C4140" s="46"/>
      <c r="D4140" s="47"/>
      <c r="E4140" s="46"/>
      <c r="F4140" s="47"/>
      <c r="G4140" s="46"/>
      <c r="H4140" s="48"/>
      <c r="I4140" s="49"/>
    </row>
    <row r="4141" ht="22.5" customHeight="1">
      <c r="A4141" s="42"/>
      <c r="B4141" s="47"/>
      <c r="C4141" s="46"/>
      <c r="D4141" s="47"/>
      <c r="E4141" s="46"/>
      <c r="F4141" s="47"/>
      <c r="G4141" s="46"/>
      <c r="H4141" s="50"/>
      <c r="I4141" s="51"/>
    </row>
    <row r="4142" ht="22.5" customHeight="1">
      <c r="A4142" s="42"/>
      <c r="B4142" s="47"/>
      <c r="C4142" s="46"/>
      <c r="D4142" s="47"/>
      <c r="E4142" s="46"/>
      <c r="F4142" s="47"/>
      <c r="G4142" s="46"/>
      <c r="H4142" s="48"/>
      <c r="I4142" s="49"/>
    </row>
    <row r="4143" ht="22.5" customHeight="1">
      <c r="A4143" s="42"/>
      <c r="B4143" s="47"/>
      <c r="C4143" s="46"/>
      <c r="D4143" s="47"/>
      <c r="E4143" s="46"/>
      <c r="F4143" s="47"/>
      <c r="G4143" s="46"/>
      <c r="H4143" s="50"/>
      <c r="I4143" s="51"/>
    </row>
    <row r="4144" ht="22.5" customHeight="1">
      <c r="A4144" s="42"/>
      <c r="B4144" s="47"/>
      <c r="C4144" s="46"/>
      <c r="D4144" s="47"/>
      <c r="E4144" s="46"/>
      <c r="F4144" s="47"/>
      <c r="G4144" s="46"/>
      <c r="H4144" s="48"/>
      <c r="I4144" s="49"/>
    </row>
    <row r="4145" ht="22.5" customHeight="1">
      <c r="A4145" s="42"/>
      <c r="B4145" s="47"/>
      <c r="C4145" s="46"/>
      <c r="D4145" s="47"/>
      <c r="E4145" s="46"/>
      <c r="F4145" s="47"/>
      <c r="G4145" s="46"/>
      <c r="H4145" s="50"/>
      <c r="I4145" s="51"/>
    </row>
    <row r="4146" ht="22.5" customHeight="1">
      <c r="A4146" s="42"/>
      <c r="B4146" s="47"/>
      <c r="C4146" s="46"/>
      <c r="D4146" s="47"/>
      <c r="E4146" s="46"/>
      <c r="F4146" s="47"/>
      <c r="G4146" s="46"/>
      <c r="H4146" s="48"/>
      <c r="I4146" s="49"/>
    </row>
    <row r="4147" ht="22.5" customHeight="1">
      <c r="A4147" s="42"/>
      <c r="B4147" s="47"/>
      <c r="C4147" s="46"/>
      <c r="D4147" s="47"/>
      <c r="E4147" s="46"/>
      <c r="F4147" s="47"/>
      <c r="G4147" s="46"/>
      <c r="H4147" s="50"/>
      <c r="I4147" s="51"/>
    </row>
    <row r="4148" ht="22.5" customHeight="1">
      <c r="A4148" s="42"/>
      <c r="B4148" s="47"/>
      <c r="C4148" s="46"/>
      <c r="D4148" s="47"/>
      <c r="E4148" s="46"/>
      <c r="F4148" s="47"/>
      <c r="G4148" s="46"/>
      <c r="H4148" s="48"/>
      <c r="I4148" s="49"/>
    </row>
    <row r="4149" ht="22.5" customHeight="1">
      <c r="A4149" s="42"/>
      <c r="B4149" s="47"/>
      <c r="C4149" s="46"/>
      <c r="D4149" s="47"/>
      <c r="E4149" s="46"/>
      <c r="F4149" s="47"/>
      <c r="G4149" s="46"/>
      <c r="H4149" s="50"/>
      <c r="I4149" s="51"/>
    </row>
    <row r="4150" ht="22.5" customHeight="1">
      <c r="A4150" s="42"/>
      <c r="B4150" s="47"/>
      <c r="C4150" s="46"/>
      <c r="D4150" s="47"/>
      <c r="E4150" s="46"/>
      <c r="F4150" s="47"/>
      <c r="G4150" s="46"/>
      <c r="H4150" s="48"/>
      <c r="I4150" s="49"/>
    </row>
    <row r="4151" ht="22.5" customHeight="1">
      <c r="A4151" s="42"/>
      <c r="B4151" s="47"/>
      <c r="C4151" s="46"/>
      <c r="D4151" s="47"/>
      <c r="E4151" s="46"/>
      <c r="F4151" s="47"/>
      <c r="G4151" s="46"/>
      <c r="H4151" s="50"/>
      <c r="I4151" s="51"/>
    </row>
    <row r="4152" ht="22.5" customHeight="1">
      <c r="A4152" s="42"/>
      <c r="B4152" s="47"/>
      <c r="C4152" s="46"/>
      <c r="D4152" s="47"/>
      <c r="E4152" s="46"/>
      <c r="F4152" s="47"/>
      <c r="G4152" s="46"/>
      <c r="H4152" s="48"/>
      <c r="I4152" s="49"/>
    </row>
    <row r="4153" ht="22.5" customHeight="1">
      <c r="A4153" s="42"/>
      <c r="B4153" s="47"/>
      <c r="C4153" s="46"/>
      <c r="D4153" s="47"/>
      <c r="E4153" s="46"/>
      <c r="F4153" s="47"/>
      <c r="G4153" s="46"/>
      <c r="H4153" s="50"/>
      <c r="I4153" s="51"/>
    </row>
    <row r="4154" ht="22.5" customHeight="1">
      <c r="A4154" s="42"/>
      <c r="B4154" s="47"/>
      <c r="C4154" s="46"/>
      <c r="D4154" s="47"/>
      <c r="E4154" s="46"/>
      <c r="F4154" s="47"/>
      <c r="G4154" s="46"/>
      <c r="H4154" s="48"/>
      <c r="I4154" s="49"/>
    </row>
    <row r="4155" ht="22.5" customHeight="1">
      <c r="A4155" s="42"/>
      <c r="B4155" s="47"/>
      <c r="C4155" s="46"/>
      <c r="D4155" s="47"/>
      <c r="E4155" s="46"/>
      <c r="F4155" s="47"/>
      <c r="G4155" s="46"/>
      <c r="H4155" s="50"/>
      <c r="I4155" s="51"/>
    </row>
    <row r="4156" ht="22.5" customHeight="1">
      <c r="A4156" s="42"/>
      <c r="B4156" s="47"/>
      <c r="C4156" s="46"/>
      <c r="D4156" s="47"/>
      <c r="E4156" s="46"/>
      <c r="F4156" s="47"/>
      <c r="G4156" s="46"/>
      <c r="H4156" s="48"/>
      <c r="I4156" s="49"/>
    </row>
    <row r="4157" ht="22.5" customHeight="1">
      <c r="A4157" s="42"/>
      <c r="B4157" s="47"/>
      <c r="C4157" s="46"/>
      <c r="D4157" s="47"/>
      <c r="E4157" s="46"/>
      <c r="F4157" s="47"/>
      <c r="G4157" s="46"/>
      <c r="H4157" s="50"/>
      <c r="I4157" s="51"/>
    </row>
    <row r="4158" ht="22.5" customHeight="1">
      <c r="A4158" s="42"/>
      <c r="B4158" s="47"/>
      <c r="C4158" s="46"/>
      <c r="D4158" s="47"/>
      <c r="E4158" s="46"/>
      <c r="F4158" s="47"/>
      <c r="G4158" s="46"/>
      <c r="H4158" s="48"/>
      <c r="I4158" s="49"/>
    </row>
    <row r="4159" ht="22.5" customHeight="1">
      <c r="A4159" s="42"/>
      <c r="B4159" s="47"/>
      <c r="C4159" s="46"/>
      <c r="D4159" s="47"/>
      <c r="E4159" s="46"/>
      <c r="F4159" s="47"/>
      <c r="G4159" s="46"/>
      <c r="H4159" s="50"/>
      <c r="I4159" s="51"/>
    </row>
    <row r="4160" ht="22.5" customHeight="1">
      <c r="A4160" s="42"/>
      <c r="B4160" s="47"/>
      <c r="C4160" s="46"/>
      <c r="D4160" s="47"/>
      <c r="E4160" s="46"/>
      <c r="F4160" s="47"/>
      <c r="G4160" s="46"/>
      <c r="H4160" s="48"/>
      <c r="I4160" s="49"/>
    </row>
    <row r="4161" ht="22.5" customHeight="1">
      <c r="A4161" s="42"/>
      <c r="B4161" s="47"/>
      <c r="C4161" s="46"/>
      <c r="D4161" s="47"/>
      <c r="E4161" s="46"/>
      <c r="F4161" s="47"/>
      <c r="G4161" s="46"/>
      <c r="H4161" s="50"/>
      <c r="I4161" s="51"/>
    </row>
    <row r="4162" ht="22.5" customHeight="1">
      <c r="A4162" s="42"/>
      <c r="B4162" s="47"/>
      <c r="C4162" s="46"/>
      <c r="D4162" s="47"/>
      <c r="E4162" s="46"/>
      <c r="F4162" s="47"/>
      <c r="G4162" s="46"/>
      <c r="H4162" s="48"/>
      <c r="I4162" s="49"/>
    </row>
    <row r="4163" ht="22.5" customHeight="1">
      <c r="A4163" s="42"/>
      <c r="B4163" s="47"/>
      <c r="C4163" s="46"/>
      <c r="D4163" s="47"/>
      <c r="E4163" s="46"/>
      <c r="F4163" s="47"/>
      <c r="G4163" s="46"/>
      <c r="H4163" s="50"/>
      <c r="I4163" s="51"/>
    </row>
    <row r="4164" ht="22.5" customHeight="1">
      <c r="A4164" s="42"/>
      <c r="B4164" s="47"/>
      <c r="C4164" s="46"/>
      <c r="D4164" s="47"/>
      <c r="E4164" s="46"/>
      <c r="F4164" s="47"/>
      <c r="G4164" s="46"/>
      <c r="H4164" s="48"/>
      <c r="I4164" s="49"/>
    </row>
    <row r="4165" ht="22.5" customHeight="1">
      <c r="A4165" s="42"/>
      <c r="B4165" s="47"/>
      <c r="C4165" s="46"/>
      <c r="D4165" s="47"/>
      <c r="E4165" s="46"/>
      <c r="F4165" s="47"/>
      <c r="G4165" s="46"/>
      <c r="H4165" s="50"/>
      <c r="I4165" s="51"/>
    </row>
    <row r="4166" ht="22.5" customHeight="1">
      <c r="A4166" s="42"/>
      <c r="B4166" s="47"/>
      <c r="C4166" s="46"/>
      <c r="D4166" s="47"/>
      <c r="E4166" s="46"/>
      <c r="F4166" s="47"/>
      <c r="G4166" s="46"/>
      <c r="H4166" s="48"/>
      <c r="I4166" s="49"/>
    </row>
    <row r="4167" ht="22.5" customHeight="1">
      <c r="A4167" s="42"/>
      <c r="B4167" s="47"/>
      <c r="C4167" s="46"/>
      <c r="D4167" s="47"/>
      <c r="E4167" s="46"/>
      <c r="F4167" s="47"/>
      <c r="G4167" s="46"/>
      <c r="H4167" s="50"/>
      <c r="I4167" s="51"/>
    </row>
    <row r="4168" ht="22.5" customHeight="1">
      <c r="A4168" s="42"/>
      <c r="B4168" s="47"/>
      <c r="C4168" s="46"/>
      <c r="D4168" s="47"/>
      <c r="E4168" s="46"/>
      <c r="F4168" s="47"/>
      <c r="G4168" s="46"/>
      <c r="H4168" s="48"/>
      <c r="I4168" s="49"/>
    </row>
    <row r="4169" ht="22.5" customHeight="1">
      <c r="A4169" s="42"/>
      <c r="B4169" s="47"/>
      <c r="C4169" s="46"/>
      <c r="D4169" s="47"/>
      <c r="E4169" s="46"/>
      <c r="F4169" s="47"/>
      <c r="G4169" s="46"/>
      <c r="H4169" s="50"/>
      <c r="I4169" s="51"/>
    </row>
    <row r="4170" ht="22.5" customHeight="1">
      <c r="A4170" s="42"/>
      <c r="B4170" s="47"/>
      <c r="C4170" s="46"/>
      <c r="D4170" s="47"/>
      <c r="E4170" s="46"/>
      <c r="F4170" s="47"/>
      <c r="G4170" s="46"/>
      <c r="H4170" s="48"/>
      <c r="I4170" s="49"/>
    </row>
    <row r="4171" ht="22.5" customHeight="1">
      <c r="A4171" s="42"/>
      <c r="B4171" s="47"/>
      <c r="C4171" s="46"/>
      <c r="D4171" s="47"/>
      <c r="E4171" s="46"/>
      <c r="F4171" s="47"/>
      <c r="G4171" s="46"/>
      <c r="H4171" s="50"/>
      <c r="I4171" s="51"/>
    </row>
    <row r="4172" ht="22.5" customHeight="1">
      <c r="A4172" s="42"/>
      <c r="B4172" s="47"/>
      <c r="C4172" s="46"/>
      <c r="D4172" s="47"/>
      <c r="E4172" s="46"/>
      <c r="F4172" s="47"/>
      <c r="G4172" s="46"/>
      <c r="H4172" s="48"/>
      <c r="I4172" s="49"/>
    </row>
    <row r="4173" ht="22.5" customHeight="1">
      <c r="A4173" s="42"/>
      <c r="B4173" s="47"/>
      <c r="C4173" s="46"/>
      <c r="D4173" s="47"/>
      <c r="E4173" s="46"/>
      <c r="F4173" s="47"/>
      <c r="G4173" s="46"/>
      <c r="H4173" s="50"/>
      <c r="I4173" s="51"/>
    </row>
    <row r="4174" ht="22.5" customHeight="1">
      <c r="A4174" s="42"/>
      <c r="B4174" s="47"/>
      <c r="C4174" s="46"/>
      <c r="D4174" s="47"/>
      <c r="E4174" s="46"/>
      <c r="F4174" s="47"/>
      <c r="G4174" s="46"/>
      <c r="H4174" s="48"/>
      <c r="I4174" s="49"/>
    </row>
    <row r="4175" ht="22.5" customHeight="1">
      <c r="A4175" s="42"/>
      <c r="B4175" s="47"/>
      <c r="C4175" s="46"/>
      <c r="D4175" s="47"/>
      <c r="E4175" s="46"/>
      <c r="F4175" s="47"/>
      <c r="G4175" s="46"/>
      <c r="H4175" s="50"/>
      <c r="I4175" s="51"/>
    </row>
    <row r="4176" ht="22.5" customHeight="1">
      <c r="A4176" s="42"/>
      <c r="B4176" s="47"/>
      <c r="C4176" s="46"/>
      <c r="D4176" s="47"/>
      <c r="E4176" s="46"/>
      <c r="F4176" s="47"/>
      <c r="G4176" s="46"/>
      <c r="H4176" s="48"/>
      <c r="I4176" s="49"/>
    </row>
    <row r="4177" ht="22.5" customHeight="1">
      <c r="A4177" s="42"/>
      <c r="B4177" s="47"/>
      <c r="C4177" s="46"/>
      <c r="D4177" s="47"/>
      <c r="E4177" s="46"/>
      <c r="F4177" s="47"/>
      <c r="G4177" s="46"/>
      <c r="H4177" s="50"/>
      <c r="I4177" s="51"/>
    </row>
    <row r="4178" ht="22.5" customHeight="1">
      <c r="A4178" s="42"/>
      <c r="B4178" s="47"/>
      <c r="C4178" s="46"/>
      <c r="D4178" s="47"/>
      <c r="E4178" s="46"/>
      <c r="F4178" s="47"/>
      <c r="G4178" s="46"/>
      <c r="H4178" s="48"/>
      <c r="I4178" s="49"/>
    </row>
    <row r="4179" ht="22.5" customHeight="1">
      <c r="A4179" s="42"/>
      <c r="B4179" s="47"/>
      <c r="C4179" s="46"/>
      <c r="D4179" s="47"/>
      <c r="E4179" s="46"/>
      <c r="F4179" s="47"/>
      <c r="G4179" s="46"/>
      <c r="H4179" s="50"/>
      <c r="I4179" s="51"/>
    </row>
    <row r="4180" ht="22.5" customHeight="1">
      <c r="A4180" s="42"/>
      <c r="B4180" s="47"/>
      <c r="C4180" s="46"/>
      <c r="D4180" s="47"/>
      <c r="E4180" s="46"/>
      <c r="F4180" s="47"/>
      <c r="G4180" s="46"/>
      <c r="H4180" s="48"/>
      <c r="I4180" s="49"/>
    </row>
    <row r="4181" ht="22.5" customHeight="1">
      <c r="A4181" s="42"/>
      <c r="B4181" s="47"/>
      <c r="C4181" s="46"/>
      <c r="D4181" s="47"/>
      <c r="E4181" s="46"/>
      <c r="F4181" s="47"/>
      <c r="G4181" s="46"/>
      <c r="H4181" s="50"/>
      <c r="I4181" s="51"/>
    </row>
    <row r="4182" ht="22.5" customHeight="1">
      <c r="A4182" s="42"/>
      <c r="B4182" s="47"/>
      <c r="C4182" s="46"/>
      <c r="D4182" s="47"/>
      <c r="E4182" s="46"/>
      <c r="F4182" s="47"/>
      <c r="G4182" s="46"/>
      <c r="H4182" s="48"/>
      <c r="I4182" s="49"/>
    </row>
    <row r="4183" ht="22.5" customHeight="1">
      <c r="A4183" s="42"/>
      <c r="B4183" s="47"/>
      <c r="C4183" s="46"/>
      <c r="D4183" s="47"/>
      <c r="E4183" s="46"/>
      <c r="F4183" s="47"/>
      <c r="G4183" s="46"/>
      <c r="H4183" s="50"/>
      <c r="I4183" s="51"/>
    </row>
    <row r="4184" ht="22.5" customHeight="1">
      <c r="A4184" s="42"/>
      <c r="B4184" s="47"/>
      <c r="C4184" s="46"/>
      <c r="D4184" s="47"/>
      <c r="E4184" s="46"/>
      <c r="F4184" s="47"/>
      <c r="G4184" s="46"/>
      <c r="H4184" s="48"/>
      <c r="I4184" s="49"/>
    </row>
    <row r="4185" ht="22.5" customHeight="1">
      <c r="A4185" s="42"/>
      <c r="B4185" s="47"/>
      <c r="C4185" s="46"/>
      <c r="D4185" s="47"/>
      <c r="E4185" s="46"/>
      <c r="F4185" s="47"/>
      <c r="G4185" s="46"/>
      <c r="H4185" s="50"/>
      <c r="I4185" s="51"/>
    </row>
    <row r="4186" ht="22.5" customHeight="1">
      <c r="A4186" s="42"/>
      <c r="B4186" s="47"/>
      <c r="C4186" s="46"/>
      <c r="D4186" s="47"/>
      <c r="E4186" s="46"/>
      <c r="F4186" s="47"/>
      <c r="G4186" s="46"/>
      <c r="H4186" s="48"/>
      <c r="I4186" s="49"/>
    </row>
    <row r="4187" ht="22.5" customHeight="1">
      <c r="A4187" s="42"/>
      <c r="B4187" s="47"/>
      <c r="C4187" s="46"/>
      <c r="D4187" s="47"/>
      <c r="E4187" s="46"/>
      <c r="F4187" s="47"/>
      <c r="G4187" s="46"/>
      <c r="H4187" s="50"/>
      <c r="I4187" s="51"/>
    </row>
    <row r="4188" ht="22.5" customHeight="1">
      <c r="A4188" s="42"/>
      <c r="B4188" s="47"/>
      <c r="C4188" s="46"/>
      <c r="D4188" s="47"/>
      <c r="E4188" s="46"/>
      <c r="F4188" s="47"/>
      <c r="G4188" s="46"/>
      <c r="H4188" s="48"/>
      <c r="I4188" s="49"/>
    </row>
    <row r="4189" ht="22.5" customHeight="1">
      <c r="A4189" s="42"/>
      <c r="B4189" s="47"/>
      <c r="C4189" s="46"/>
      <c r="D4189" s="47"/>
      <c r="E4189" s="46"/>
      <c r="F4189" s="47"/>
      <c r="G4189" s="46"/>
      <c r="H4189" s="50"/>
      <c r="I4189" s="51"/>
    </row>
    <row r="4190" ht="22.5" customHeight="1">
      <c r="A4190" s="42"/>
      <c r="B4190" s="47"/>
      <c r="C4190" s="46"/>
      <c r="D4190" s="47"/>
      <c r="E4190" s="46"/>
      <c r="F4190" s="47"/>
      <c r="G4190" s="46"/>
      <c r="H4190" s="48"/>
      <c r="I4190" s="49"/>
    </row>
    <row r="4191" ht="22.5" customHeight="1">
      <c r="A4191" s="42"/>
      <c r="B4191" s="47"/>
      <c r="C4191" s="46"/>
      <c r="D4191" s="47"/>
      <c r="E4191" s="46"/>
      <c r="F4191" s="47"/>
      <c r="G4191" s="46"/>
      <c r="H4191" s="50"/>
      <c r="I4191" s="51"/>
    </row>
    <row r="4192" ht="22.5" customHeight="1">
      <c r="A4192" s="42"/>
      <c r="B4192" s="47"/>
      <c r="C4192" s="46"/>
      <c r="D4192" s="47"/>
      <c r="E4192" s="46"/>
      <c r="F4192" s="47"/>
      <c r="G4192" s="46"/>
      <c r="H4192" s="48"/>
      <c r="I4192" s="49"/>
    </row>
    <row r="4193" ht="22.5" customHeight="1">
      <c r="A4193" s="42"/>
      <c r="B4193" s="47"/>
      <c r="C4193" s="46"/>
      <c r="D4193" s="47"/>
      <c r="E4193" s="46"/>
      <c r="F4193" s="47"/>
      <c r="G4193" s="46"/>
      <c r="H4193" s="50"/>
      <c r="I4193" s="51"/>
    </row>
    <row r="4194" ht="22.5" customHeight="1">
      <c r="A4194" s="42"/>
      <c r="B4194" s="47"/>
      <c r="C4194" s="46"/>
      <c r="D4194" s="47"/>
      <c r="E4194" s="46"/>
      <c r="F4194" s="47"/>
      <c r="G4194" s="46"/>
      <c r="H4194" s="48"/>
      <c r="I4194" s="49"/>
    </row>
    <row r="4195" ht="22.5" customHeight="1">
      <c r="A4195" s="42"/>
      <c r="B4195" s="47"/>
      <c r="C4195" s="46"/>
      <c r="D4195" s="47"/>
      <c r="E4195" s="46"/>
      <c r="F4195" s="47"/>
      <c r="G4195" s="46"/>
      <c r="H4195" s="50"/>
      <c r="I4195" s="51"/>
    </row>
    <row r="4196" ht="22.5" customHeight="1">
      <c r="A4196" s="42"/>
      <c r="B4196" s="47"/>
      <c r="C4196" s="46"/>
      <c r="D4196" s="47"/>
      <c r="E4196" s="46"/>
      <c r="F4196" s="47"/>
      <c r="G4196" s="46"/>
      <c r="H4196" s="48"/>
      <c r="I4196" s="49"/>
    </row>
    <row r="4197" ht="22.5" customHeight="1">
      <c r="A4197" s="42"/>
      <c r="B4197" s="47"/>
      <c r="C4197" s="46"/>
      <c r="D4197" s="47"/>
      <c r="E4197" s="46"/>
      <c r="F4197" s="47"/>
      <c r="G4197" s="46"/>
      <c r="H4197" s="50"/>
      <c r="I4197" s="51"/>
    </row>
    <row r="4198" ht="22.5" customHeight="1">
      <c r="A4198" s="42"/>
      <c r="B4198" s="47"/>
      <c r="C4198" s="46"/>
      <c r="D4198" s="47"/>
      <c r="E4198" s="46"/>
      <c r="F4198" s="47"/>
      <c r="G4198" s="46"/>
      <c r="H4198" s="48"/>
      <c r="I4198" s="49"/>
    </row>
    <row r="4199" ht="22.5" customHeight="1">
      <c r="A4199" s="42"/>
      <c r="B4199" s="47"/>
      <c r="C4199" s="46"/>
      <c r="D4199" s="47"/>
      <c r="E4199" s="46"/>
      <c r="F4199" s="47"/>
      <c r="G4199" s="46"/>
      <c r="H4199" s="50"/>
      <c r="I4199" s="51"/>
    </row>
    <row r="4200" ht="22.5" customHeight="1">
      <c r="A4200" s="42"/>
      <c r="B4200" s="47"/>
      <c r="C4200" s="46"/>
      <c r="D4200" s="47"/>
      <c r="E4200" s="46"/>
      <c r="F4200" s="47"/>
      <c r="G4200" s="46"/>
      <c r="H4200" s="48"/>
      <c r="I4200" s="49"/>
    </row>
    <row r="4201" ht="22.5" customHeight="1">
      <c r="A4201" s="42"/>
      <c r="B4201" s="47"/>
      <c r="C4201" s="46"/>
      <c r="D4201" s="47"/>
      <c r="E4201" s="46"/>
      <c r="F4201" s="47"/>
      <c r="G4201" s="46"/>
      <c r="H4201" s="50"/>
      <c r="I4201" s="51"/>
    </row>
    <row r="4202" ht="22.5" customHeight="1">
      <c r="A4202" s="42"/>
      <c r="B4202" s="47"/>
      <c r="C4202" s="46"/>
      <c r="D4202" s="47"/>
      <c r="E4202" s="46"/>
      <c r="F4202" s="47"/>
      <c r="G4202" s="46"/>
      <c r="H4202" s="48"/>
      <c r="I4202" s="49"/>
    </row>
    <row r="4203" ht="22.5" customHeight="1">
      <c r="A4203" s="42"/>
      <c r="B4203" s="47"/>
      <c r="C4203" s="46"/>
      <c r="D4203" s="47"/>
      <c r="E4203" s="46"/>
      <c r="F4203" s="47"/>
      <c r="G4203" s="46"/>
      <c r="H4203" s="50"/>
      <c r="I4203" s="51"/>
    </row>
    <row r="4204" ht="22.5" customHeight="1">
      <c r="A4204" s="42"/>
      <c r="B4204" s="47"/>
      <c r="C4204" s="46"/>
      <c r="D4204" s="47"/>
      <c r="E4204" s="46"/>
      <c r="F4204" s="47"/>
      <c r="G4204" s="46"/>
      <c r="H4204" s="48"/>
      <c r="I4204" s="49"/>
    </row>
    <row r="4205" ht="22.5" customHeight="1">
      <c r="A4205" s="42"/>
      <c r="B4205" s="47"/>
      <c r="C4205" s="46"/>
      <c r="D4205" s="47"/>
      <c r="E4205" s="46"/>
      <c r="F4205" s="47"/>
      <c r="G4205" s="46"/>
      <c r="H4205" s="50"/>
      <c r="I4205" s="51"/>
    </row>
    <row r="4206" ht="22.5" customHeight="1">
      <c r="A4206" s="42"/>
      <c r="B4206" s="47"/>
      <c r="C4206" s="46"/>
      <c r="D4206" s="47"/>
      <c r="E4206" s="46"/>
      <c r="F4206" s="47"/>
      <c r="G4206" s="46"/>
      <c r="H4206" s="48"/>
      <c r="I4206" s="49"/>
    </row>
    <row r="4207" ht="22.5" customHeight="1">
      <c r="A4207" s="42"/>
      <c r="B4207" s="47"/>
      <c r="C4207" s="46"/>
      <c r="D4207" s="47"/>
      <c r="E4207" s="46"/>
      <c r="F4207" s="47"/>
      <c r="G4207" s="46"/>
      <c r="H4207" s="50"/>
      <c r="I4207" s="51"/>
    </row>
    <row r="4208" ht="22.5" customHeight="1">
      <c r="A4208" s="42"/>
      <c r="B4208" s="47"/>
      <c r="C4208" s="46"/>
      <c r="D4208" s="47"/>
      <c r="E4208" s="46"/>
      <c r="F4208" s="47"/>
      <c r="G4208" s="46"/>
      <c r="H4208" s="48"/>
      <c r="I4208" s="49"/>
    </row>
    <row r="4209" ht="22.5" customHeight="1">
      <c r="A4209" s="42"/>
      <c r="B4209" s="47"/>
      <c r="C4209" s="46"/>
      <c r="D4209" s="47"/>
      <c r="E4209" s="46"/>
      <c r="F4209" s="47"/>
      <c r="G4209" s="46"/>
      <c r="H4209" s="50"/>
      <c r="I4209" s="51"/>
    </row>
    <row r="4210" ht="22.5" customHeight="1">
      <c r="A4210" s="42"/>
      <c r="B4210" s="47"/>
      <c r="C4210" s="46"/>
      <c r="D4210" s="47"/>
      <c r="E4210" s="46"/>
      <c r="F4210" s="47"/>
      <c r="G4210" s="46"/>
      <c r="H4210" s="48"/>
      <c r="I4210" s="49"/>
    </row>
    <row r="4211" ht="22.5" customHeight="1">
      <c r="A4211" s="42"/>
      <c r="B4211" s="47"/>
      <c r="C4211" s="46"/>
      <c r="D4211" s="47"/>
      <c r="E4211" s="46"/>
      <c r="F4211" s="47"/>
      <c r="G4211" s="46"/>
      <c r="H4211" s="50"/>
      <c r="I4211" s="51"/>
    </row>
    <row r="4212" ht="22.5" customHeight="1">
      <c r="A4212" s="42"/>
      <c r="B4212" s="47"/>
      <c r="C4212" s="46"/>
      <c r="D4212" s="47"/>
      <c r="E4212" s="46"/>
      <c r="F4212" s="47"/>
      <c r="G4212" s="46"/>
      <c r="H4212" s="48"/>
      <c r="I4212" s="49"/>
    </row>
    <row r="4213" ht="22.5" customHeight="1">
      <c r="A4213" s="42"/>
      <c r="B4213" s="47"/>
      <c r="C4213" s="46"/>
      <c r="D4213" s="47"/>
      <c r="E4213" s="46"/>
      <c r="F4213" s="47"/>
      <c r="G4213" s="46"/>
      <c r="H4213" s="50"/>
      <c r="I4213" s="51"/>
    </row>
    <row r="4214" ht="22.5" customHeight="1">
      <c r="A4214" s="42"/>
      <c r="B4214" s="47"/>
      <c r="C4214" s="46"/>
      <c r="D4214" s="47"/>
      <c r="E4214" s="46"/>
      <c r="F4214" s="47"/>
      <c r="G4214" s="46"/>
      <c r="H4214" s="48"/>
      <c r="I4214" s="49"/>
    </row>
    <row r="4215" ht="22.5" customHeight="1">
      <c r="A4215" s="42"/>
      <c r="B4215" s="47"/>
      <c r="C4215" s="46"/>
      <c r="D4215" s="47"/>
      <c r="E4215" s="46"/>
      <c r="F4215" s="47"/>
      <c r="G4215" s="46"/>
      <c r="H4215" s="50"/>
      <c r="I4215" s="51"/>
    </row>
    <row r="4216" ht="22.5" customHeight="1">
      <c r="A4216" s="42"/>
      <c r="B4216" s="47"/>
      <c r="C4216" s="46"/>
      <c r="D4216" s="47"/>
      <c r="E4216" s="46"/>
      <c r="F4216" s="47"/>
      <c r="G4216" s="46"/>
      <c r="H4216" s="48"/>
      <c r="I4216" s="49"/>
    </row>
    <row r="4217" ht="22.5" customHeight="1">
      <c r="A4217" s="42"/>
      <c r="B4217" s="47"/>
      <c r="C4217" s="46"/>
      <c r="D4217" s="47"/>
      <c r="E4217" s="46"/>
      <c r="F4217" s="47"/>
      <c r="G4217" s="46"/>
      <c r="H4217" s="50"/>
      <c r="I4217" s="51"/>
    </row>
    <row r="4218" ht="22.5" customHeight="1">
      <c r="A4218" s="42"/>
      <c r="B4218" s="47"/>
      <c r="C4218" s="46"/>
      <c r="D4218" s="47"/>
      <c r="E4218" s="46"/>
      <c r="F4218" s="47"/>
      <c r="G4218" s="46"/>
      <c r="H4218" s="48"/>
      <c r="I4218" s="49"/>
    </row>
    <row r="4219" ht="22.5" customHeight="1">
      <c r="A4219" s="42"/>
      <c r="B4219" s="47"/>
      <c r="C4219" s="46"/>
      <c r="D4219" s="47"/>
      <c r="E4219" s="46"/>
      <c r="F4219" s="47"/>
      <c r="G4219" s="46"/>
      <c r="H4219" s="50"/>
      <c r="I4219" s="51"/>
    </row>
    <row r="4220" ht="22.5" customHeight="1">
      <c r="A4220" s="42"/>
      <c r="B4220" s="47"/>
      <c r="C4220" s="46"/>
      <c r="D4220" s="47"/>
      <c r="E4220" s="46"/>
      <c r="F4220" s="47"/>
      <c r="G4220" s="46"/>
      <c r="H4220" s="48"/>
      <c r="I4220" s="49"/>
    </row>
    <row r="4221" ht="22.5" customHeight="1">
      <c r="A4221" s="42"/>
      <c r="B4221" s="47"/>
      <c r="C4221" s="46"/>
      <c r="D4221" s="47"/>
      <c r="E4221" s="46"/>
      <c r="F4221" s="47"/>
      <c r="G4221" s="46"/>
      <c r="H4221" s="50"/>
      <c r="I4221" s="51"/>
    </row>
    <row r="4222" ht="22.5" customHeight="1">
      <c r="A4222" s="42"/>
      <c r="B4222" s="47"/>
      <c r="C4222" s="46"/>
      <c r="D4222" s="47"/>
      <c r="E4222" s="46"/>
      <c r="F4222" s="47"/>
      <c r="G4222" s="46"/>
      <c r="H4222" s="48"/>
      <c r="I4222" s="49"/>
    </row>
    <row r="4223" ht="22.5" customHeight="1">
      <c r="A4223" s="42"/>
      <c r="B4223" s="47"/>
      <c r="C4223" s="46"/>
      <c r="D4223" s="47"/>
      <c r="E4223" s="46"/>
      <c r="F4223" s="47"/>
      <c r="G4223" s="46"/>
      <c r="H4223" s="50"/>
      <c r="I4223" s="51"/>
    </row>
    <row r="4224" ht="22.5" customHeight="1">
      <c r="A4224" s="42"/>
      <c r="B4224" s="47"/>
      <c r="C4224" s="46"/>
      <c r="D4224" s="47"/>
      <c r="E4224" s="46"/>
      <c r="F4224" s="47"/>
      <c r="G4224" s="46"/>
      <c r="H4224" s="48"/>
      <c r="I4224" s="49"/>
    </row>
    <row r="4225" ht="22.5" customHeight="1">
      <c r="A4225" s="42"/>
      <c r="B4225" s="47"/>
      <c r="C4225" s="46"/>
      <c r="D4225" s="47"/>
      <c r="E4225" s="46"/>
      <c r="F4225" s="47"/>
      <c r="G4225" s="46"/>
      <c r="H4225" s="50"/>
      <c r="I4225" s="51"/>
    </row>
    <row r="4226" ht="22.5" customHeight="1">
      <c r="A4226" s="42"/>
      <c r="B4226" s="47"/>
      <c r="C4226" s="46"/>
      <c r="D4226" s="47"/>
      <c r="E4226" s="46"/>
      <c r="F4226" s="47"/>
      <c r="G4226" s="46"/>
      <c r="H4226" s="48"/>
      <c r="I4226" s="49"/>
    </row>
    <row r="4227" ht="22.5" customHeight="1">
      <c r="A4227" s="42"/>
      <c r="B4227" s="47"/>
      <c r="C4227" s="46"/>
      <c r="D4227" s="47"/>
      <c r="E4227" s="46"/>
      <c r="F4227" s="47"/>
      <c r="G4227" s="46"/>
      <c r="H4227" s="50"/>
      <c r="I4227" s="51"/>
    </row>
    <row r="4228" ht="22.5" customHeight="1">
      <c r="A4228" s="42"/>
      <c r="B4228" s="47"/>
      <c r="C4228" s="46"/>
      <c r="D4228" s="47"/>
      <c r="E4228" s="46"/>
      <c r="F4228" s="47"/>
      <c r="G4228" s="46"/>
      <c r="H4228" s="48"/>
      <c r="I4228" s="49"/>
    </row>
    <row r="4229" ht="22.5" customHeight="1">
      <c r="A4229" s="42"/>
      <c r="B4229" s="47"/>
      <c r="C4229" s="46"/>
      <c r="D4229" s="47"/>
      <c r="E4229" s="46"/>
      <c r="F4229" s="47"/>
      <c r="G4229" s="46"/>
      <c r="H4229" s="50"/>
      <c r="I4229" s="51"/>
    </row>
    <row r="4230" ht="22.5" customHeight="1">
      <c r="A4230" s="42"/>
      <c r="B4230" s="47"/>
      <c r="C4230" s="46"/>
      <c r="D4230" s="47"/>
      <c r="E4230" s="46"/>
      <c r="F4230" s="47"/>
      <c r="G4230" s="46"/>
      <c r="H4230" s="48"/>
      <c r="I4230" s="49"/>
    </row>
    <row r="4231" ht="22.5" customHeight="1">
      <c r="A4231" s="42"/>
      <c r="B4231" s="47"/>
      <c r="C4231" s="46"/>
      <c r="D4231" s="47"/>
      <c r="E4231" s="46"/>
      <c r="F4231" s="47"/>
      <c r="G4231" s="46"/>
      <c r="H4231" s="50"/>
      <c r="I4231" s="51"/>
    </row>
    <row r="4232" ht="22.5" customHeight="1">
      <c r="A4232" s="42"/>
      <c r="B4232" s="47"/>
      <c r="C4232" s="46"/>
      <c r="D4232" s="47"/>
      <c r="E4232" s="46"/>
      <c r="F4232" s="47"/>
      <c r="G4232" s="46"/>
      <c r="H4232" s="48"/>
      <c r="I4232" s="49"/>
    </row>
    <row r="4233" ht="22.5" customHeight="1">
      <c r="A4233" s="42"/>
      <c r="B4233" s="47"/>
      <c r="C4233" s="46"/>
      <c r="D4233" s="47"/>
      <c r="E4233" s="46"/>
      <c r="F4233" s="47"/>
      <c r="G4233" s="46"/>
      <c r="H4233" s="50"/>
      <c r="I4233" s="51"/>
    </row>
    <row r="4234" ht="22.5" customHeight="1">
      <c r="A4234" s="42"/>
      <c r="B4234" s="47"/>
      <c r="C4234" s="46"/>
      <c r="D4234" s="47"/>
      <c r="E4234" s="46"/>
      <c r="F4234" s="47"/>
      <c r="G4234" s="46"/>
      <c r="H4234" s="48"/>
      <c r="I4234" s="49"/>
    </row>
    <row r="4235" ht="22.5" customHeight="1">
      <c r="A4235" s="42"/>
      <c r="B4235" s="47"/>
      <c r="C4235" s="46"/>
      <c r="D4235" s="47"/>
      <c r="E4235" s="46"/>
      <c r="F4235" s="47"/>
      <c r="G4235" s="46"/>
      <c r="H4235" s="50"/>
      <c r="I4235" s="51"/>
    </row>
    <row r="4236" ht="22.5" customHeight="1">
      <c r="A4236" s="42"/>
      <c r="B4236" s="47"/>
      <c r="C4236" s="46"/>
      <c r="D4236" s="47"/>
      <c r="E4236" s="46"/>
      <c r="F4236" s="47"/>
      <c r="G4236" s="46"/>
      <c r="H4236" s="48"/>
      <c r="I4236" s="49"/>
    </row>
    <row r="4237" ht="22.5" customHeight="1">
      <c r="A4237" s="42"/>
      <c r="B4237" s="47"/>
      <c r="C4237" s="46"/>
      <c r="D4237" s="47"/>
      <c r="E4237" s="46"/>
      <c r="F4237" s="47"/>
      <c r="G4237" s="46"/>
      <c r="H4237" s="50"/>
      <c r="I4237" s="51"/>
    </row>
    <row r="4238" ht="22.5" customHeight="1">
      <c r="A4238" s="42"/>
      <c r="B4238" s="47"/>
      <c r="C4238" s="46"/>
      <c r="D4238" s="47"/>
      <c r="E4238" s="46"/>
      <c r="F4238" s="47"/>
      <c r="G4238" s="46"/>
      <c r="H4238" s="48"/>
      <c r="I4238" s="49"/>
    </row>
    <row r="4239" ht="22.5" customHeight="1">
      <c r="A4239" s="42"/>
      <c r="B4239" s="47"/>
      <c r="C4239" s="46"/>
      <c r="D4239" s="47"/>
      <c r="E4239" s="46"/>
      <c r="F4239" s="47"/>
      <c r="G4239" s="46"/>
      <c r="H4239" s="50"/>
      <c r="I4239" s="51"/>
    </row>
    <row r="4240" ht="22.5" customHeight="1">
      <c r="A4240" s="42"/>
      <c r="B4240" s="47"/>
      <c r="C4240" s="46"/>
      <c r="D4240" s="47"/>
      <c r="E4240" s="46"/>
      <c r="F4240" s="47"/>
      <c r="G4240" s="46"/>
      <c r="H4240" s="48"/>
      <c r="I4240" s="49"/>
    </row>
    <row r="4241" ht="22.5" customHeight="1">
      <c r="A4241" s="42"/>
      <c r="B4241" s="47"/>
      <c r="C4241" s="46"/>
      <c r="D4241" s="47"/>
      <c r="E4241" s="46"/>
      <c r="F4241" s="47"/>
      <c r="G4241" s="46"/>
      <c r="H4241" s="50"/>
      <c r="I4241" s="51"/>
    </row>
    <row r="4242" ht="22.5" customHeight="1">
      <c r="A4242" s="42"/>
      <c r="B4242" s="47"/>
      <c r="C4242" s="46"/>
      <c r="D4242" s="47"/>
      <c r="E4242" s="46"/>
      <c r="F4242" s="47"/>
      <c r="G4242" s="46"/>
      <c r="H4242" s="48"/>
      <c r="I4242" s="49"/>
    </row>
    <row r="4243" ht="22.5" customHeight="1">
      <c r="A4243" s="42"/>
      <c r="B4243" s="47"/>
      <c r="C4243" s="46"/>
      <c r="D4243" s="47"/>
      <c r="E4243" s="46"/>
      <c r="F4243" s="47"/>
      <c r="G4243" s="46"/>
      <c r="H4243" s="50"/>
      <c r="I4243" s="51"/>
    </row>
    <row r="4244" ht="22.5" customHeight="1">
      <c r="A4244" s="42"/>
      <c r="B4244" s="47"/>
      <c r="C4244" s="46"/>
      <c r="D4244" s="47"/>
      <c r="E4244" s="46"/>
      <c r="F4244" s="47"/>
      <c r="G4244" s="46"/>
      <c r="H4244" s="48"/>
      <c r="I4244" s="49"/>
    </row>
    <row r="4245" ht="22.5" customHeight="1">
      <c r="A4245" s="42"/>
      <c r="B4245" s="47"/>
      <c r="C4245" s="46"/>
      <c r="D4245" s="47"/>
      <c r="E4245" s="46"/>
      <c r="F4245" s="47"/>
      <c r="G4245" s="46"/>
      <c r="H4245" s="50"/>
      <c r="I4245" s="51"/>
    </row>
    <row r="4246" ht="22.5" customHeight="1">
      <c r="A4246" s="42"/>
      <c r="B4246" s="47"/>
      <c r="C4246" s="46"/>
      <c r="D4246" s="47"/>
      <c r="E4246" s="46"/>
      <c r="F4246" s="47"/>
      <c r="G4246" s="46"/>
      <c r="H4246" s="48"/>
      <c r="I4246" s="49"/>
    </row>
    <row r="4247" ht="22.5" customHeight="1">
      <c r="A4247" s="42"/>
      <c r="B4247" s="47"/>
      <c r="C4247" s="46"/>
      <c r="D4247" s="47"/>
      <c r="E4247" s="46"/>
      <c r="F4247" s="47"/>
      <c r="G4247" s="46"/>
      <c r="H4247" s="50"/>
      <c r="I4247" s="51"/>
    </row>
    <row r="4248" ht="22.5" customHeight="1">
      <c r="A4248" s="42"/>
      <c r="B4248" s="47"/>
      <c r="C4248" s="46"/>
      <c r="D4248" s="47"/>
      <c r="E4248" s="46"/>
      <c r="F4248" s="47"/>
      <c r="G4248" s="46"/>
      <c r="H4248" s="48"/>
      <c r="I4248" s="49"/>
    </row>
    <row r="4249" ht="22.5" customHeight="1">
      <c r="A4249" s="42"/>
      <c r="B4249" s="47"/>
      <c r="C4249" s="46"/>
      <c r="D4249" s="47"/>
      <c r="E4249" s="46"/>
      <c r="F4249" s="47"/>
      <c r="G4249" s="46"/>
      <c r="H4249" s="50"/>
      <c r="I4249" s="51"/>
    </row>
    <row r="4250" ht="22.5" customHeight="1">
      <c r="A4250" s="42"/>
      <c r="B4250" s="47"/>
      <c r="C4250" s="46"/>
      <c r="D4250" s="47"/>
      <c r="E4250" s="46"/>
      <c r="F4250" s="47"/>
      <c r="G4250" s="46"/>
      <c r="H4250" s="48"/>
      <c r="I4250" s="49"/>
    </row>
    <row r="4251" ht="22.5" customHeight="1">
      <c r="A4251" s="42"/>
      <c r="B4251" s="47"/>
      <c r="C4251" s="46"/>
      <c r="D4251" s="47"/>
      <c r="E4251" s="46"/>
      <c r="F4251" s="47"/>
      <c r="G4251" s="46"/>
      <c r="H4251" s="50"/>
      <c r="I4251" s="51"/>
    </row>
    <row r="4252" ht="22.5" customHeight="1">
      <c r="A4252" s="42"/>
      <c r="B4252" s="47"/>
      <c r="C4252" s="46"/>
      <c r="D4252" s="47"/>
      <c r="E4252" s="46"/>
      <c r="F4252" s="47"/>
      <c r="G4252" s="46"/>
      <c r="H4252" s="48"/>
      <c r="I4252" s="49"/>
    </row>
    <row r="4253" ht="22.5" customHeight="1">
      <c r="A4253" s="42"/>
      <c r="B4253" s="47"/>
      <c r="C4253" s="46"/>
      <c r="D4253" s="47"/>
      <c r="E4253" s="46"/>
      <c r="F4253" s="47"/>
      <c r="G4253" s="46"/>
      <c r="H4253" s="50"/>
      <c r="I4253" s="51"/>
    </row>
    <row r="4254" ht="22.5" customHeight="1">
      <c r="A4254" s="42"/>
      <c r="B4254" s="47"/>
      <c r="C4254" s="46"/>
      <c r="D4254" s="47"/>
      <c r="E4254" s="46"/>
      <c r="F4254" s="47"/>
      <c r="G4254" s="46"/>
      <c r="H4254" s="48"/>
      <c r="I4254" s="49"/>
    </row>
    <row r="4255" ht="22.5" customHeight="1">
      <c r="A4255" s="42"/>
      <c r="B4255" s="47"/>
      <c r="C4255" s="46"/>
      <c r="D4255" s="47"/>
      <c r="E4255" s="46"/>
      <c r="F4255" s="47"/>
      <c r="G4255" s="46"/>
      <c r="H4255" s="50"/>
      <c r="I4255" s="51"/>
    </row>
    <row r="4256" ht="22.5" customHeight="1">
      <c r="A4256" s="42"/>
      <c r="B4256" s="47"/>
      <c r="C4256" s="46"/>
      <c r="D4256" s="47"/>
      <c r="E4256" s="46"/>
      <c r="F4256" s="47"/>
      <c r="G4256" s="46"/>
      <c r="H4256" s="48"/>
      <c r="I4256" s="49"/>
    </row>
    <row r="4257" ht="22.5" customHeight="1">
      <c r="A4257" s="42"/>
      <c r="B4257" s="47"/>
      <c r="C4257" s="46"/>
      <c r="D4257" s="47"/>
      <c r="E4257" s="46"/>
      <c r="F4257" s="47"/>
      <c r="G4257" s="46"/>
      <c r="H4257" s="50"/>
      <c r="I4257" s="51"/>
    </row>
    <row r="4258" ht="22.5" customHeight="1">
      <c r="A4258" s="42"/>
      <c r="B4258" s="47"/>
      <c r="C4258" s="46"/>
      <c r="D4258" s="47"/>
      <c r="E4258" s="46"/>
      <c r="F4258" s="47"/>
      <c r="G4258" s="46"/>
      <c r="H4258" s="48"/>
      <c r="I4258" s="49"/>
    </row>
    <row r="4259" ht="22.5" customHeight="1">
      <c r="A4259" s="42"/>
      <c r="B4259" s="47"/>
      <c r="C4259" s="46"/>
      <c r="D4259" s="47"/>
      <c r="E4259" s="46"/>
      <c r="F4259" s="47"/>
      <c r="G4259" s="46"/>
      <c r="H4259" s="50"/>
      <c r="I4259" s="51"/>
    </row>
    <row r="4260" ht="22.5" customHeight="1">
      <c r="A4260" s="42"/>
      <c r="B4260" s="47"/>
      <c r="C4260" s="46"/>
      <c r="D4260" s="47"/>
      <c r="E4260" s="46"/>
      <c r="F4260" s="47"/>
      <c r="G4260" s="46"/>
      <c r="H4260" s="48"/>
      <c r="I4260" s="49"/>
    </row>
    <row r="4261" ht="22.5" customHeight="1">
      <c r="A4261" s="42"/>
      <c r="B4261" s="47"/>
      <c r="C4261" s="46"/>
      <c r="D4261" s="47"/>
      <c r="E4261" s="46"/>
      <c r="F4261" s="47"/>
      <c r="G4261" s="46"/>
      <c r="H4261" s="50"/>
      <c r="I4261" s="51"/>
    </row>
    <row r="4262" ht="22.5" customHeight="1">
      <c r="A4262" s="42"/>
      <c r="B4262" s="47"/>
      <c r="C4262" s="46"/>
      <c r="D4262" s="47"/>
      <c r="E4262" s="46"/>
      <c r="F4262" s="47"/>
      <c r="G4262" s="46"/>
      <c r="H4262" s="48"/>
      <c r="I4262" s="49"/>
    </row>
    <row r="4263" ht="22.5" customHeight="1">
      <c r="A4263" s="42"/>
      <c r="B4263" s="47"/>
      <c r="C4263" s="46"/>
      <c r="D4263" s="47"/>
      <c r="E4263" s="46"/>
      <c r="F4263" s="47"/>
      <c r="G4263" s="46"/>
      <c r="H4263" s="50"/>
      <c r="I4263" s="51"/>
    </row>
    <row r="4264" ht="22.5" customHeight="1">
      <c r="A4264" s="42"/>
      <c r="B4264" s="47"/>
      <c r="C4264" s="46"/>
      <c r="D4264" s="47"/>
      <c r="E4264" s="46"/>
      <c r="F4264" s="47"/>
      <c r="G4264" s="46"/>
      <c r="H4264" s="48"/>
      <c r="I4264" s="49"/>
    </row>
    <row r="4265" ht="22.5" customHeight="1">
      <c r="A4265" s="42"/>
      <c r="B4265" s="47"/>
      <c r="C4265" s="46"/>
      <c r="D4265" s="47"/>
      <c r="E4265" s="46"/>
      <c r="F4265" s="47"/>
      <c r="G4265" s="46"/>
      <c r="H4265" s="50"/>
      <c r="I4265" s="51"/>
    </row>
    <row r="4266" ht="22.5" customHeight="1">
      <c r="A4266" s="42"/>
      <c r="B4266" s="47"/>
      <c r="C4266" s="46"/>
      <c r="D4266" s="47"/>
      <c r="E4266" s="46"/>
      <c r="F4266" s="47"/>
      <c r="G4266" s="46"/>
      <c r="H4266" s="48"/>
      <c r="I4266" s="49"/>
    </row>
    <row r="4267" ht="22.5" customHeight="1">
      <c r="A4267" s="42"/>
      <c r="B4267" s="47"/>
      <c r="C4267" s="46"/>
      <c r="D4267" s="47"/>
      <c r="E4267" s="46"/>
      <c r="F4267" s="47"/>
      <c r="G4267" s="46"/>
      <c r="H4267" s="50"/>
      <c r="I4267" s="51"/>
    </row>
    <row r="4268" ht="22.5" customHeight="1">
      <c r="A4268" s="42"/>
      <c r="B4268" s="47"/>
      <c r="C4268" s="46"/>
      <c r="D4268" s="47"/>
      <c r="E4268" s="46"/>
      <c r="F4268" s="47"/>
      <c r="G4268" s="46"/>
      <c r="H4268" s="48"/>
      <c r="I4268" s="49"/>
    </row>
    <row r="4269" ht="22.5" customHeight="1">
      <c r="A4269" s="42"/>
      <c r="B4269" s="47"/>
      <c r="C4269" s="46"/>
      <c r="D4269" s="47"/>
      <c r="E4269" s="46"/>
      <c r="F4269" s="47"/>
      <c r="G4269" s="46"/>
      <c r="H4269" s="50"/>
      <c r="I4269" s="51"/>
    </row>
    <row r="4270" ht="22.5" customHeight="1">
      <c r="A4270" s="42"/>
      <c r="B4270" s="47"/>
      <c r="C4270" s="46"/>
      <c r="D4270" s="47"/>
      <c r="E4270" s="46"/>
      <c r="F4270" s="47"/>
      <c r="G4270" s="46"/>
      <c r="H4270" s="48"/>
      <c r="I4270" s="49"/>
    </row>
    <row r="4271" ht="22.5" customHeight="1">
      <c r="A4271" s="42"/>
      <c r="B4271" s="47"/>
      <c r="C4271" s="46"/>
      <c r="D4271" s="47"/>
      <c r="E4271" s="46"/>
      <c r="F4271" s="47"/>
      <c r="G4271" s="46"/>
      <c r="H4271" s="50"/>
      <c r="I4271" s="51"/>
    </row>
    <row r="4272" ht="22.5" customHeight="1">
      <c r="A4272" s="42"/>
      <c r="B4272" s="47"/>
      <c r="C4272" s="46"/>
      <c r="D4272" s="47"/>
      <c r="E4272" s="46"/>
      <c r="F4272" s="47"/>
      <c r="G4272" s="46"/>
      <c r="H4272" s="48"/>
      <c r="I4272" s="49"/>
    </row>
    <row r="4273" ht="22.5" customHeight="1">
      <c r="A4273" s="42"/>
      <c r="B4273" s="47"/>
      <c r="C4273" s="46"/>
      <c r="D4273" s="47"/>
      <c r="E4273" s="46"/>
      <c r="F4273" s="47"/>
      <c r="G4273" s="46"/>
      <c r="H4273" s="50"/>
      <c r="I4273" s="51"/>
    </row>
    <row r="4274" ht="22.5" customHeight="1">
      <c r="A4274" s="42"/>
      <c r="B4274" s="47"/>
      <c r="C4274" s="46"/>
      <c r="D4274" s="47"/>
      <c r="E4274" s="46"/>
      <c r="F4274" s="47"/>
      <c r="G4274" s="46"/>
      <c r="H4274" s="48"/>
      <c r="I4274" s="49"/>
    </row>
    <row r="4275" ht="22.5" customHeight="1">
      <c r="A4275" s="42"/>
      <c r="B4275" s="47"/>
      <c r="C4275" s="46"/>
      <c r="D4275" s="47"/>
      <c r="E4275" s="46"/>
      <c r="F4275" s="47"/>
      <c r="G4275" s="46"/>
      <c r="H4275" s="50"/>
      <c r="I4275" s="51"/>
    </row>
    <row r="4276" ht="22.5" customHeight="1">
      <c r="A4276" s="42"/>
      <c r="B4276" s="47"/>
      <c r="C4276" s="46"/>
      <c r="D4276" s="47"/>
      <c r="E4276" s="46"/>
      <c r="F4276" s="47"/>
      <c r="G4276" s="46"/>
      <c r="H4276" s="48"/>
      <c r="I4276" s="49"/>
    </row>
    <row r="4277" ht="22.5" customHeight="1">
      <c r="A4277" s="42"/>
      <c r="B4277" s="47"/>
      <c r="C4277" s="46"/>
      <c r="D4277" s="47"/>
      <c r="E4277" s="46"/>
      <c r="F4277" s="47"/>
      <c r="G4277" s="46"/>
      <c r="H4277" s="50"/>
      <c r="I4277" s="51"/>
    </row>
    <row r="4278" ht="22.5" customHeight="1">
      <c r="A4278" s="42"/>
      <c r="B4278" s="47"/>
      <c r="C4278" s="46"/>
      <c r="D4278" s="47"/>
      <c r="E4278" s="46"/>
      <c r="F4278" s="47"/>
      <c r="G4278" s="46"/>
      <c r="H4278" s="48"/>
      <c r="I4278" s="49"/>
    </row>
    <row r="4279" ht="22.5" customHeight="1">
      <c r="A4279" s="42"/>
      <c r="B4279" s="47"/>
      <c r="C4279" s="46"/>
      <c r="D4279" s="47"/>
      <c r="E4279" s="46"/>
      <c r="F4279" s="47"/>
      <c r="G4279" s="46"/>
      <c r="H4279" s="50"/>
      <c r="I4279" s="51"/>
    </row>
    <row r="4280" ht="22.5" customHeight="1">
      <c r="A4280" s="42"/>
      <c r="B4280" s="47"/>
      <c r="C4280" s="46"/>
      <c r="D4280" s="47"/>
      <c r="E4280" s="46"/>
      <c r="F4280" s="47"/>
      <c r="G4280" s="46"/>
      <c r="H4280" s="48"/>
      <c r="I4280" s="49"/>
    </row>
    <row r="4281" ht="22.5" customHeight="1">
      <c r="A4281" s="42"/>
      <c r="B4281" s="47"/>
      <c r="C4281" s="46"/>
      <c r="D4281" s="47"/>
      <c r="E4281" s="46"/>
      <c r="F4281" s="47"/>
      <c r="G4281" s="46"/>
      <c r="H4281" s="50"/>
      <c r="I4281" s="51"/>
    </row>
    <row r="4282" ht="22.5" customHeight="1">
      <c r="A4282" s="42"/>
      <c r="B4282" s="47"/>
      <c r="C4282" s="46"/>
      <c r="D4282" s="47"/>
      <c r="E4282" s="46"/>
      <c r="F4282" s="47"/>
      <c r="G4282" s="46"/>
      <c r="H4282" s="48"/>
      <c r="I4282" s="49"/>
    </row>
    <row r="4283" ht="22.5" customHeight="1">
      <c r="A4283" s="42"/>
      <c r="B4283" s="47"/>
      <c r="C4283" s="46"/>
      <c r="D4283" s="47"/>
      <c r="E4283" s="46"/>
      <c r="F4283" s="47"/>
      <c r="G4283" s="46"/>
      <c r="H4283" s="50"/>
      <c r="I4283" s="51"/>
    </row>
    <row r="4284" ht="22.5" customHeight="1">
      <c r="A4284" s="42"/>
      <c r="B4284" s="47"/>
      <c r="C4284" s="46"/>
      <c r="D4284" s="47"/>
      <c r="E4284" s="46"/>
      <c r="F4284" s="47"/>
      <c r="G4284" s="46"/>
      <c r="H4284" s="48"/>
      <c r="I4284" s="49"/>
    </row>
    <row r="4285" ht="22.5" customHeight="1">
      <c r="A4285" s="42"/>
      <c r="B4285" s="47"/>
      <c r="C4285" s="46"/>
      <c r="D4285" s="47"/>
      <c r="E4285" s="46"/>
      <c r="F4285" s="47"/>
      <c r="G4285" s="46"/>
      <c r="H4285" s="50"/>
      <c r="I4285" s="51"/>
    </row>
    <row r="4286" ht="22.5" customHeight="1">
      <c r="A4286" s="42"/>
      <c r="B4286" s="47"/>
      <c r="C4286" s="46"/>
      <c r="D4286" s="47"/>
      <c r="E4286" s="46"/>
      <c r="F4286" s="47"/>
      <c r="G4286" s="46"/>
      <c r="H4286" s="48"/>
      <c r="I4286" s="49"/>
    </row>
    <row r="4287" ht="22.5" customHeight="1">
      <c r="A4287" s="42"/>
      <c r="B4287" s="47"/>
      <c r="C4287" s="46"/>
      <c r="D4287" s="47"/>
      <c r="E4287" s="46"/>
      <c r="F4287" s="47"/>
      <c r="G4287" s="46"/>
      <c r="H4287" s="50"/>
      <c r="I4287" s="51"/>
    </row>
    <row r="4288" ht="22.5" customHeight="1">
      <c r="A4288" s="42"/>
      <c r="B4288" s="47"/>
      <c r="C4288" s="46"/>
      <c r="D4288" s="47"/>
      <c r="E4288" s="46"/>
      <c r="F4288" s="47"/>
      <c r="G4288" s="46"/>
      <c r="H4288" s="48"/>
      <c r="I4288" s="49"/>
    </row>
    <row r="4289" ht="22.5" customHeight="1">
      <c r="A4289" s="42"/>
      <c r="B4289" s="47"/>
      <c r="C4289" s="46"/>
      <c r="D4289" s="47"/>
      <c r="E4289" s="46"/>
      <c r="F4289" s="47"/>
      <c r="G4289" s="46"/>
      <c r="H4289" s="50"/>
      <c r="I4289" s="51"/>
    </row>
    <row r="4290" ht="22.5" customHeight="1">
      <c r="A4290" s="42"/>
      <c r="B4290" s="47"/>
      <c r="C4290" s="46"/>
      <c r="D4290" s="47"/>
      <c r="E4290" s="46"/>
      <c r="F4290" s="47"/>
      <c r="G4290" s="46"/>
      <c r="H4290" s="48"/>
      <c r="I4290" s="49"/>
    </row>
    <row r="4291" ht="22.5" customHeight="1">
      <c r="A4291" s="42"/>
      <c r="B4291" s="47"/>
      <c r="C4291" s="46"/>
      <c r="D4291" s="47"/>
      <c r="E4291" s="46"/>
      <c r="F4291" s="47"/>
      <c r="G4291" s="46"/>
      <c r="H4291" s="50"/>
      <c r="I4291" s="51"/>
    </row>
    <row r="4292" ht="22.5" customHeight="1">
      <c r="A4292" s="42"/>
      <c r="B4292" s="47"/>
      <c r="C4292" s="46"/>
      <c r="D4292" s="47"/>
      <c r="E4292" s="46"/>
      <c r="F4292" s="47"/>
      <c r="G4292" s="46"/>
      <c r="H4292" s="48"/>
      <c r="I4292" s="49"/>
    </row>
    <row r="4293" ht="22.5" customHeight="1">
      <c r="A4293" s="42"/>
      <c r="B4293" s="47"/>
      <c r="C4293" s="46"/>
      <c r="D4293" s="47"/>
      <c r="E4293" s="46"/>
      <c r="F4293" s="47"/>
      <c r="G4293" s="46"/>
      <c r="H4293" s="50"/>
      <c r="I4293" s="51"/>
    </row>
    <row r="4294" ht="22.5" customHeight="1">
      <c r="A4294" s="42"/>
      <c r="B4294" s="47"/>
      <c r="C4294" s="46"/>
      <c r="D4294" s="47"/>
      <c r="E4294" s="46"/>
      <c r="F4294" s="47"/>
      <c r="G4294" s="46"/>
      <c r="H4294" s="48"/>
      <c r="I4294" s="49"/>
    </row>
    <row r="4295" ht="22.5" customHeight="1">
      <c r="A4295" s="42"/>
      <c r="B4295" s="47"/>
      <c r="C4295" s="46"/>
      <c r="D4295" s="47"/>
      <c r="E4295" s="46"/>
      <c r="F4295" s="47"/>
      <c r="G4295" s="46"/>
      <c r="H4295" s="50"/>
      <c r="I4295" s="51"/>
    </row>
    <row r="4296" ht="22.5" customHeight="1">
      <c r="A4296" s="42"/>
      <c r="B4296" s="47"/>
      <c r="C4296" s="46"/>
      <c r="D4296" s="47"/>
      <c r="E4296" s="46"/>
      <c r="F4296" s="47"/>
      <c r="G4296" s="46"/>
      <c r="H4296" s="48"/>
      <c r="I4296" s="49"/>
    </row>
    <row r="4297" ht="22.5" customHeight="1">
      <c r="A4297" s="42"/>
      <c r="B4297" s="47"/>
      <c r="C4297" s="46"/>
      <c r="D4297" s="47"/>
      <c r="E4297" s="46"/>
      <c r="F4297" s="47"/>
      <c r="G4297" s="46"/>
      <c r="H4297" s="50"/>
      <c r="I4297" s="51"/>
    </row>
    <row r="4298" ht="22.5" customHeight="1">
      <c r="A4298" s="42"/>
      <c r="B4298" s="47"/>
      <c r="C4298" s="46"/>
      <c r="D4298" s="47"/>
      <c r="E4298" s="46"/>
      <c r="F4298" s="47"/>
      <c r="G4298" s="46"/>
      <c r="H4298" s="48"/>
      <c r="I4298" s="49"/>
    </row>
    <row r="4299" ht="22.5" customHeight="1">
      <c r="A4299" s="42"/>
      <c r="B4299" s="47"/>
      <c r="C4299" s="46"/>
      <c r="D4299" s="47"/>
      <c r="E4299" s="46"/>
      <c r="F4299" s="47"/>
      <c r="G4299" s="46"/>
      <c r="H4299" s="50"/>
      <c r="I4299" s="51"/>
    </row>
    <row r="4300" ht="22.5" customHeight="1">
      <c r="A4300" s="42"/>
      <c r="B4300" s="47"/>
      <c r="C4300" s="46"/>
      <c r="D4300" s="47"/>
      <c r="E4300" s="46"/>
      <c r="F4300" s="47"/>
      <c r="G4300" s="46"/>
      <c r="H4300" s="48"/>
      <c r="I4300" s="49"/>
    </row>
    <row r="4301" ht="22.5" customHeight="1">
      <c r="A4301" s="42"/>
      <c r="B4301" s="47"/>
      <c r="C4301" s="46"/>
      <c r="D4301" s="47"/>
      <c r="E4301" s="46"/>
      <c r="F4301" s="47"/>
      <c r="G4301" s="46"/>
      <c r="H4301" s="50"/>
      <c r="I4301" s="51"/>
    </row>
    <row r="4302" ht="22.5" customHeight="1">
      <c r="A4302" s="42"/>
      <c r="B4302" s="47"/>
      <c r="C4302" s="46"/>
      <c r="D4302" s="47"/>
      <c r="E4302" s="46"/>
      <c r="F4302" s="47"/>
      <c r="G4302" s="46"/>
      <c r="H4302" s="48"/>
      <c r="I4302" s="49"/>
    </row>
    <row r="4303" ht="22.5" customHeight="1">
      <c r="A4303" s="42"/>
      <c r="B4303" s="47"/>
      <c r="C4303" s="46"/>
      <c r="D4303" s="47"/>
      <c r="E4303" s="46"/>
      <c r="F4303" s="47"/>
      <c r="G4303" s="46"/>
      <c r="H4303" s="50"/>
      <c r="I4303" s="51"/>
    </row>
    <row r="4304" ht="22.5" customHeight="1">
      <c r="A4304" s="42"/>
      <c r="B4304" s="47"/>
      <c r="C4304" s="46"/>
      <c r="D4304" s="47"/>
      <c r="E4304" s="46"/>
      <c r="F4304" s="47"/>
      <c r="G4304" s="46"/>
      <c r="H4304" s="48"/>
      <c r="I4304" s="49"/>
    </row>
    <row r="4305" ht="22.5" customHeight="1">
      <c r="A4305" s="42"/>
      <c r="B4305" s="47"/>
      <c r="C4305" s="46"/>
      <c r="D4305" s="47"/>
      <c r="E4305" s="46"/>
      <c r="F4305" s="47"/>
      <c r="G4305" s="46"/>
      <c r="H4305" s="50"/>
      <c r="I4305" s="51"/>
    </row>
    <row r="4306" ht="22.5" customHeight="1">
      <c r="A4306" s="42"/>
      <c r="B4306" s="47"/>
      <c r="C4306" s="46"/>
      <c r="D4306" s="47"/>
      <c r="E4306" s="46"/>
      <c r="F4306" s="47"/>
      <c r="G4306" s="46"/>
      <c r="H4306" s="48"/>
      <c r="I4306" s="49"/>
    </row>
    <row r="4307" ht="22.5" customHeight="1">
      <c r="A4307" s="42"/>
      <c r="B4307" s="47"/>
      <c r="C4307" s="46"/>
      <c r="D4307" s="47"/>
      <c r="E4307" s="46"/>
      <c r="F4307" s="47"/>
      <c r="G4307" s="46"/>
      <c r="H4307" s="50"/>
      <c r="I4307" s="51"/>
    </row>
    <row r="4308" ht="22.5" customHeight="1">
      <c r="A4308" s="42"/>
      <c r="B4308" s="47"/>
      <c r="C4308" s="46"/>
      <c r="D4308" s="47"/>
      <c r="E4308" s="46"/>
      <c r="F4308" s="47"/>
      <c r="G4308" s="46"/>
      <c r="H4308" s="48"/>
      <c r="I4308" s="49"/>
    </row>
    <row r="4309" ht="22.5" customHeight="1">
      <c r="A4309" s="42"/>
      <c r="B4309" s="47"/>
      <c r="C4309" s="46"/>
      <c r="D4309" s="47"/>
      <c r="E4309" s="46"/>
      <c r="F4309" s="47"/>
      <c r="G4309" s="46"/>
      <c r="H4309" s="50"/>
      <c r="I4309" s="51"/>
    </row>
    <row r="4310" ht="22.5" customHeight="1">
      <c r="A4310" s="42"/>
      <c r="B4310" s="47"/>
      <c r="C4310" s="46"/>
      <c r="D4310" s="47"/>
      <c r="E4310" s="46"/>
      <c r="F4310" s="47"/>
      <c r="G4310" s="46"/>
      <c r="H4310" s="48"/>
      <c r="I4310" s="49"/>
    </row>
    <row r="4311" ht="22.5" customHeight="1">
      <c r="A4311" s="42"/>
      <c r="B4311" s="47"/>
      <c r="C4311" s="46"/>
      <c r="D4311" s="47"/>
      <c r="E4311" s="46"/>
      <c r="F4311" s="47"/>
      <c r="G4311" s="46"/>
      <c r="H4311" s="50"/>
      <c r="I4311" s="51"/>
    </row>
    <row r="4312" ht="22.5" customHeight="1">
      <c r="A4312" s="42"/>
      <c r="B4312" s="47"/>
      <c r="C4312" s="46"/>
      <c r="D4312" s="47"/>
      <c r="E4312" s="46"/>
      <c r="F4312" s="47"/>
      <c r="G4312" s="46"/>
      <c r="H4312" s="48"/>
      <c r="I4312" s="49"/>
    </row>
    <row r="4313" ht="22.5" customHeight="1">
      <c r="A4313" s="42"/>
      <c r="B4313" s="47"/>
      <c r="C4313" s="46"/>
      <c r="D4313" s="47"/>
      <c r="E4313" s="46"/>
      <c r="F4313" s="47"/>
      <c r="G4313" s="46"/>
      <c r="H4313" s="50"/>
      <c r="I4313" s="51"/>
    </row>
    <row r="4314" ht="22.5" customHeight="1">
      <c r="A4314" s="42"/>
      <c r="B4314" s="47"/>
      <c r="C4314" s="46"/>
      <c r="D4314" s="47"/>
      <c r="E4314" s="46"/>
      <c r="F4314" s="47"/>
      <c r="G4314" s="46"/>
      <c r="H4314" s="48"/>
      <c r="I4314" s="49"/>
    </row>
    <row r="4315" ht="22.5" customHeight="1">
      <c r="A4315" s="42"/>
      <c r="B4315" s="47"/>
      <c r="C4315" s="46"/>
      <c r="D4315" s="47"/>
      <c r="E4315" s="46"/>
      <c r="F4315" s="47"/>
      <c r="G4315" s="46"/>
      <c r="H4315" s="50"/>
      <c r="I4315" s="51"/>
    </row>
    <row r="4316" ht="22.5" customHeight="1">
      <c r="A4316" s="42"/>
      <c r="B4316" s="47"/>
      <c r="C4316" s="46"/>
      <c r="D4316" s="47"/>
      <c r="E4316" s="46"/>
      <c r="F4316" s="47"/>
      <c r="G4316" s="46"/>
      <c r="H4316" s="48"/>
      <c r="I4316" s="49"/>
    </row>
    <row r="4317" ht="22.5" customHeight="1">
      <c r="A4317" s="42"/>
      <c r="B4317" s="47"/>
      <c r="C4317" s="46"/>
      <c r="D4317" s="47"/>
      <c r="E4317" s="46"/>
      <c r="F4317" s="47"/>
      <c r="G4317" s="46"/>
      <c r="H4317" s="50"/>
      <c r="I4317" s="51"/>
    </row>
    <row r="4318" ht="22.5" customHeight="1">
      <c r="A4318" s="42"/>
      <c r="B4318" s="47"/>
      <c r="C4318" s="46"/>
      <c r="D4318" s="47"/>
      <c r="E4318" s="46"/>
      <c r="F4318" s="47"/>
      <c r="G4318" s="46"/>
      <c r="H4318" s="48"/>
      <c r="I4318" s="49"/>
    </row>
    <row r="4319" ht="22.5" customHeight="1">
      <c r="A4319" s="42"/>
      <c r="B4319" s="47"/>
      <c r="C4319" s="46"/>
      <c r="D4319" s="47"/>
      <c r="E4319" s="46"/>
      <c r="F4319" s="47"/>
      <c r="G4319" s="46"/>
      <c r="H4319" s="50"/>
      <c r="I4319" s="51"/>
    </row>
    <row r="4320" ht="22.5" customHeight="1">
      <c r="A4320" s="42"/>
      <c r="B4320" s="47"/>
      <c r="C4320" s="46"/>
      <c r="D4320" s="47"/>
      <c r="E4320" s="46"/>
      <c r="F4320" s="47"/>
      <c r="G4320" s="46"/>
      <c r="H4320" s="48"/>
      <c r="I4320" s="49"/>
    </row>
    <row r="4321" ht="22.5" customHeight="1">
      <c r="A4321" s="42"/>
      <c r="B4321" s="47"/>
      <c r="C4321" s="46"/>
      <c r="D4321" s="47"/>
      <c r="E4321" s="46"/>
      <c r="F4321" s="47"/>
      <c r="G4321" s="46"/>
      <c r="H4321" s="50"/>
      <c r="I4321" s="51"/>
    </row>
    <row r="4322" ht="22.5" customHeight="1">
      <c r="A4322" s="42"/>
      <c r="B4322" s="47"/>
      <c r="C4322" s="46"/>
      <c r="D4322" s="47"/>
      <c r="E4322" s="46"/>
      <c r="F4322" s="47"/>
      <c r="G4322" s="46"/>
      <c r="H4322" s="48"/>
      <c r="I4322" s="49"/>
    </row>
    <row r="4323" ht="22.5" customHeight="1">
      <c r="A4323" s="42"/>
      <c r="B4323" s="47"/>
      <c r="C4323" s="46"/>
      <c r="D4323" s="47"/>
      <c r="E4323" s="46"/>
      <c r="F4323" s="47"/>
      <c r="G4323" s="46"/>
      <c r="H4323" s="50"/>
      <c r="I4323" s="51"/>
    </row>
    <row r="4324" ht="22.5" customHeight="1">
      <c r="A4324" s="42"/>
      <c r="B4324" s="47"/>
      <c r="C4324" s="46"/>
      <c r="D4324" s="47"/>
      <c r="E4324" s="46"/>
      <c r="F4324" s="47"/>
      <c r="G4324" s="46"/>
      <c r="H4324" s="48"/>
      <c r="I4324" s="49"/>
    </row>
    <row r="4325" ht="22.5" customHeight="1">
      <c r="A4325" s="42"/>
      <c r="B4325" s="47"/>
      <c r="C4325" s="46"/>
      <c r="D4325" s="47"/>
      <c r="E4325" s="46"/>
      <c r="F4325" s="47"/>
      <c r="G4325" s="46"/>
      <c r="H4325" s="50"/>
      <c r="I4325" s="51"/>
    </row>
    <row r="4326" ht="22.5" customHeight="1">
      <c r="A4326" s="42"/>
      <c r="B4326" s="47"/>
      <c r="C4326" s="46"/>
      <c r="D4326" s="47"/>
      <c r="E4326" s="46"/>
      <c r="F4326" s="47"/>
      <c r="G4326" s="46"/>
      <c r="H4326" s="48"/>
      <c r="I4326" s="49"/>
    </row>
    <row r="4327" ht="22.5" customHeight="1">
      <c r="A4327" s="42"/>
      <c r="B4327" s="47"/>
      <c r="C4327" s="46"/>
      <c r="D4327" s="47"/>
      <c r="E4327" s="46"/>
      <c r="F4327" s="47"/>
      <c r="G4327" s="46"/>
      <c r="H4327" s="50"/>
      <c r="I4327" s="51"/>
    </row>
    <row r="4328" ht="22.5" customHeight="1">
      <c r="A4328" s="42"/>
      <c r="B4328" s="47"/>
      <c r="C4328" s="46"/>
      <c r="D4328" s="47"/>
      <c r="E4328" s="46"/>
      <c r="F4328" s="47"/>
      <c r="G4328" s="46"/>
      <c r="H4328" s="48"/>
      <c r="I4328" s="49"/>
    </row>
    <row r="4329" ht="22.5" customHeight="1">
      <c r="A4329" s="42"/>
      <c r="B4329" s="47"/>
      <c r="C4329" s="46"/>
      <c r="D4329" s="47"/>
      <c r="E4329" s="46"/>
      <c r="F4329" s="47"/>
      <c r="G4329" s="46"/>
      <c r="H4329" s="50"/>
      <c r="I4329" s="51"/>
    </row>
    <row r="4330" ht="22.5" customHeight="1">
      <c r="A4330" s="42"/>
      <c r="B4330" s="47"/>
      <c r="C4330" s="46"/>
      <c r="D4330" s="47"/>
      <c r="E4330" s="46"/>
      <c r="F4330" s="47"/>
      <c r="G4330" s="46"/>
      <c r="H4330" s="48"/>
      <c r="I4330" s="49"/>
    </row>
    <row r="4331" ht="22.5" customHeight="1">
      <c r="A4331" s="42"/>
      <c r="B4331" s="47"/>
      <c r="C4331" s="46"/>
      <c r="D4331" s="47"/>
      <c r="E4331" s="46"/>
      <c r="F4331" s="47"/>
      <c r="G4331" s="46"/>
      <c r="H4331" s="50"/>
      <c r="I4331" s="51"/>
    </row>
    <row r="4332" ht="22.5" customHeight="1">
      <c r="A4332" s="42"/>
      <c r="B4332" s="47"/>
      <c r="C4332" s="46"/>
      <c r="D4332" s="47"/>
      <c r="E4332" s="46"/>
      <c r="F4332" s="47"/>
      <c r="G4332" s="46"/>
      <c r="H4332" s="48"/>
      <c r="I4332" s="49"/>
    </row>
    <row r="4333" ht="22.5" customHeight="1">
      <c r="A4333" s="42"/>
      <c r="B4333" s="47"/>
      <c r="C4333" s="46"/>
      <c r="D4333" s="47"/>
      <c r="E4333" s="46"/>
      <c r="F4333" s="47"/>
      <c r="G4333" s="46"/>
      <c r="H4333" s="50"/>
      <c r="I4333" s="51"/>
    </row>
    <row r="4334" ht="22.5" customHeight="1">
      <c r="A4334" s="42"/>
      <c r="B4334" s="47"/>
      <c r="C4334" s="46"/>
      <c r="D4334" s="47"/>
      <c r="E4334" s="46"/>
      <c r="F4334" s="47"/>
      <c r="G4334" s="46"/>
      <c r="H4334" s="48"/>
      <c r="I4334" s="49"/>
    </row>
    <row r="4335" ht="22.5" customHeight="1">
      <c r="A4335" s="42"/>
      <c r="B4335" s="47"/>
      <c r="C4335" s="46"/>
      <c r="D4335" s="47"/>
      <c r="E4335" s="46"/>
      <c r="F4335" s="47"/>
      <c r="G4335" s="46"/>
      <c r="H4335" s="50"/>
      <c r="I4335" s="51"/>
    </row>
    <row r="4336" ht="22.5" customHeight="1">
      <c r="A4336" s="42"/>
      <c r="B4336" s="47"/>
      <c r="C4336" s="46"/>
      <c r="D4336" s="47"/>
      <c r="E4336" s="46"/>
      <c r="F4336" s="47"/>
      <c r="G4336" s="46"/>
      <c r="H4336" s="48"/>
      <c r="I4336" s="49"/>
    </row>
    <row r="4337" ht="22.5" customHeight="1">
      <c r="A4337" s="42"/>
      <c r="B4337" s="47"/>
      <c r="C4337" s="46"/>
      <c r="D4337" s="47"/>
      <c r="E4337" s="46"/>
      <c r="F4337" s="47"/>
      <c r="G4337" s="46"/>
      <c r="H4337" s="50"/>
      <c r="I4337" s="51"/>
    </row>
    <row r="4338" ht="22.5" customHeight="1">
      <c r="A4338" s="42"/>
      <c r="B4338" s="47"/>
      <c r="C4338" s="46"/>
      <c r="D4338" s="47"/>
      <c r="E4338" s="46"/>
      <c r="F4338" s="47"/>
      <c r="G4338" s="46"/>
      <c r="H4338" s="48"/>
      <c r="I4338" s="49"/>
    </row>
    <row r="4339" ht="22.5" customHeight="1">
      <c r="A4339" s="42"/>
      <c r="B4339" s="47"/>
      <c r="C4339" s="46"/>
      <c r="D4339" s="47"/>
      <c r="E4339" s="46"/>
      <c r="F4339" s="47"/>
      <c r="G4339" s="46"/>
      <c r="H4339" s="50"/>
      <c r="I4339" s="51"/>
    </row>
    <row r="4340" ht="22.5" customHeight="1">
      <c r="A4340" s="42"/>
      <c r="B4340" s="47"/>
      <c r="C4340" s="46"/>
      <c r="D4340" s="47"/>
      <c r="E4340" s="46"/>
      <c r="F4340" s="47"/>
      <c r="G4340" s="46"/>
      <c r="H4340" s="48"/>
      <c r="I4340" s="49"/>
    </row>
    <row r="4341" ht="22.5" customHeight="1">
      <c r="A4341" s="42"/>
      <c r="B4341" s="47"/>
      <c r="C4341" s="46"/>
      <c r="D4341" s="47"/>
      <c r="E4341" s="46"/>
      <c r="F4341" s="47"/>
      <c r="G4341" s="46"/>
      <c r="H4341" s="50"/>
      <c r="I4341" s="51"/>
    </row>
    <row r="4342" ht="22.5" customHeight="1">
      <c r="A4342" s="42"/>
      <c r="B4342" s="47"/>
      <c r="C4342" s="46"/>
      <c r="D4342" s="47"/>
      <c r="E4342" s="46"/>
      <c r="F4342" s="47"/>
      <c r="G4342" s="46"/>
      <c r="H4342" s="48"/>
      <c r="I4342" s="49"/>
    </row>
    <row r="4343" ht="22.5" customHeight="1">
      <c r="A4343" s="42"/>
      <c r="B4343" s="47"/>
      <c r="C4343" s="46"/>
      <c r="D4343" s="47"/>
      <c r="E4343" s="46"/>
      <c r="F4343" s="47"/>
      <c r="G4343" s="46"/>
      <c r="H4343" s="50"/>
      <c r="I4343" s="51"/>
    </row>
    <row r="4344" ht="22.5" customHeight="1">
      <c r="A4344" s="42"/>
      <c r="B4344" s="47"/>
      <c r="C4344" s="46"/>
      <c r="D4344" s="47"/>
      <c r="E4344" s="46"/>
      <c r="F4344" s="47"/>
      <c r="G4344" s="46"/>
      <c r="H4344" s="48"/>
      <c r="I4344" s="49"/>
    </row>
    <row r="4345" ht="22.5" customHeight="1">
      <c r="A4345" s="42"/>
      <c r="B4345" s="47"/>
      <c r="C4345" s="46"/>
      <c r="D4345" s="47"/>
      <c r="E4345" s="46"/>
      <c r="F4345" s="47"/>
      <c r="G4345" s="46"/>
      <c r="H4345" s="50"/>
      <c r="I4345" s="51"/>
    </row>
    <row r="4346" ht="22.5" customHeight="1">
      <c r="A4346" s="42"/>
      <c r="B4346" s="47"/>
      <c r="C4346" s="46"/>
      <c r="D4346" s="47"/>
      <c r="E4346" s="46"/>
      <c r="F4346" s="47"/>
      <c r="G4346" s="46"/>
      <c r="H4346" s="48"/>
      <c r="I4346" s="49"/>
    </row>
    <row r="4347" ht="22.5" customHeight="1">
      <c r="A4347" s="42"/>
      <c r="B4347" s="47"/>
      <c r="C4347" s="46"/>
      <c r="D4347" s="47"/>
      <c r="E4347" s="46"/>
      <c r="F4347" s="47"/>
      <c r="G4347" s="46"/>
      <c r="H4347" s="50"/>
      <c r="I4347" s="51"/>
    </row>
    <row r="4348" ht="22.5" customHeight="1">
      <c r="A4348" s="42"/>
      <c r="B4348" s="47"/>
      <c r="C4348" s="46"/>
      <c r="D4348" s="47"/>
      <c r="E4348" s="46"/>
      <c r="F4348" s="47"/>
      <c r="G4348" s="46"/>
      <c r="H4348" s="48"/>
      <c r="I4348" s="49"/>
    </row>
    <row r="4349" ht="22.5" customHeight="1">
      <c r="A4349" s="42"/>
      <c r="B4349" s="47"/>
      <c r="C4349" s="46"/>
      <c r="D4349" s="47"/>
      <c r="E4349" s="46"/>
      <c r="F4349" s="47"/>
      <c r="G4349" s="46"/>
      <c r="H4349" s="50"/>
      <c r="I4349" s="51"/>
    </row>
    <row r="4350" ht="22.5" customHeight="1">
      <c r="A4350" s="42"/>
      <c r="B4350" s="47"/>
      <c r="C4350" s="46"/>
      <c r="D4350" s="47"/>
      <c r="E4350" s="46"/>
      <c r="F4350" s="47"/>
      <c r="G4350" s="46"/>
      <c r="H4350" s="48"/>
      <c r="I4350" s="49"/>
    </row>
    <row r="4351" ht="22.5" customHeight="1">
      <c r="A4351" s="42"/>
      <c r="B4351" s="47"/>
      <c r="C4351" s="46"/>
      <c r="D4351" s="47"/>
      <c r="E4351" s="46"/>
      <c r="F4351" s="47"/>
      <c r="G4351" s="46"/>
      <c r="H4351" s="50"/>
      <c r="I4351" s="51"/>
    </row>
    <row r="4352" ht="22.5" customHeight="1">
      <c r="A4352" s="42"/>
      <c r="B4352" s="47"/>
      <c r="C4352" s="46"/>
      <c r="D4352" s="47"/>
      <c r="E4352" s="46"/>
      <c r="F4352" s="47"/>
      <c r="G4352" s="46"/>
      <c r="H4352" s="48"/>
      <c r="I4352" s="49"/>
    </row>
    <row r="4353" ht="22.5" customHeight="1">
      <c r="A4353" s="42"/>
      <c r="B4353" s="47"/>
      <c r="C4353" s="46"/>
      <c r="D4353" s="47"/>
      <c r="E4353" s="46"/>
      <c r="F4353" s="47"/>
      <c r="G4353" s="46"/>
      <c r="H4353" s="50"/>
      <c r="I4353" s="51"/>
    </row>
    <row r="4354" ht="22.5" customHeight="1">
      <c r="A4354" s="42"/>
      <c r="B4354" s="47"/>
      <c r="C4354" s="46"/>
      <c r="D4354" s="47"/>
      <c r="E4354" s="46"/>
      <c r="F4354" s="47"/>
      <c r="G4354" s="46"/>
      <c r="H4354" s="48"/>
      <c r="I4354" s="49"/>
    </row>
    <row r="4355" ht="22.5" customHeight="1">
      <c r="A4355" s="42"/>
      <c r="B4355" s="47"/>
      <c r="C4355" s="46"/>
      <c r="D4355" s="47"/>
      <c r="E4355" s="46"/>
      <c r="F4355" s="47"/>
      <c r="G4355" s="46"/>
      <c r="H4355" s="50"/>
      <c r="I4355" s="51"/>
    </row>
    <row r="4356" ht="22.5" customHeight="1">
      <c r="A4356" s="42"/>
      <c r="B4356" s="47"/>
      <c r="C4356" s="46"/>
      <c r="D4356" s="47"/>
      <c r="E4356" s="46"/>
      <c r="F4356" s="47"/>
      <c r="G4356" s="46"/>
      <c r="H4356" s="48"/>
      <c r="I4356" s="49"/>
    </row>
    <row r="4357" ht="22.5" customHeight="1">
      <c r="A4357" s="42"/>
      <c r="B4357" s="47"/>
      <c r="C4357" s="46"/>
      <c r="D4357" s="47"/>
      <c r="E4357" s="46"/>
      <c r="F4357" s="47"/>
      <c r="G4357" s="46"/>
      <c r="H4357" s="50"/>
      <c r="I4357" s="51"/>
    </row>
    <row r="4358" ht="22.5" customHeight="1">
      <c r="A4358" s="42"/>
      <c r="B4358" s="47"/>
      <c r="C4358" s="46"/>
      <c r="D4358" s="47"/>
      <c r="E4358" s="46"/>
      <c r="F4358" s="47"/>
      <c r="G4358" s="46"/>
      <c r="H4358" s="48"/>
      <c r="I4358" s="49"/>
    </row>
    <row r="4359" ht="22.5" customHeight="1">
      <c r="A4359" s="42"/>
      <c r="B4359" s="47"/>
      <c r="C4359" s="46"/>
      <c r="D4359" s="47"/>
      <c r="E4359" s="46"/>
      <c r="F4359" s="47"/>
      <c r="G4359" s="46"/>
      <c r="H4359" s="50"/>
      <c r="I4359" s="51"/>
    </row>
    <row r="4360" ht="22.5" customHeight="1">
      <c r="A4360" s="42"/>
      <c r="B4360" s="47"/>
      <c r="C4360" s="46"/>
      <c r="D4360" s="47"/>
      <c r="E4360" s="46"/>
      <c r="F4360" s="47"/>
      <c r="G4360" s="46"/>
      <c r="H4360" s="48"/>
      <c r="I4360" s="49"/>
    </row>
    <row r="4361" ht="22.5" customHeight="1">
      <c r="A4361" s="42"/>
      <c r="B4361" s="47"/>
      <c r="C4361" s="46"/>
      <c r="D4361" s="47"/>
      <c r="E4361" s="46"/>
      <c r="F4361" s="47"/>
      <c r="G4361" s="46"/>
      <c r="H4361" s="50"/>
      <c r="I4361" s="51"/>
    </row>
    <row r="4362" ht="22.5" customHeight="1">
      <c r="A4362" s="42"/>
      <c r="B4362" s="47"/>
      <c r="C4362" s="46"/>
      <c r="D4362" s="47"/>
      <c r="E4362" s="46"/>
      <c r="F4362" s="47"/>
      <c r="G4362" s="46"/>
      <c r="H4362" s="48"/>
      <c r="I4362" s="49"/>
    </row>
    <row r="4363" ht="22.5" customHeight="1">
      <c r="A4363" s="42"/>
      <c r="B4363" s="47"/>
      <c r="C4363" s="46"/>
      <c r="D4363" s="47"/>
      <c r="E4363" s="46"/>
      <c r="F4363" s="47"/>
      <c r="G4363" s="46"/>
      <c r="H4363" s="50"/>
      <c r="I4363" s="51"/>
    </row>
    <row r="4364" ht="22.5" customHeight="1">
      <c r="A4364" s="42"/>
      <c r="B4364" s="47"/>
      <c r="C4364" s="46"/>
      <c r="D4364" s="47"/>
      <c r="E4364" s="46"/>
      <c r="F4364" s="47"/>
      <c r="G4364" s="46"/>
      <c r="H4364" s="48"/>
      <c r="I4364" s="49"/>
    </row>
    <row r="4365" ht="22.5" customHeight="1">
      <c r="A4365" s="42"/>
      <c r="B4365" s="47"/>
      <c r="C4365" s="46"/>
      <c r="D4365" s="47"/>
      <c r="E4365" s="46"/>
      <c r="F4365" s="47"/>
      <c r="G4365" s="46"/>
      <c r="H4365" s="50"/>
      <c r="I4365" s="51"/>
    </row>
    <row r="4366" ht="22.5" customHeight="1">
      <c r="A4366" s="42"/>
      <c r="B4366" s="47"/>
      <c r="C4366" s="46"/>
      <c r="D4366" s="47"/>
      <c r="E4366" s="46"/>
      <c r="F4366" s="47"/>
      <c r="G4366" s="46"/>
      <c r="H4366" s="48"/>
      <c r="I4366" s="49"/>
    </row>
    <row r="4367" ht="22.5" customHeight="1">
      <c r="A4367" s="42"/>
      <c r="B4367" s="47"/>
      <c r="C4367" s="46"/>
      <c r="D4367" s="47"/>
      <c r="E4367" s="46"/>
      <c r="F4367" s="47"/>
      <c r="G4367" s="46"/>
      <c r="H4367" s="50"/>
      <c r="I4367" s="51"/>
    </row>
    <row r="4368" ht="22.5" customHeight="1">
      <c r="A4368" s="42"/>
      <c r="B4368" s="47"/>
      <c r="C4368" s="46"/>
      <c r="D4368" s="47"/>
      <c r="E4368" s="46"/>
      <c r="F4368" s="47"/>
      <c r="G4368" s="46"/>
      <c r="H4368" s="48"/>
      <c r="I4368" s="49"/>
    </row>
    <row r="4369" ht="22.5" customHeight="1">
      <c r="A4369" s="42"/>
      <c r="B4369" s="47"/>
      <c r="C4369" s="46"/>
      <c r="D4369" s="47"/>
      <c r="E4369" s="46"/>
      <c r="F4369" s="47"/>
      <c r="G4369" s="46"/>
      <c r="H4369" s="50"/>
      <c r="I4369" s="51"/>
    </row>
    <row r="4370" ht="22.5" customHeight="1">
      <c r="A4370" s="42"/>
      <c r="B4370" s="47"/>
      <c r="C4370" s="46"/>
      <c r="D4370" s="47"/>
      <c r="E4370" s="46"/>
      <c r="F4370" s="47"/>
      <c r="G4370" s="46"/>
      <c r="H4370" s="48"/>
      <c r="I4370" s="49"/>
    </row>
    <row r="4371" ht="22.5" customHeight="1">
      <c r="A4371" s="42"/>
      <c r="B4371" s="47"/>
      <c r="C4371" s="46"/>
      <c r="D4371" s="47"/>
      <c r="E4371" s="46"/>
      <c r="F4371" s="47"/>
      <c r="G4371" s="46"/>
      <c r="H4371" s="50"/>
      <c r="I4371" s="51"/>
    </row>
    <row r="4372" ht="22.5" customHeight="1">
      <c r="A4372" s="42"/>
      <c r="B4372" s="47"/>
      <c r="C4372" s="46"/>
      <c r="D4372" s="47"/>
      <c r="E4372" s="46"/>
      <c r="F4372" s="47"/>
      <c r="G4372" s="46"/>
      <c r="H4372" s="48"/>
      <c r="I4372" s="49"/>
    </row>
    <row r="4373" ht="22.5" customHeight="1">
      <c r="A4373" s="42"/>
      <c r="B4373" s="47"/>
      <c r="C4373" s="46"/>
      <c r="D4373" s="47"/>
      <c r="E4373" s="46"/>
      <c r="F4373" s="47"/>
      <c r="G4373" s="46"/>
      <c r="H4373" s="50"/>
      <c r="I4373" s="51"/>
    </row>
    <row r="4374" ht="22.5" customHeight="1">
      <c r="A4374" s="42"/>
      <c r="B4374" s="47"/>
      <c r="C4374" s="46"/>
      <c r="D4374" s="47"/>
      <c r="E4374" s="46"/>
      <c r="F4374" s="47"/>
      <c r="G4374" s="46"/>
      <c r="H4374" s="48"/>
      <c r="I4374" s="49"/>
    </row>
    <row r="4375" ht="22.5" customHeight="1">
      <c r="A4375" s="42"/>
      <c r="B4375" s="47"/>
      <c r="C4375" s="46"/>
      <c r="D4375" s="47"/>
      <c r="E4375" s="46"/>
      <c r="F4375" s="47"/>
      <c r="G4375" s="46"/>
      <c r="H4375" s="50"/>
      <c r="I4375" s="51"/>
    </row>
    <row r="4376" ht="22.5" customHeight="1">
      <c r="A4376" s="42"/>
      <c r="B4376" s="47"/>
      <c r="C4376" s="46"/>
      <c r="D4376" s="47"/>
      <c r="E4376" s="46"/>
      <c r="F4376" s="47"/>
      <c r="G4376" s="46"/>
      <c r="H4376" s="48"/>
      <c r="I4376" s="49"/>
    </row>
    <row r="4377" ht="22.5" customHeight="1">
      <c r="A4377" s="42"/>
      <c r="B4377" s="47"/>
      <c r="C4377" s="46"/>
      <c r="D4377" s="47"/>
      <c r="E4377" s="46"/>
      <c r="F4377" s="47"/>
      <c r="G4377" s="46"/>
      <c r="H4377" s="50"/>
      <c r="I4377" s="51"/>
    </row>
    <row r="4378" ht="22.5" customHeight="1">
      <c r="A4378" s="42"/>
      <c r="B4378" s="47"/>
      <c r="C4378" s="46"/>
      <c r="D4378" s="47"/>
      <c r="E4378" s="46"/>
      <c r="F4378" s="47"/>
      <c r="G4378" s="46"/>
      <c r="H4378" s="48"/>
      <c r="I4378" s="49"/>
    </row>
    <row r="4379" ht="22.5" customHeight="1">
      <c r="A4379" s="42"/>
      <c r="B4379" s="47"/>
      <c r="C4379" s="46"/>
      <c r="D4379" s="47"/>
      <c r="E4379" s="46"/>
      <c r="F4379" s="47"/>
      <c r="G4379" s="46"/>
      <c r="H4379" s="50"/>
      <c r="I4379" s="51"/>
    </row>
    <row r="4380" ht="22.5" customHeight="1">
      <c r="A4380" s="42"/>
      <c r="B4380" s="47"/>
      <c r="C4380" s="46"/>
      <c r="D4380" s="47"/>
      <c r="E4380" s="46"/>
      <c r="F4380" s="47"/>
      <c r="G4380" s="46"/>
      <c r="H4380" s="48"/>
      <c r="I4380" s="49"/>
    </row>
    <row r="4381" ht="22.5" customHeight="1">
      <c r="A4381" s="42"/>
      <c r="B4381" s="47"/>
      <c r="C4381" s="46"/>
      <c r="D4381" s="47"/>
      <c r="E4381" s="46"/>
      <c r="F4381" s="47"/>
      <c r="G4381" s="46"/>
      <c r="H4381" s="50"/>
      <c r="I4381" s="51"/>
    </row>
    <row r="4382" ht="22.5" customHeight="1">
      <c r="A4382" s="42"/>
      <c r="B4382" s="47"/>
      <c r="C4382" s="46"/>
      <c r="D4382" s="47"/>
      <c r="E4382" s="46"/>
      <c r="F4382" s="47"/>
      <c r="G4382" s="46"/>
      <c r="H4382" s="48"/>
      <c r="I4382" s="49"/>
    </row>
    <row r="4383" ht="22.5" customHeight="1">
      <c r="A4383" s="42"/>
      <c r="B4383" s="47"/>
      <c r="C4383" s="46"/>
      <c r="D4383" s="47"/>
      <c r="E4383" s="46"/>
      <c r="F4383" s="47"/>
      <c r="G4383" s="46"/>
      <c r="H4383" s="50"/>
      <c r="I4383" s="51"/>
    </row>
    <row r="4384" ht="22.5" customHeight="1">
      <c r="A4384" s="42"/>
      <c r="B4384" s="47"/>
      <c r="C4384" s="46"/>
      <c r="D4384" s="47"/>
      <c r="E4384" s="46"/>
      <c r="F4384" s="47"/>
      <c r="G4384" s="46"/>
      <c r="H4384" s="48"/>
      <c r="I4384" s="49"/>
    </row>
    <row r="4385" ht="22.5" customHeight="1">
      <c r="A4385" s="42"/>
      <c r="B4385" s="47"/>
      <c r="C4385" s="46"/>
      <c r="D4385" s="47"/>
      <c r="E4385" s="46"/>
      <c r="F4385" s="47"/>
      <c r="G4385" s="46"/>
      <c r="H4385" s="50"/>
      <c r="I4385" s="51"/>
    </row>
    <row r="4386" ht="22.5" customHeight="1">
      <c r="A4386" s="42"/>
      <c r="B4386" s="47"/>
      <c r="C4386" s="46"/>
      <c r="D4386" s="47"/>
      <c r="E4386" s="46"/>
      <c r="F4386" s="47"/>
      <c r="G4386" s="46"/>
      <c r="H4386" s="48"/>
      <c r="I4386" s="49"/>
    </row>
    <row r="4387" ht="22.5" customHeight="1">
      <c r="A4387" s="42"/>
      <c r="B4387" s="47"/>
      <c r="C4387" s="46"/>
      <c r="D4387" s="47"/>
      <c r="E4387" s="46"/>
      <c r="F4387" s="47"/>
      <c r="G4387" s="46"/>
      <c r="H4387" s="50"/>
      <c r="I4387" s="51"/>
    </row>
    <row r="4388" ht="22.5" customHeight="1">
      <c r="A4388" s="42"/>
      <c r="B4388" s="47"/>
      <c r="C4388" s="46"/>
      <c r="D4388" s="47"/>
      <c r="E4388" s="46"/>
      <c r="F4388" s="47"/>
      <c r="G4388" s="46"/>
      <c r="H4388" s="48"/>
      <c r="I4388" s="49"/>
    </row>
    <row r="4389" ht="22.5" customHeight="1">
      <c r="A4389" s="42"/>
      <c r="B4389" s="47"/>
      <c r="C4389" s="46"/>
      <c r="D4389" s="47"/>
      <c r="E4389" s="46"/>
      <c r="F4389" s="47"/>
      <c r="G4389" s="46"/>
      <c r="H4389" s="50"/>
      <c r="I4389" s="51"/>
    </row>
    <row r="4390" ht="22.5" customHeight="1">
      <c r="A4390" s="42"/>
      <c r="B4390" s="47"/>
      <c r="C4390" s="46"/>
      <c r="D4390" s="47"/>
      <c r="E4390" s="46"/>
      <c r="F4390" s="47"/>
      <c r="G4390" s="46"/>
      <c r="H4390" s="48"/>
      <c r="I4390" s="49"/>
    </row>
    <row r="4391" ht="22.5" customHeight="1">
      <c r="A4391" s="42"/>
      <c r="B4391" s="47"/>
      <c r="C4391" s="46"/>
      <c r="D4391" s="47"/>
      <c r="E4391" s="46"/>
      <c r="F4391" s="47"/>
      <c r="G4391" s="46"/>
      <c r="H4391" s="50"/>
      <c r="I4391" s="51"/>
    </row>
    <row r="4392" ht="22.5" customHeight="1">
      <c r="A4392" s="42"/>
      <c r="B4392" s="47"/>
      <c r="C4392" s="46"/>
      <c r="D4392" s="47"/>
      <c r="E4392" s="46"/>
      <c r="F4392" s="47"/>
      <c r="G4392" s="46"/>
      <c r="H4392" s="48"/>
      <c r="I4392" s="49"/>
    </row>
    <row r="4393" ht="22.5" customHeight="1">
      <c r="A4393" s="42"/>
      <c r="B4393" s="47"/>
      <c r="C4393" s="46"/>
      <c r="D4393" s="47"/>
      <c r="E4393" s="46"/>
      <c r="F4393" s="47"/>
      <c r="G4393" s="46"/>
      <c r="H4393" s="50"/>
      <c r="I4393" s="51"/>
    </row>
    <row r="4394" ht="22.5" customHeight="1">
      <c r="A4394" s="42"/>
      <c r="B4394" s="47"/>
      <c r="C4394" s="46"/>
      <c r="D4394" s="47"/>
      <c r="E4394" s="46"/>
      <c r="F4394" s="47"/>
      <c r="G4394" s="46"/>
      <c r="H4394" s="48"/>
      <c r="I4394" s="49"/>
    </row>
    <row r="4395" ht="22.5" customHeight="1">
      <c r="A4395" s="42"/>
      <c r="B4395" s="47"/>
      <c r="C4395" s="46"/>
      <c r="D4395" s="47"/>
      <c r="E4395" s="46"/>
      <c r="F4395" s="47"/>
      <c r="G4395" s="46"/>
      <c r="H4395" s="50"/>
      <c r="I4395" s="51"/>
    </row>
    <row r="4396" ht="22.5" customHeight="1">
      <c r="A4396" s="42"/>
      <c r="B4396" s="47"/>
      <c r="C4396" s="46"/>
      <c r="D4396" s="47"/>
      <c r="E4396" s="46"/>
      <c r="F4396" s="47"/>
      <c r="G4396" s="46"/>
      <c r="H4396" s="48"/>
      <c r="I4396" s="49"/>
    </row>
    <row r="4397" ht="22.5" customHeight="1">
      <c r="A4397" s="42"/>
      <c r="B4397" s="47"/>
      <c r="C4397" s="46"/>
      <c r="D4397" s="47"/>
      <c r="E4397" s="46"/>
      <c r="F4397" s="47"/>
      <c r="G4397" s="46"/>
      <c r="H4397" s="50"/>
      <c r="I4397" s="51"/>
    </row>
    <row r="4398" ht="22.5" customHeight="1">
      <c r="A4398" s="42"/>
      <c r="B4398" s="47"/>
      <c r="C4398" s="46"/>
      <c r="D4398" s="47"/>
      <c r="E4398" s="46"/>
      <c r="F4398" s="47"/>
      <c r="G4398" s="46"/>
      <c r="H4398" s="48"/>
      <c r="I4398" s="49"/>
    </row>
    <row r="4399" ht="22.5" customHeight="1">
      <c r="A4399" s="42"/>
      <c r="B4399" s="47"/>
      <c r="C4399" s="46"/>
      <c r="D4399" s="47"/>
      <c r="E4399" s="46"/>
      <c r="F4399" s="47"/>
      <c r="G4399" s="46"/>
      <c r="H4399" s="50"/>
      <c r="I4399" s="51"/>
    </row>
    <row r="4400" ht="22.5" customHeight="1">
      <c r="A4400" s="42"/>
      <c r="B4400" s="47"/>
      <c r="C4400" s="46"/>
      <c r="D4400" s="47"/>
      <c r="E4400" s="46"/>
      <c r="F4400" s="47"/>
      <c r="G4400" s="46"/>
      <c r="H4400" s="48"/>
      <c r="I4400" s="49"/>
    </row>
    <row r="4401" ht="22.5" customHeight="1">
      <c r="A4401" s="42"/>
      <c r="B4401" s="47"/>
      <c r="C4401" s="46"/>
      <c r="D4401" s="47"/>
      <c r="E4401" s="46"/>
      <c r="F4401" s="47"/>
      <c r="G4401" s="46"/>
      <c r="H4401" s="50"/>
      <c r="I4401" s="51"/>
    </row>
    <row r="4402" ht="22.5" customHeight="1">
      <c r="A4402" s="42"/>
      <c r="B4402" s="47"/>
      <c r="C4402" s="46"/>
      <c r="D4402" s="47"/>
      <c r="E4402" s="46"/>
      <c r="F4402" s="47"/>
      <c r="G4402" s="46"/>
      <c r="H4402" s="48"/>
      <c r="I4402" s="49"/>
    </row>
    <row r="4403" ht="22.5" customHeight="1">
      <c r="A4403" s="42"/>
      <c r="B4403" s="47"/>
      <c r="C4403" s="46"/>
      <c r="D4403" s="47"/>
      <c r="E4403" s="46"/>
      <c r="F4403" s="47"/>
      <c r="G4403" s="46"/>
      <c r="H4403" s="50"/>
      <c r="I4403" s="51"/>
    </row>
    <row r="4404" ht="22.5" customHeight="1">
      <c r="A4404" s="42"/>
      <c r="B4404" s="47"/>
      <c r="C4404" s="46"/>
      <c r="D4404" s="47"/>
      <c r="E4404" s="46"/>
      <c r="F4404" s="47"/>
      <c r="G4404" s="46"/>
      <c r="H4404" s="48"/>
      <c r="I4404" s="49"/>
    </row>
    <row r="4405" ht="22.5" customHeight="1">
      <c r="A4405" s="42"/>
      <c r="B4405" s="47"/>
      <c r="C4405" s="46"/>
      <c r="D4405" s="47"/>
      <c r="E4405" s="46"/>
      <c r="F4405" s="47"/>
      <c r="G4405" s="46"/>
      <c r="H4405" s="50"/>
      <c r="I4405" s="51"/>
    </row>
    <row r="4406" ht="22.5" customHeight="1">
      <c r="A4406" s="42"/>
      <c r="B4406" s="47"/>
      <c r="C4406" s="46"/>
      <c r="D4406" s="47"/>
      <c r="E4406" s="46"/>
      <c r="F4406" s="47"/>
      <c r="G4406" s="46"/>
      <c r="H4406" s="48"/>
      <c r="I4406" s="49"/>
    </row>
    <row r="4407" ht="22.5" customHeight="1">
      <c r="A4407" s="42"/>
      <c r="B4407" s="47"/>
      <c r="C4407" s="46"/>
      <c r="D4407" s="47"/>
      <c r="E4407" s="46"/>
      <c r="F4407" s="47"/>
      <c r="G4407" s="46"/>
      <c r="H4407" s="50"/>
      <c r="I4407" s="51"/>
    </row>
    <row r="4408" ht="22.5" customHeight="1">
      <c r="A4408" s="42"/>
      <c r="B4408" s="47"/>
      <c r="C4408" s="46"/>
      <c r="D4408" s="47"/>
      <c r="E4408" s="46"/>
      <c r="F4408" s="47"/>
      <c r="G4408" s="46"/>
      <c r="H4408" s="48"/>
      <c r="I4408" s="49"/>
    </row>
    <row r="4409" ht="22.5" customHeight="1">
      <c r="A4409" s="42"/>
      <c r="B4409" s="47"/>
      <c r="C4409" s="46"/>
      <c r="D4409" s="47"/>
      <c r="E4409" s="46"/>
      <c r="F4409" s="47"/>
      <c r="G4409" s="46"/>
      <c r="H4409" s="50"/>
      <c r="I4409" s="51"/>
    </row>
    <row r="4410" ht="22.5" customHeight="1">
      <c r="A4410" s="42"/>
      <c r="B4410" s="47"/>
      <c r="C4410" s="46"/>
      <c r="D4410" s="47"/>
      <c r="E4410" s="46"/>
      <c r="F4410" s="47"/>
      <c r="G4410" s="46"/>
      <c r="H4410" s="48"/>
      <c r="I4410" s="49"/>
    </row>
    <row r="4411" ht="22.5" customHeight="1">
      <c r="A4411" s="42"/>
      <c r="B4411" s="47"/>
      <c r="C4411" s="46"/>
      <c r="D4411" s="47"/>
      <c r="E4411" s="46"/>
      <c r="F4411" s="47"/>
      <c r="G4411" s="46"/>
      <c r="H4411" s="50"/>
      <c r="I4411" s="51"/>
    </row>
    <row r="4412" ht="22.5" customHeight="1">
      <c r="A4412" s="42"/>
      <c r="B4412" s="47"/>
      <c r="C4412" s="46"/>
      <c r="D4412" s="47"/>
      <c r="E4412" s="46"/>
      <c r="F4412" s="47"/>
      <c r="G4412" s="46"/>
      <c r="H4412" s="48"/>
      <c r="I4412" s="49"/>
    </row>
    <row r="4413" ht="22.5" customHeight="1">
      <c r="A4413" s="42"/>
      <c r="B4413" s="47"/>
      <c r="C4413" s="46"/>
      <c r="D4413" s="47"/>
      <c r="E4413" s="46"/>
      <c r="F4413" s="47"/>
      <c r="G4413" s="46"/>
      <c r="H4413" s="50"/>
      <c r="I4413" s="51"/>
    </row>
    <row r="4414" ht="22.5" customHeight="1">
      <c r="A4414" s="42"/>
      <c r="B4414" s="47"/>
      <c r="C4414" s="46"/>
      <c r="D4414" s="47"/>
      <c r="E4414" s="46"/>
      <c r="F4414" s="47"/>
      <c r="G4414" s="46"/>
      <c r="H4414" s="48"/>
      <c r="I4414" s="49"/>
    </row>
    <row r="4415" ht="22.5" customHeight="1">
      <c r="A4415" s="42"/>
      <c r="B4415" s="47"/>
      <c r="C4415" s="46"/>
      <c r="D4415" s="47"/>
      <c r="E4415" s="46"/>
      <c r="F4415" s="47"/>
      <c r="G4415" s="46"/>
      <c r="H4415" s="50"/>
      <c r="I4415" s="51"/>
    </row>
    <row r="4416" ht="22.5" customHeight="1">
      <c r="A4416" s="42"/>
      <c r="B4416" s="47"/>
      <c r="C4416" s="46"/>
      <c r="D4416" s="47"/>
      <c r="E4416" s="46"/>
      <c r="F4416" s="47"/>
      <c r="G4416" s="46"/>
      <c r="H4416" s="48"/>
      <c r="I4416" s="49"/>
    </row>
    <row r="4417" ht="22.5" customHeight="1">
      <c r="A4417" s="42"/>
      <c r="B4417" s="47"/>
      <c r="C4417" s="46"/>
      <c r="D4417" s="47"/>
      <c r="E4417" s="46"/>
      <c r="F4417" s="47"/>
      <c r="G4417" s="46"/>
      <c r="H4417" s="50"/>
      <c r="I4417" s="51"/>
    </row>
    <row r="4418" ht="22.5" customHeight="1">
      <c r="A4418" s="42"/>
      <c r="B4418" s="47"/>
      <c r="C4418" s="46"/>
      <c r="D4418" s="47"/>
      <c r="E4418" s="46"/>
      <c r="F4418" s="47"/>
      <c r="G4418" s="46"/>
      <c r="H4418" s="48"/>
      <c r="I4418" s="49"/>
    </row>
    <row r="4419" ht="22.5" customHeight="1">
      <c r="A4419" s="42"/>
      <c r="B4419" s="47"/>
      <c r="C4419" s="46"/>
      <c r="D4419" s="47"/>
      <c r="E4419" s="46"/>
      <c r="F4419" s="47"/>
      <c r="G4419" s="46"/>
      <c r="H4419" s="50"/>
      <c r="I4419" s="51"/>
    </row>
    <row r="4420" ht="22.5" customHeight="1">
      <c r="A4420" s="42"/>
      <c r="B4420" s="47"/>
      <c r="C4420" s="46"/>
      <c r="D4420" s="47"/>
      <c r="E4420" s="46"/>
      <c r="F4420" s="47"/>
      <c r="G4420" s="46"/>
      <c r="H4420" s="48"/>
      <c r="I4420" s="49"/>
    </row>
    <row r="4421" ht="22.5" customHeight="1">
      <c r="A4421" s="42"/>
      <c r="B4421" s="47"/>
      <c r="C4421" s="46"/>
      <c r="D4421" s="47"/>
      <c r="E4421" s="46"/>
      <c r="F4421" s="47"/>
      <c r="G4421" s="46"/>
      <c r="H4421" s="50"/>
      <c r="I4421" s="51"/>
    </row>
    <row r="4422" ht="22.5" customHeight="1">
      <c r="A4422" s="42"/>
      <c r="B4422" s="47"/>
      <c r="C4422" s="46"/>
      <c r="D4422" s="47"/>
      <c r="E4422" s="46"/>
      <c r="F4422" s="47"/>
      <c r="G4422" s="46"/>
      <c r="H4422" s="48"/>
      <c r="I4422" s="49"/>
    </row>
    <row r="4423" ht="22.5" customHeight="1">
      <c r="A4423" s="42"/>
      <c r="B4423" s="47"/>
      <c r="C4423" s="46"/>
      <c r="D4423" s="47"/>
      <c r="E4423" s="46"/>
      <c r="F4423" s="47"/>
      <c r="G4423" s="46"/>
      <c r="H4423" s="50"/>
      <c r="I4423" s="51"/>
    </row>
    <row r="4424" ht="22.5" customHeight="1">
      <c r="A4424" s="42"/>
      <c r="B4424" s="47"/>
      <c r="C4424" s="46"/>
      <c r="D4424" s="47"/>
      <c r="E4424" s="46"/>
      <c r="F4424" s="47"/>
      <c r="G4424" s="46"/>
      <c r="H4424" s="48"/>
      <c r="I4424" s="49"/>
    </row>
    <row r="4425" ht="22.5" customHeight="1">
      <c r="A4425" s="42"/>
      <c r="B4425" s="47"/>
      <c r="C4425" s="46"/>
      <c r="D4425" s="47"/>
      <c r="E4425" s="46"/>
      <c r="F4425" s="47"/>
      <c r="G4425" s="46"/>
      <c r="H4425" s="50"/>
      <c r="I4425" s="51"/>
    </row>
    <row r="4426" ht="22.5" customHeight="1">
      <c r="A4426" s="42"/>
      <c r="B4426" s="47"/>
      <c r="C4426" s="46"/>
      <c r="D4426" s="47"/>
      <c r="E4426" s="46"/>
      <c r="F4426" s="47"/>
      <c r="G4426" s="46"/>
      <c r="H4426" s="48"/>
      <c r="I4426" s="49"/>
    </row>
    <row r="4427" ht="22.5" customHeight="1">
      <c r="A4427" s="42"/>
      <c r="B4427" s="47"/>
      <c r="C4427" s="46"/>
      <c r="D4427" s="47"/>
      <c r="E4427" s="46"/>
      <c r="F4427" s="47"/>
      <c r="G4427" s="46"/>
      <c r="H4427" s="50"/>
      <c r="I4427" s="51"/>
    </row>
    <row r="4428" ht="22.5" customHeight="1">
      <c r="A4428" s="42"/>
      <c r="B4428" s="47"/>
      <c r="C4428" s="46"/>
      <c r="D4428" s="47"/>
      <c r="E4428" s="46"/>
      <c r="F4428" s="47"/>
      <c r="G4428" s="46"/>
      <c r="H4428" s="48"/>
      <c r="I4428" s="49"/>
    </row>
    <row r="4429" ht="22.5" customHeight="1">
      <c r="A4429" s="42"/>
      <c r="B4429" s="47"/>
      <c r="C4429" s="46"/>
      <c r="D4429" s="47"/>
      <c r="E4429" s="46"/>
      <c r="F4429" s="47"/>
      <c r="G4429" s="46"/>
      <c r="H4429" s="50"/>
      <c r="I4429" s="51"/>
    </row>
    <row r="4430" ht="22.5" customHeight="1">
      <c r="A4430" s="42"/>
      <c r="B4430" s="47"/>
      <c r="C4430" s="46"/>
      <c r="D4430" s="47"/>
      <c r="E4430" s="46"/>
      <c r="F4430" s="47"/>
      <c r="G4430" s="46"/>
      <c r="H4430" s="48"/>
      <c r="I4430" s="49"/>
    </row>
    <row r="4431" ht="22.5" customHeight="1">
      <c r="A4431" s="42"/>
      <c r="B4431" s="47"/>
      <c r="C4431" s="46"/>
      <c r="D4431" s="47"/>
      <c r="E4431" s="46"/>
      <c r="F4431" s="47"/>
      <c r="G4431" s="46"/>
      <c r="H4431" s="50"/>
      <c r="I4431" s="51"/>
    </row>
    <row r="4432" ht="22.5" customHeight="1">
      <c r="A4432" s="42"/>
      <c r="B4432" s="47"/>
      <c r="C4432" s="46"/>
      <c r="D4432" s="47"/>
      <c r="E4432" s="46"/>
      <c r="F4432" s="47"/>
      <c r="G4432" s="46"/>
      <c r="H4432" s="48"/>
      <c r="I4432" s="49"/>
    </row>
    <row r="4433" ht="22.5" customHeight="1">
      <c r="A4433" s="42"/>
      <c r="B4433" s="47"/>
      <c r="C4433" s="46"/>
      <c r="D4433" s="47"/>
      <c r="E4433" s="46"/>
      <c r="F4433" s="47"/>
      <c r="G4433" s="46"/>
      <c r="H4433" s="50"/>
      <c r="I4433" s="51"/>
    </row>
    <row r="4434" ht="22.5" customHeight="1">
      <c r="A4434" s="42"/>
      <c r="B4434" s="47"/>
      <c r="C4434" s="46"/>
      <c r="D4434" s="47"/>
      <c r="E4434" s="46"/>
      <c r="F4434" s="47"/>
      <c r="G4434" s="46"/>
      <c r="H4434" s="48"/>
      <c r="I4434" s="49"/>
    </row>
    <row r="4435" ht="22.5" customHeight="1">
      <c r="A4435" s="42"/>
      <c r="B4435" s="47"/>
      <c r="C4435" s="46"/>
      <c r="D4435" s="47"/>
      <c r="E4435" s="46"/>
      <c r="F4435" s="47"/>
      <c r="G4435" s="46"/>
      <c r="H4435" s="50"/>
      <c r="I4435" s="51"/>
    </row>
    <row r="4436" ht="22.5" customHeight="1">
      <c r="A4436" s="42"/>
      <c r="B4436" s="47"/>
      <c r="C4436" s="46"/>
      <c r="D4436" s="47"/>
      <c r="E4436" s="46"/>
      <c r="F4436" s="47"/>
      <c r="G4436" s="46"/>
      <c r="H4436" s="48"/>
      <c r="I4436" s="49"/>
    </row>
    <row r="4437" ht="22.5" customHeight="1">
      <c r="A4437" s="42"/>
      <c r="B4437" s="47"/>
      <c r="C4437" s="46"/>
      <c r="D4437" s="47"/>
      <c r="E4437" s="46"/>
      <c r="F4437" s="47"/>
      <c r="G4437" s="46"/>
      <c r="H4437" s="50"/>
      <c r="I4437" s="51"/>
    </row>
    <row r="4438" ht="22.5" customHeight="1">
      <c r="A4438" s="42"/>
      <c r="B4438" s="47"/>
      <c r="C4438" s="46"/>
      <c r="D4438" s="47"/>
      <c r="E4438" s="46"/>
      <c r="F4438" s="47"/>
      <c r="G4438" s="46"/>
      <c r="H4438" s="48"/>
      <c r="I4438" s="49"/>
    </row>
    <row r="4439" ht="22.5" customHeight="1">
      <c r="A4439" s="42"/>
      <c r="B4439" s="47"/>
      <c r="C4439" s="46"/>
      <c r="D4439" s="47"/>
      <c r="E4439" s="46"/>
      <c r="F4439" s="47"/>
      <c r="G4439" s="46"/>
      <c r="H4439" s="50"/>
      <c r="I4439" s="51"/>
    </row>
    <row r="4440" ht="22.5" customHeight="1">
      <c r="A4440" s="42"/>
      <c r="B4440" s="47"/>
      <c r="C4440" s="46"/>
      <c r="D4440" s="47"/>
      <c r="E4440" s="46"/>
      <c r="F4440" s="47"/>
      <c r="G4440" s="46"/>
      <c r="H4440" s="48"/>
      <c r="I4440" s="49"/>
    </row>
    <row r="4441" ht="22.5" customHeight="1">
      <c r="A4441" s="42"/>
      <c r="B4441" s="47"/>
      <c r="C4441" s="46"/>
      <c r="D4441" s="47"/>
      <c r="E4441" s="46"/>
      <c r="F4441" s="47"/>
      <c r="G4441" s="46"/>
      <c r="H4441" s="50"/>
      <c r="I4441" s="51"/>
    </row>
    <row r="4442" ht="22.5" customHeight="1">
      <c r="A4442" s="42"/>
      <c r="B4442" s="47"/>
      <c r="C4442" s="46"/>
      <c r="D4442" s="47"/>
      <c r="E4442" s="46"/>
      <c r="F4442" s="47"/>
      <c r="G4442" s="46"/>
      <c r="H4442" s="48"/>
      <c r="I4442" s="49"/>
    </row>
    <row r="4443" ht="22.5" customHeight="1">
      <c r="A4443" s="42"/>
      <c r="B4443" s="47"/>
      <c r="C4443" s="46"/>
      <c r="D4443" s="47"/>
      <c r="E4443" s="46"/>
      <c r="F4443" s="47"/>
      <c r="G4443" s="46"/>
      <c r="H4443" s="50"/>
      <c r="I4443" s="51"/>
    </row>
    <row r="4444" ht="22.5" customHeight="1">
      <c r="A4444" s="42"/>
      <c r="B4444" s="47"/>
      <c r="C4444" s="46"/>
      <c r="D4444" s="47"/>
      <c r="E4444" s="46"/>
      <c r="F4444" s="47"/>
      <c r="G4444" s="46"/>
      <c r="H4444" s="48"/>
      <c r="I4444" s="49"/>
    </row>
    <row r="4445" ht="22.5" customHeight="1">
      <c r="A4445" s="42"/>
      <c r="B4445" s="47"/>
      <c r="C4445" s="46"/>
      <c r="D4445" s="47"/>
      <c r="E4445" s="46"/>
      <c r="F4445" s="47"/>
      <c r="G4445" s="46"/>
      <c r="H4445" s="50"/>
      <c r="I4445" s="51"/>
    </row>
    <row r="4446" ht="22.5" customHeight="1">
      <c r="A4446" s="42"/>
      <c r="B4446" s="47"/>
      <c r="C4446" s="46"/>
      <c r="D4446" s="47"/>
      <c r="E4446" s="46"/>
      <c r="F4446" s="47"/>
      <c r="G4446" s="46"/>
      <c r="H4446" s="48"/>
      <c r="I4446" s="49"/>
    </row>
    <row r="4447" ht="22.5" customHeight="1">
      <c r="A4447" s="42"/>
      <c r="B4447" s="47"/>
      <c r="C4447" s="46"/>
      <c r="D4447" s="47"/>
      <c r="E4447" s="46"/>
      <c r="F4447" s="47"/>
      <c r="G4447" s="46"/>
      <c r="H4447" s="50"/>
      <c r="I4447" s="51"/>
    </row>
    <row r="4448" ht="22.5" customHeight="1">
      <c r="A4448" s="42"/>
      <c r="B4448" s="47"/>
      <c r="C4448" s="46"/>
      <c r="D4448" s="47"/>
      <c r="E4448" s="46"/>
      <c r="F4448" s="47"/>
      <c r="G4448" s="46"/>
      <c r="H4448" s="48"/>
      <c r="I4448" s="49"/>
    </row>
    <row r="4449" ht="22.5" customHeight="1">
      <c r="A4449" s="42"/>
      <c r="B4449" s="47"/>
      <c r="C4449" s="46"/>
      <c r="D4449" s="47"/>
      <c r="E4449" s="46"/>
      <c r="F4449" s="47"/>
      <c r="G4449" s="46"/>
      <c r="H4449" s="50"/>
      <c r="I4449" s="51"/>
    </row>
    <row r="4450" ht="22.5" customHeight="1">
      <c r="A4450" s="42"/>
      <c r="B4450" s="47"/>
      <c r="C4450" s="46"/>
      <c r="D4450" s="47"/>
      <c r="E4450" s="46"/>
      <c r="F4450" s="47"/>
      <c r="G4450" s="46"/>
      <c r="H4450" s="48"/>
      <c r="I4450" s="49"/>
    </row>
    <row r="4451" ht="22.5" customHeight="1">
      <c r="A4451" s="42"/>
      <c r="B4451" s="47"/>
      <c r="C4451" s="46"/>
      <c r="D4451" s="47"/>
      <c r="E4451" s="46"/>
      <c r="F4451" s="47"/>
      <c r="G4451" s="46"/>
      <c r="H4451" s="50"/>
      <c r="I4451" s="51"/>
    </row>
    <row r="4452" ht="22.5" customHeight="1">
      <c r="A4452" s="42"/>
      <c r="B4452" s="47"/>
      <c r="C4452" s="46"/>
      <c r="D4452" s="47"/>
      <c r="E4452" s="46"/>
      <c r="F4452" s="47"/>
      <c r="G4452" s="46"/>
      <c r="H4452" s="48"/>
      <c r="I4452" s="49"/>
    </row>
    <row r="4453" ht="22.5" customHeight="1">
      <c r="A4453" s="42"/>
      <c r="B4453" s="47"/>
      <c r="C4453" s="46"/>
      <c r="D4453" s="47"/>
      <c r="E4453" s="46"/>
      <c r="F4453" s="47"/>
      <c r="G4453" s="46"/>
      <c r="H4453" s="50"/>
      <c r="I4453" s="51"/>
    </row>
    <row r="4454" ht="22.5" customHeight="1">
      <c r="A4454" s="42"/>
      <c r="B4454" s="47"/>
      <c r="C4454" s="46"/>
      <c r="D4454" s="47"/>
      <c r="E4454" s="46"/>
      <c r="F4454" s="47"/>
      <c r="G4454" s="46"/>
      <c r="H4454" s="48"/>
      <c r="I4454" s="49"/>
    </row>
    <row r="4455" ht="22.5" customHeight="1">
      <c r="A4455" s="42"/>
      <c r="B4455" s="47"/>
      <c r="C4455" s="46"/>
      <c r="D4455" s="47"/>
      <c r="E4455" s="46"/>
      <c r="F4455" s="47"/>
      <c r="G4455" s="46"/>
      <c r="H4455" s="50"/>
      <c r="I4455" s="51"/>
    </row>
    <row r="4456" ht="22.5" customHeight="1">
      <c r="A4456" s="42"/>
      <c r="B4456" s="47"/>
      <c r="C4456" s="46"/>
      <c r="D4456" s="47"/>
      <c r="E4456" s="46"/>
      <c r="F4456" s="47"/>
      <c r="G4456" s="46"/>
      <c r="H4456" s="48"/>
      <c r="I4456" s="49"/>
    </row>
    <row r="4457" ht="22.5" customHeight="1">
      <c r="A4457" s="42"/>
      <c r="B4457" s="47"/>
      <c r="C4457" s="46"/>
      <c r="D4457" s="47"/>
      <c r="E4457" s="46"/>
      <c r="F4457" s="47"/>
      <c r="G4457" s="46"/>
      <c r="H4457" s="50"/>
      <c r="I4457" s="51"/>
    </row>
    <row r="4458" ht="22.5" customHeight="1">
      <c r="A4458" s="42"/>
      <c r="B4458" s="47"/>
      <c r="C4458" s="46"/>
      <c r="D4458" s="47"/>
      <c r="E4458" s="46"/>
      <c r="F4458" s="47"/>
      <c r="G4458" s="46"/>
      <c r="H4458" s="48"/>
      <c r="I4458" s="49"/>
    </row>
    <row r="4459" ht="22.5" customHeight="1">
      <c r="A4459" s="42"/>
      <c r="B4459" s="47"/>
      <c r="C4459" s="46"/>
      <c r="D4459" s="47"/>
      <c r="E4459" s="46"/>
      <c r="F4459" s="47"/>
      <c r="G4459" s="46"/>
      <c r="H4459" s="50"/>
      <c r="I4459" s="51"/>
    </row>
    <row r="4460" ht="22.5" customHeight="1">
      <c r="A4460" s="42"/>
      <c r="B4460" s="47"/>
      <c r="C4460" s="46"/>
      <c r="D4460" s="47"/>
      <c r="E4460" s="46"/>
      <c r="F4460" s="47"/>
      <c r="G4460" s="46"/>
      <c r="H4460" s="48"/>
      <c r="I4460" s="49"/>
    </row>
    <row r="4461" ht="22.5" customHeight="1">
      <c r="A4461" s="42"/>
      <c r="B4461" s="47"/>
      <c r="C4461" s="46"/>
      <c r="D4461" s="47"/>
      <c r="E4461" s="46"/>
      <c r="F4461" s="47"/>
      <c r="G4461" s="46"/>
      <c r="H4461" s="50"/>
      <c r="I4461" s="51"/>
    </row>
    <row r="4462" ht="22.5" customHeight="1">
      <c r="A4462" s="42"/>
      <c r="B4462" s="47"/>
      <c r="C4462" s="46"/>
      <c r="D4462" s="47"/>
      <c r="E4462" s="46"/>
      <c r="F4462" s="47"/>
      <c r="G4462" s="46"/>
      <c r="H4462" s="48"/>
      <c r="I4462" s="49"/>
    </row>
    <row r="4463" ht="22.5" customHeight="1">
      <c r="A4463" s="42"/>
      <c r="B4463" s="47"/>
      <c r="C4463" s="46"/>
      <c r="D4463" s="47"/>
      <c r="E4463" s="46"/>
      <c r="F4463" s="47"/>
      <c r="G4463" s="46"/>
      <c r="H4463" s="50"/>
      <c r="I4463" s="51"/>
    </row>
    <row r="4464" ht="22.5" customHeight="1">
      <c r="A4464" s="42"/>
      <c r="B4464" s="47"/>
      <c r="C4464" s="46"/>
      <c r="D4464" s="47"/>
      <c r="E4464" s="46"/>
      <c r="F4464" s="47"/>
      <c r="G4464" s="46"/>
      <c r="H4464" s="48"/>
      <c r="I4464" s="49"/>
    </row>
    <row r="4465" ht="22.5" customHeight="1">
      <c r="A4465" s="42"/>
      <c r="B4465" s="47"/>
      <c r="C4465" s="46"/>
      <c r="D4465" s="47"/>
      <c r="E4465" s="46"/>
      <c r="F4465" s="47"/>
      <c r="G4465" s="46"/>
      <c r="H4465" s="50"/>
      <c r="I4465" s="51"/>
    </row>
    <row r="4466" ht="22.5" customHeight="1">
      <c r="A4466" s="42"/>
      <c r="B4466" s="47"/>
      <c r="C4466" s="46"/>
      <c r="D4466" s="47"/>
      <c r="E4466" s="46"/>
      <c r="F4466" s="47"/>
      <c r="G4466" s="46"/>
      <c r="H4466" s="48"/>
      <c r="I4466" s="49"/>
    </row>
    <row r="4467" ht="22.5" customHeight="1">
      <c r="A4467" s="42"/>
      <c r="B4467" s="47"/>
      <c r="C4467" s="46"/>
      <c r="D4467" s="47"/>
      <c r="E4467" s="46"/>
      <c r="F4467" s="47"/>
      <c r="G4467" s="46"/>
      <c r="H4467" s="50"/>
      <c r="I4467" s="51"/>
    </row>
    <row r="4468" ht="22.5" customHeight="1">
      <c r="A4468" s="42"/>
      <c r="B4468" s="47"/>
      <c r="C4468" s="46"/>
      <c r="D4468" s="47"/>
      <c r="E4468" s="46"/>
      <c r="F4468" s="47"/>
      <c r="G4468" s="46"/>
      <c r="H4468" s="48"/>
      <c r="I4468" s="49"/>
    </row>
    <row r="4469" ht="22.5" customHeight="1">
      <c r="A4469" s="42"/>
      <c r="B4469" s="47"/>
      <c r="C4469" s="46"/>
      <c r="D4469" s="47"/>
      <c r="E4469" s="46"/>
      <c r="F4469" s="47"/>
      <c r="G4469" s="46"/>
      <c r="H4469" s="50"/>
      <c r="I4469" s="51"/>
    </row>
    <row r="4470" ht="22.5" customHeight="1">
      <c r="A4470" s="42"/>
      <c r="B4470" s="47"/>
      <c r="C4470" s="46"/>
      <c r="D4470" s="47"/>
      <c r="E4470" s="46"/>
      <c r="F4470" s="47"/>
      <c r="G4470" s="46"/>
      <c r="H4470" s="48"/>
      <c r="I4470" s="49"/>
    </row>
    <row r="4471" ht="22.5" customHeight="1">
      <c r="A4471" s="42"/>
      <c r="B4471" s="47"/>
      <c r="C4471" s="46"/>
      <c r="D4471" s="47"/>
      <c r="E4471" s="46"/>
      <c r="F4471" s="47"/>
      <c r="G4471" s="46"/>
      <c r="H4471" s="50"/>
      <c r="I4471" s="51"/>
    </row>
    <row r="4472" ht="22.5" customHeight="1">
      <c r="A4472" s="42"/>
      <c r="B4472" s="47"/>
      <c r="C4472" s="46"/>
      <c r="D4472" s="47"/>
      <c r="E4472" s="46"/>
      <c r="F4472" s="47"/>
      <c r="G4472" s="46"/>
      <c r="H4472" s="48"/>
      <c r="I4472" s="49"/>
    </row>
    <row r="4473" ht="22.5" customHeight="1">
      <c r="A4473" s="42"/>
      <c r="B4473" s="47"/>
      <c r="C4473" s="46"/>
      <c r="D4473" s="47"/>
      <c r="E4473" s="46"/>
      <c r="F4473" s="47"/>
      <c r="G4473" s="46"/>
      <c r="H4473" s="50"/>
      <c r="I4473" s="51"/>
    </row>
    <row r="4474" ht="22.5" customHeight="1">
      <c r="A4474" s="42"/>
      <c r="B4474" s="47"/>
      <c r="C4474" s="46"/>
      <c r="D4474" s="47"/>
      <c r="E4474" s="46"/>
      <c r="F4474" s="47"/>
      <c r="G4474" s="46"/>
      <c r="H4474" s="48"/>
      <c r="I4474" s="49"/>
    </row>
    <row r="4475" ht="22.5" customHeight="1">
      <c r="A4475" s="42"/>
      <c r="B4475" s="47"/>
      <c r="C4475" s="46"/>
      <c r="D4475" s="47"/>
      <c r="E4475" s="46"/>
      <c r="F4475" s="47"/>
      <c r="G4475" s="46"/>
      <c r="H4475" s="50"/>
      <c r="I4475" s="51"/>
    </row>
    <row r="4476" ht="22.5" customHeight="1">
      <c r="A4476" s="42"/>
      <c r="B4476" s="47"/>
      <c r="C4476" s="46"/>
      <c r="D4476" s="47"/>
      <c r="E4476" s="46"/>
      <c r="F4476" s="47"/>
      <c r="G4476" s="46"/>
      <c r="H4476" s="48"/>
      <c r="I4476" s="49"/>
    </row>
    <row r="4477" ht="22.5" customHeight="1">
      <c r="A4477" s="42"/>
      <c r="B4477" s="47"/>
      <c r="C4477" s="46"/>
      <c r="D4477" s="47"/>
      <c r="E4477" s="46"/>
      <c r="F4477" s="47"/>
      <c r="G4477" s="46"/>
      <c r="H4477" s="50"/>
      <c r="I4477" s="51"/>
    </row>
    <row r="4478" ht="22.5" customHeight="1">
      <c r="A4478" s="42"/>
      <c r="B4478" s="47"/>
      <c r="C4478" s="46"/>
      <c r="D4478" s="47"/>
      <c r="E4478" s="46"/>
      <c r="F4478" s="47"/>
      <c r="G4478" s="46"/>
      <c r="H4478" s="48"/>
      <c r="I4478" s="49"/>
    </row>
    <row r="4479" ht="22.5" customHeight="1">
      <c r="A4479" s="42"/>
      <c r="B4479" s="47"/>
      <c r="C4479" s="46"/>
      <c r="D4479" s="47"/>
      <c r="E4479" s="46"/>
      <c r="F4479" s="47"/>
      <c r="G4479" s="46"/>
      <c r="H4479" s="50"/>
      <c r="I4479" s="51"/>
    </row>
    <row r="4480" ht="22.5" customHeight="1">
      <c r="A4480" s="42"/>
      <c r="B4480" s="47"/>
      <c r="C4480" s="46"/>
      <c r="D4480" s="47"/>
      <c r="E4480" s="46"/>
      <c r="F4480" s="47"/>
      <c r="G4480" s="46"/>
      <c r="H4480" s="48"/>
      <c r="I4480" s="49"/>
    </row>
    <row r="4481" ht="22.5" customHeight="1">
      <c r="A4481" s="42"/>
      <c r="B4481" s="47"/>
      <c r="C4481" s="46"/>
      <c r="D4481" s="47"/>
      <c r="E4481" s="46"/>
      <c r="F4481" s="47"/>
      <c r="G4481" s="46"/>
      <c r="H4481" s="50"/>
      <c r="I4481" s="51"/>
    </row>
    <row r="4482" ht="22.5" customHeight="1">
      <c r="A4482" s="42"/>
      <c r="B4482" s="47"/>
      <c r="C4482" s="46"/>
      <c r="D4482" s="47"/>
      <c r="E4482" s="46"/>
      <c r="F4482" s="47"/>
      <c r="G4482" s="46"/>
      <c r="H4482" s="48"/>
      <c r="I4482" s="49"/>
    </row>
    <row r="4483" ht="22.5" customHeight="1">
      <c r="A4483" s="42"/>
      <c r="B4483" s="47"/>
      <c r="C4483" s="46"/>
      <c r="D4483" s="47"/>
      <c r="E4483" s="46"/>
      <c r="F4483" s="47"/>
      <c r="G4483" s="46"/>
      <c r="H4483" s="50"/>
      <c r="I4483" s="51"/>
    </row>
    <row r="4484" ht="22.5" customHeight="1">
      <c r="A4484" s="42"/>
      <c r="B4484" s="47"/>
      <c r="C4484" s="46"/>
      <c r="D4484" s="47"/>
      <c r="E4484" s="46"/>
      <c r="F4484" s="47"/>
      <c r="G4484" s="46"/>
      <c r="H4484" s="48"/>
      <c r="I4484" s="49"/>
    </row>
    <row r="4485" ht="22.5" customHeight="1">
      <c r="A4485" s="42"/>
      <c r="B4485" s="47"/>
      <c r="C4485" s="46"/>
      <c r="D4485" s="47"/>
      <c r="E4485" s="46"/>
      <c r="F4485" s="47"/>
      <c r="G4485" s="46"/>
      <c r="H4485" s="50"/>
      <c r="I4485" s="51"/>
    </row>
    <row r="4486" ht="22.5" customHeight="1">
      <c r="A4486" s="42"/>
      <c r="B4486" s="47"/>
      <c r="C4486" s="46"/>
      <c r="D4486" s="47"/>
      <c r="E4486" s="46"/>
      <c r="F4486" s="47"/>
      <c r="G4486" s="46"/>
      <c r="H4486" s="48"/>
      <c r="I4486" s="49"/>
    </row>
    <row r="4487" ht="22.5" customHeight="1">
      <c r="A4487" s="42"/>
      <c r="B4487" s="47"/>
      <c r="C4487" s="46"/>
      <c r="D4487" s="47"/>
      <c r="E4487" s="46"/>
      <c r="F4487" s="47"/>
      <c r="G4487" s="46"/>
      <c r="H4487" s="50"/>
      <c r="I4487" s="51"/>
    </row>
    <row r="4488" ht="22.5" customHeight="1">
      <c r="A4488" s="42"/>
      <c r="B4488" s="47"/>
      <c r="C4488" s="46"/>
      <c r="D4488" s="47"/>
      <c r="E4488" s="46"/>
      <c r="F4488" s="47"/>
      <c r="G4488" s="46"/>
      <c r="H4488" s="48"/>
      <c r="I4488" s="49"/>
    </row>
    <row r="4489" ht="22.5" customHeight="1">
      <c r="A4489" s="42"/>
      <c r="B4489" s="47"/>
      <c r="C4489" s="46"/>
      <c r="D4489" s="47"/>
      <c r="E4489" s="46"/>
      <c r="F4489" s="47"/>
      <c r="G4489" s="46"/>
      <c r="H4489" s="50"/>
      <c r="I4489" s="51"/>
    </row>
    <row r="4490" ht="22.5" customHeight="1">
      <c r="A4490" s="42"/>
      <c r="B4490" s="47"/>
      <c r="C4490" s="46"/>
      <c r="D4490" s="47"/>
      <c r="E4490" s="46"/>
      <c r="F4490" s="47"/>
      <c r="G4490" s="46"/>
      <c r="H4490" s="48"/>
      <c r="I4490" s="49"/>
    </row>
    <row r="4491" ht="22.5" customHeight="1">
      <c r="A4491" s="42"/>
      <c r="B4491" s="47"/>
      <c r="C4491" s="46"/>
      <c r="D4491" s="47"/>
      <c r="E4491" s="46"/>
      <c r="F4491" s="47"/>
      <c r="G4491" s="46"/>
      <c r="H4491" s="50"/>
      <c r="I4491" s="51"/>
    </row>
    <row r="4492" ht="22.5" customHeight="1">
      <c r="A4492" s="42"/>
      <c r="B4492" s="47"/>
      <c r="C4492" s="46"/>
      <c r="D4492" s="47"/>
      <c r="E4492" s="46"/>
      <c r="F4492" s="47"/>
      <c r="G4492" s="46"/>
      <c r="H4492" s="48"/>
      <c r="I4492" s="49"/>
    </row>
    <row r="4493" ht="22.5" customHeight="1">
      <c r="A4493" s="42"/>
      <c r="B4493" s="47"/>
      <c r="C4493" s="46"/>
      <c r="D4493" s="47"/>
      <c r="E4493" s="46"/>
      <c r="F4493" s="47"/>
      <c r="G4493" s="46"/>
      <c r="H4493" s="50"/>
      <c r="I4493" s="51"/>
    </row>
    <row r="4494" ht="22.5" customHeight="1">
      <c r="A4494" s="42"/>
      <c r="B4494" s="47"/>
      <c r="C4494" s="46"/>
      <c r="D4494" s="47"/>
      <c r="E4494" s="46"/>
      <c r="F4494" s="47"/>
      <c r="G4494" s="46"/>
      <c r="H4494" s="48"/>
      <c r="I4494" s="49"/>
    </row>
    <row r="4495" ht="22.5" customHeight="1">
      <c r="A4495" s="42"/>
      <c r="B4495" s="47"/>
      <c r="C4495" s="46"/>
      <c r="D4495" s="47"/>
      <c r="E4495" s="46"/>
      <c r="F4495" s="47"/>
      <c r="G4495" s="46"/>
      <c r="H4495" s="50"/>
      <c r="I4495" s="51"/>
    </row>
    <row r="4496" ht="22.5" customHeight="1">
      <c r="A4496" s="42"/>
      <c r="B4496" s="47"/>
      <c r="C4496" s="46"/>
      <c r="D4496" s="47"/>
      <c r="E4496" s="46"/>
      <c r="F4496" s="47"/>
      <c r="G4496" s="46"/>
      <c r="H4496" s="48"/>
      <c r="I4496" s="49"/>
    </row>
    <row r="4497" ht="22.5" customHeight="1">
      <c r="A4497" s="42"/>
      <c r="B4497" s="47"/>
      <c r="C4497" s="46"/>
      <c r="D4497" s="47"/>
      <c r="E4497" s="46"/>
      <c r="F4497" s="47"/>
      <c r="G4497" s="46"/>
      <c r="H4497" s="50"/>
      <c r="I4497" s="51"/>
    </row>
    <row r="4498" ht="22.5" customHeight="1">
      <c r="A4498" s="42"/>
      <c r="B4498" s="47"/>
      <c r="C4498" s="46"/>
      <c r="D4498" s="47"/>
      <c r="E4498" s="46"/>
      <c r="F4498" s="47"/>
      <c r="G4498" s="46"/>
      <c r="H4498" s="48"/>
      <c r="I4498" s="49"/>
    </row>
    <row r="4499" ht="22.5" customHeight="1">
      <c r="A4499" s="42"/>
      <c r="B4499" s="47"/>
      <c r="C4499" s="46"/>
      <c r="D4499" s="47"/>
      <c r="E4499" s="46"/>
      <c r="F4499" s="47"/>
      <c r="G4499" s="46"/>
      <c r="H4499" s="50"/>
      <c r="I4499" s="51"/>
    </row>
    <row r="4500" ht="22.5" customHeight="1">
      <c r="A4500" s="42"/>
      <c r="B4500" s="47"/>
      <c r="C4500" s="46"/>
      <c r="D4500" s="47"/>
      <c r="E4500" s="46"/>
      <c r="F4500" s="47"/>
      <c r="G4500" s="46"/>
      <c r="H4500" s="48"/>
      <c r="I4500" s="49"/>
    </row>
    <row r="4501" ht="22.5" customHeight="1">
      <c r="A4501" s="42"/>
      <c r="B4501" s="47"/>
      <c r="C4501" s="46"/>
      <c r="D4501" s="47"/>
      <c r="E4501" s="46"/>
      <c r="F4501" s="47"/>
      <c r="G4501" s="46"/>
      <c r="H4501" s="50"/>
      <c r="I4501" s="51"/>
    </row>
    <row r="4502" ht="22.5" customHeight="1">
      <c r="A4502" s="42"/>
      <c r="B4502" s="47"/>
      <c r="C4502" s="46"/>
      <c r="D4502" s="47"/>
      <c r="E4502" s="46"/>
      <c r="F4502" s="47"/>
      <c r="G4502" s="46"/>
      <c r="H4502" s="48"/>
      <c r="I4502" s="49"/>
    </row>
    <row r="4503" ht="22.5" customHeight="1">
      <c r="A4503" s="42"/>
      <c r="B4503" s="47"/>
      <c r="C4503" s="46"/>
      <c r="D4503" s="47"/>
      <c r="E4503" s="46"/>
      <c r="F4503" s="47"/>
      <c r="G4503" s="46"/>
      <c r="H4503" s="50"/>
      <c r="I4503" s="51"/>
    </row>
    <row r="4504" ht="22.5" customHeight="1">
      <c r="A4504" s="42"/>
      <c r="B4504" s="47"/>
      <c r="C4504" s="46"/>
      <c r="D4504" s="47"/>
      <c r="E4504" s="46"/>
      <c r="F4504" s="47"/>
      <c r="G4504" s="46"/>
      <c r="H4504" s="48"/>
      <c r="I4504" s="49"/>
    </row>
    <row r="4505" ht="22.5" customHeight="1">
      <c r="A4505" s="42"/>
      <c r="B4505" s="47"/>
      <c r="C4505" s="46"/>
      <c r="D4505" s="47"/>
      <c r="E4505" s="46"/>
      <c r="F4505" s="47"/>
      <c r="G4505" s="46"/>
      <c r="H4505" s="50"/>
      <c r="I4505" s="51"/>
    </row>
    <row r="4506" ht="22.5" customHeight="1">
      <c r="A4506" s="42"/>
      <c r="B4506" s="47"/>
      <c r="C4506" s="46"/>
      <c r="D4506" s="47"/>
      <c r="E4506" s="46"/>
      <c r="F4506" s="47"/>
      <c r="G4506" s="46"/>
      <c r="H4506" s="48"/>
      <c r="I4506" s="49"/>
    </row>
    <row r="4507" ht="22.5" customHeight="1">
      <c r="A4507" s="42"/>
      <c r="B4507" s="47"/>
      <c r="C4507" s="46"/>
      <c r="D4507" s="47"/>
      <c r="E4507" s="46"/>
      <c r="F4507" s="47"/>
      <c r="G4507" s="46"/>
      <c r="H4507" s="50"/>
      <c r="I4507" s="51"/>
    </row>
    <row r="4508" ht="22.5" customHeight="1">
      <c r="A4508" s="42"/>
      <c r="B4508" s="47"/>
      <c r="C4508" s="46"/>
      <c r="D4508" s="47"/>
      <c r="E4508" s="46"/>
      <c r="F4508" s="47"/>
      <c r="G4508" s="46"/>
      <c r="H4508" s="48"/>
      <c r="I4508" s="49"/>
    </row>
    <row r="4509" ht="22.5" customHeight="1">
      <c r="A4509" s="42"/>
      <c r="B4509" s="47"/>
      <c r="C4509" s="46"/>
      <c r="D4509" s="47"/>
      <c r="E4509" s="46"/>
      <c r="F4509" s="47"/>
      <c r="G4509" s="46"/>
      <c r="H4509" s="50"/>
      <c r="I4509" s="51"/>
    </row>
    <row r="4510" ht="22.5" customHeight="1">
      <c r="A4510" s="42"/>
      <c r="B4510" s="47"/>
      <c r="C4510" s="46"/>
      <c r="D4510" s="47"/>
      <c r="E4510" s="46"/>
      <c r="F4510" s="47"/>
      <c r="G4510" s="46"/>
      <c r="H4510" s="48"/>
      <c r="I4510" s="49"/>
    </row>
    <row r="4511" ht="22.5" customHeight="1">
      <c r="A4511" s="42"/>
      <c r="B4511" s="47"/>
      <c r="C4511" s="46"/>
      <c r="D4511" s="47"/>
      <c r="E4511" s="46"/>
      <c r="F4511" s="47"/>
      <c r="G4511" s="46"/>
      <c r="H4511" s="50"/>
      <c r="I4511" s="51"/>
    </row>
    <row r="4512" ht="22.5" customHeight="1">
      <c r="A4512" s="42"/>
      <c r="B4512" s="47"/>
      <c r="C4512" s="46"/>
      <c r="D4512" s="47"/>
      <c r="E4512" s="46"/>
      <c r="F4512" s="47"/>
      <c r="G4512" s="46"/>
      <c r="H4512" s="48"/>
      <c r="I4512" s="49"/>
    </row>
    <row r="4513" ht="22.5" customHeight="1">
      <c r="A4513" s="42"/>
      <c r="B4513" s="47"/>
      <c r="C4513" s="46"/>
      <c r="D4513" s="47"/>
      <c r="E4513" s="46"/>
      <c r="F4513" s="47"/>
      <c r="G4513" s="46"/>
      <c r="H4513" s="50"/>
      <c r="I4513" s="51"/>
    </row>
    <row r="4514" ht="22.5" customHeight="1">
      <c r="A4514" s="42"/>
      <c r="B4514" s="47"/>
      <c r="C4514" s="46"/>
      <c r="D4514" s="47"/>
      <c r="E4514" s="46"/>
      <c r="F4514" s="47"/>
      <c r="G4514" s="46"/>
      <c r="H4514" s="48"/>
      <c r="I4514" s="49"/>
    </row>
    <row r="4515" ht="22.5" customHeight="1">
      <c r="A4515" s="42"/>
      <c r="B4515" s="47"/>
      <c r="C4515" s="46"/>
      <c r="D4515" s="47"/>
      <c r="E4515" s="46"/>
      <c r="F4515" s="47"/>
      <c r="G4515" s="46"/>
      <c r="H4515" s="50"/>
      <c r="I4515" s="51"/>
    </row>
    <row r="4516" ht="22.5" customHeight="1">
      <c r="A4516" s="42"/>
      <c r="B4516" s="47"/>
      <c r="C4516" s="46"/>
      <c r="D4516" s="47"/>
      <c r="E4516" s="46"/>
      <c r="F4516" s="47"/>
      <c r="G4516" s="46"/>
      <c r="H4516" s="48"/>
      <c r="I4516" s="49"/>
    </row>
    <row r="4517" ht="22.5" customHeight="1">
      <c r="A4517" s="42"/>
      <c r="B4517" s="47"/>
      <c r="C4517" s="46"/>
      <c r="D4517" s="47"/>
      <c r="E4517" s="46"/>
      <c r="F4517" s="47"/>
      <c r="G4517" s="46"/>
      <c r="H4517" s="50"/>
      <c r="I4517" s="51"/>
    </row>
    <row r="4518" ht="22.5" customHeight="1">
      <c r="A4518" s="42"/>
      <c r="B4518" s="47"/>
      <c r="C4518" s="46"/>
      <c r="D4518" s="47"/>
      <c r="E4518" s="46"/>
      <c r="F4518" s="47"/>
      <c r="G4518" s="46"/>
      <c r="H4518" s="48"/>
      <c r="I4518" s="49"/>
    </row>
    <row r="4519" ht="22.5" customHeight="1">
      <c r="A4519" s="42"/>
      <c r="B4519" s="47"/>
      <c r="C4519" s="46"/>
      <c r="D4519" s="47"/>
      <c r="E4519" s="46"/>
      <c r="F4519" s="47"/>
      <c r="G4519" s="46"/>
      <c r="H4519" s="50"/>
      <c r="I4519" s="51"/>
    </row>
    <row r="4520" ht="22.5" customHeight="1">
      <c r="A4520" s="42"/>
      <c r="B4520" s="47"/>
      <c r="C4520" s="46"/>
      <c r="D4520" s="47"/>
      <c r="E4520" s="46"/>
      <c r="F4520" s="47"/>
      <c r="G4520" s="46"/>
      <c r="H4520" s="48"/>
      <c r="I4520" s="49"/>
    </row>
    <row r="4521" ht="22.5" customHeight="1">
      <c r="A4521" s="42"/>
      <c r="B4521" s="47"/>
      <c r="C4521" s="46"/>
      <c r="D4521" s="47"/>
      <c r="E4521" s="46"/>
      <c r="F4521" s="47"/>
      <c r="G4521" s="46"/>
      <c r="H4521" s="50"/>
      <c r="I4521" s="51"/>
    </row>
    <row r="4522" ht="22.5" customHeight="1">
      <c r="A4522" s="42"/>
      <c r="B4522" s="47"/>
      <c r="C4522" s="46"/>
      <c r="D4522" s="47"/>
      <c r="E4522" s="46"/>
      <c r="F4522" s="47"/>
      <c r="G4522" s="46"/>
      <c r="H4522" s="48"/>
      <c r="I4522" s="49"/>
    </row>
    <row r="4523" ht="22.5" customHeight="1">
      <c r="A4523" s="42"/>
      <c r="B4523" s="47"/>
      <c r="C4523" s="46"/>
      <c r="D4523" s="47"/>
      <c r="E4523" s="46"/>
      <c r="F4523" s="47"/>
      <c r="G4523" s="46"/>
      <c r="H4523" s="50"/>
      <c r="I4523" s="51"/>
    </row>
    <row r="4524" ht="22.5" customHeight="1">
      <c r="A4524" s="42"/>
      <c r="B4524" s="47"/>
      <c r="C4524" s="46"/>
      <c r="D4524" s="47"/>
      <c r="E4524" s="46"/>
      <c r="F4524" s="47"/>
      <c r="G4524" s="46"/>
      <c r="H4524" s="48"/>
      <c r="I4524" s="49"/>
    </row>
    <row r="4525" ht="22.5" customHeight="1">
      <c r="A4525" s="42"/>
      <c r="B4525" s="47"/>
      <c r="C4525" s="46"/>
      <c r="D4525" s="47"/>
      <c r="E4525" s="46"/>
      <c r="F4525" s="47"/>
      <c r="G4525" s="46"/>
      <c r="H4525" s="50"/>
      <c r="I4525" s="51"/>
    </row>
    <row r="4526" ht="22.5" customHeight="1">
      <c r="A4526" s="42"/>
      <c r="B4526" s="47"/>
      <c r="C4526" s="46"/>
      <c r="D4526" s="47"/>
      <c r="E4526" s="46"/>
      <c r="F4526" s="47"/>
      <c r="G4526" s="46"/>
      <c r="H4526" s="48"/>
      <c r="I4526" s="49"/>
    </row>
    <row r="4527" ht="22.5" customHeight="1">
      <c r="A4527" s="42"/>
      <c r="B4527" s="47"/>
      <c r="C4527" s="46"/>
      <c r="D4527" s="47"/>
      <c r="E4527" s="46"/>
      <c r="F4527" s="47"/>
      <c r="G4527" s="46"/>
      <c r="H4527" s="50"/>
      <c r="I4527" s="51"/>
    </row>
    <row r="4528" ht="22.5" customHeight="1">
      <c r="A4528" s="42"/>
      <c r="B4528" s="47"/>
      <c r="C4528" s="46"/>
      <c r="D4528" s="47"/>
      <c r="E4528" s="46"/>
      <c r="F4528" s="47"/>
      <c r="G4528" s="46"/>
      <c r="H4528" s="48"/>
      <c r="I4528" s="49"/>
    </row>
    <row r="4529" ht="22.5" customHeight="1">
      <c r="A4529" s="42"/>
      <c r="B4529" s="47"/>
      <c r="C4529" s="46"/>
      <c r="D4529" s="47"/>
      <c r="E4529" s="46"/>
      <c r="F4529" s="47"/>
      <c r="G4529" s="46"/>
      <c r="H4529" s="50"/>
      <c r="I4529" s="51"/>
    </row>
    <row r="4530" ht="22.5" customHeight="1">
      <c r="A4530" s="42"/>
      <c r="B4530" s="47"/>
      <c r="C4530" s="46"/>
      <c r="D4530" s="47"/>
      <c r="E4530" s="46"/>
      <c r="F4530" s="47"/>
      <c r="G4530" s="46"/>
      <c r="H4530" s="48"/>
      <c r="I4530" s="49"/>
    </row>
    <row r="4531" ht="22.5" customHeight="1">
      <c r="A4531" s="42"/>
      <c r="B4531" s="47"/>
      <c r="C4531" s="46"/>
      <c r="D4531" s="47"/>
      <c r="E4531" s="46"/>
      <c r="F4531" s="47"/>
      <c r="G4531" s="46"/>
      <c r="H4531" s="50"/>
      <c r="I4531" s="51"/>
    </row>
    <row r="4532" ht="22.5" customHeight="1">
      <c r="A4532" s="42"/>
      <c r="B4532" s="47"/>
      <c r="C4532" s="46"/>
      <c r="D4532" s="47"/>
      <c r="E4532" s="46"/>
      <c r="F4532" s="47"/>
      <c r="G4532" s="46"/>
      <c r="H4532" s="48"/>
      <c r="I4532" s="49"/>
    </row>
    <row r="4533" ht="22.5" customHeight="1">
      <c r="A4533" s="42"/>
      <c r="B4533" s="47"/>
      <c r="C4533" s="46"/>
      <c r="D4533" s="47"/>
      <c r="E4533" s="46"/>
      <c r="F4533" s="47"/>
      <c r="G4533" s="46"/>
      <c r="H4533" s="50"/>
      <c r="I4533" s="51"/>
    </row>
    <row r="4534" ht="22.5" customHeight="1">
      <c r="A4534" s="42"/>
      <c r="B4534" s="47"/>
      <c r="C4534" s="46"/>
      <c r="D4534" s="47"/>
      <c r="E4534" s="46"/>
      <c r="F4534" s="47"/>
      <c r="G4534" s="46"/>
      <c r="H4534" s="48"/>
      <c r="I4534" s="49"/>
    </row>
    <row r="4535" ht="22.5" customHeight="1">
      <c r="A4535" s="42"/>
      <c r="B4535" s="47"/>
      <c r="C4535" s="46"/>
      <c r="D4535" s="47"/>
      <c r="E4535" s="46"/>
      <c r="F4535" s="47"/>
      <c r="G4535" s="46"/>
      <c r="H4535" s="50"/>
      <c r="I4535" s="51"/>
    </row>
    <row r="4536" ht="22.5" customHeight="1">
      <c r="A4536" s="42"/>
      <c r="B4536" s="47"/>
      <c r="C4536" s="46"/>
      <c r="D4536" s="47"/>
      <c r="E4536" s="46"/>
      <c r="F4536" s="47"/>
      <c r="G4536" s="46"/>
      <c r="H4536" s="48"/>
      <c r="I4536" s="49"/>
    </row>
    <row r="4537" ht="22.5" customHeight="1">
      <c r="A4537" s="42"/>
      <c r="B4537" s="47"/>
      <c r="C4537" s="46"/>
      <c r="D4537" s="47"/>
      <c r="E4537" s="46"/>
      <c r="F4537" s="47"/>
      <c r="G4537" s="46"/>
      <c r="H4537" s="50"/>
      <c r="I4537" s="51"/>
    </row>
    <row r="4538" ht="22.5" customHeight="1">
      <c r="A4538" s="42"/>
      <c r="B4538" s="47"/>
      <c r="C4538" s="46"/>
      <c r="D4538" s="47"/>
      <c r="E4538" s="46"/>
      <c r="F4538" s="47"/>
      <c r="G4538" s="46"/>
      <c r="H4538" s="48"/>
      <c r="I4538" s="49"/>
    </row>
    <row r="4539" ht="22.5" customHeight="1">
      <c r="A4539" s="42"/>
      <c r="B4539" s="47"/>
      <c r="C4539" s="46"/>
      <c r="D4539" s="47"/>
      <c r="E4539" s="46"/>
      <c r="F4539" s="47"/>
      <c r="G4539" s="46"/>
      <c r="H4539" s="50"/>
      <c r="I4539" s="51"/>
    </row>
    <row r="4540" ht="22.5" customHeight="1">
      <c r="A4540" s="42"/>
      <c r="B4540" s="47"/>
      <c r="C4540" s="46"/>
      <c r="D4540" s="47"/>
      <c r="E4540" s="46"/>
      <c r="F4540" s="47"/>
      <c r="G4540" s="46"/>
      <c r="H4540" s="48"/>
      <c r="I4540" s="49"/>
    </row>
    <row r="4541" ht="22.5" customHeight="1">
      <c r="A4541" s="42"/>
      <c r="B4541" s="47"/>
      <c r="C4541" s="46"/>
      <c r="D4541" s="47"/>
      <c r="E4541" s="46"/>
      <c r="F4541" s="47"/>
      <c r="G4541" s="46"/>
      <c r="H4541" s="50"/>
      <c r="I4541" s="51"/>
    </row>
    <row r="4542" ht="22.5" customHeight="1">
      <c r="A4542" s="42"/>
      <c r="B4542" s="47"/>
      <c r="C4542" s="46"/>
      <c r="D4542" s="47"/>
      <c r="E4542" s="46"/>
      <c r="F4542" s="47"/>
      <c r="G4542" s="46"/>
      <c r="H4542" s="48"/>
      <c r="I4542" s="49"/>
    </row>
    <row r="4543" ht="22.5" customHeight="1">
      <c r="A4543" s="42"/>
      <c r="B4543" s="47"/>
      <c r="C4543" s="46"/>
      <c r="D4543" s="47"/>
      <c r="E4543" s="46"/>
      <c r="F4543" s="47"/>
      <c r="G4543" s="46"/>
      <c r="H4543" s="50"/>
      <c r="I4543" s="51"/>
    </row>
    <row r="4544" ht="22.5" customHeight="1">
      <c r="A4544" s="42"/>
      <c r="B4544" s="47"/>
      <c r="C4544" s="46"/>
      <c r="D4544" s="47"/>
      <c r="E4544" s="46"/>
      <c r="F4544" s="47"/>
      <c r="G4544" s="46"/>
      <c r="H4544" s="48"/>
      <c r="I4544" s="49"/>
    </row>
    <row r="4545" ht="22.5" customHeight="1">
      <c r="A4545" s="42"/>
      <c r="B4545" s="47"/>
      <c r="C4545" s="46"/>
      <c r="D4545" s="47"/>
      <c r="E4545" s="46"/>
      <c r="F4545" s="47"/>
      <c r="G4545" s="46"/>
      <c r="H4545" s="50"/>
      <c r="I4545" s="51"/>
    </row>
    <row r="4546" ht="22.5" customHeight="1">
      <c r="A4546" s="42"/>
      <c r="B4546" s="47"/>
      <c r="C4546" s="46"/>
      <c r="D4546" s="47"/>
      <c r="E4546" s="46"/>
      <c r="F4546" s="47"/>
      <c r="G4546" s="46"/>
      <c r="H4546" s="48"/>
      <c r="I4546" s="49"/>
    </row>
    <row r="4547" ht="22.5" customHeight="1">
      <c r="A4547" s="42"/>
      <c r="B4547" s="47"/>
      <c r="C4547" s="46"/>
      <c r="D4547" s="47"/>
      <c r="E4547" s="46"/>
      <c r="F4547" s="47"/>
      <c r="G4547" s="46"/>
      <c r="H4547" s="50"/>
      <c r="I4547" s="51"/>
    </row>
    <row r="4548" ht="22.5" customHeight="1">
      <c r="A4548" s="42"/>
      <c r="B4548" s="47"/>
      <c r="C4548" s="46"/>
      <c r="D4548" s="47"/>
      <c r="E4548" s="46"/>
      <c r="F4548" s="47"/>
      <c r="G4548" s="46"/>
      <c r="H4548" s="48"/>
      <c r="I4548" s="49"/>
    </row>
    <row r="4549" ht="22.5" customHeight="1">
      <c r="A4549" s="42"/>
      <c r="B4549" s="47"/>
      <c r="C4549" s="46"/>
      <c r="D4549" s="47"/>
      <c r="E4549" s="46"/>
      <c r="F4549" s="47"/>
      <c r="G4549" s="46"/>
      <c r="H4549" s="50"/>
      <c r="I4549" s="51"/>
    </row>
    <row r="4550" ht="22.5" customHeight="1">
      <c r="A4550" s="42"/>
      <c r="B4550" s="47"/>
      <c r="C4550" s="46"/>
      <c r="D4550" s="47"/>
      <c r="E4550" s="46"/>
      <c r="F4550" s="47"/>
      <c r="G4550" s="46"/>
      <c r="H4550" s="48"/>
      <c r="I4550" s="49"/>
    </row>
    <row r="4551" ht="22.5" customHeight="1">
      <c r="A4551" s="42"/>
      <c r="B4551" s="47"/>
      <c r="C4551" s="46"/>
      <c r="D4551" s="47"/>
      <c r="E4551" s="46"/>
      <c r="F4551" s="47"/>
      <c r="G4551" s="46"/>
      <c r="H4551" s="50"/>
      <c r="I4551" s="51"/>
    </row>
    <row r="4552" ht="22.5" customHeight="1">
      <c r="A4552" s="42"/>
      <c r="B4552" s="47"/>
      <c r="C4552" s="46"/>
      <c r="D4552" s="47"/>
      <c r="E4552" s="46"/>
      <c r="F4552" s="47"/>
      <c r="G4552" s="46"/>
      <c r="H4552" s="48"/>
      <c r="I4552" s="49"/>
    </row>
    <row r="4553" ht="22.5" customHeight="1">
      <c r="A4553" s="42"/>
      <c r="B4553" s="47"/>
      <c r="C4553" s="46"/>
      <c r="D4553" s="47"/>
      <c r="E4553" s="46"/>
      <c r="F4553" s="47"/>
      <c r="G4553" s="46"/>
      <c r="H4553" s="50"/>
      <c r="I4553" s="51"/>
    </row>
    <row r="4554" ht="22.5" customHeight="1">
      <c r="A4554" s="42"/>
      <c r="B4554" s="47"/>
      <c r="C4554" s="46"/>
      <c r="D4554" s="47"/>
      <c r="E4554" s="46"/>
      <c r="F4554" s="47"/>
      <c r="G4554" s="46"/>
      <c r="H4554" s="48"/>
      <c r="I4554" s="49"/>
    </row>
    <row r="4555" ht="22.5" customHeight="1">
      <c r="A4555" s="42"/>
      <c r="B4555" s="47"/>
      <c r="C4555" s="46"/>
      <c r="D4555" s="47"/>
      <c r="E4555" s="46"/>
      <c r="F4555" s="47"/>
      <c r="G4555" s="46"/>
      <c r="H4555" s="50"/>
      <c r="I4555" s="51"/>
    </row>
    <row r="4556" ht="22.5" customHeight="1">
      <c r="A4556" s="42"/>
      <c r="B4556" s="47"/>
      <c r="C4556" s="46"/>
      <c r="D4556" s="47"/>
      <c r="E4556" s="46"/>
      <c r="F4556" s="47"/>
      <c r="G4556" s="46"/>
      <c r="H4556" s="48"/>
      <c r="I4556" s="49"/>
    </row>
    <row r="4557" ht="22.5" customHeight="1">
      <c r="A4557" s="42"/>
      <c r="B4557" s="47"/>
      <c r="C4557" s="46"/>
      <c r="D4557" s="47"/>
      <c r="E4557" s="46"/>
      <c r="F4557" s="47"/>
      <c r="G4557" s="46"/>
      <c r="H4557" s="50"/>
      <c r="I4557" s="51"/>
    </row>
    <row r="4558" ht="22.5" customHeight="1">
      <c r="A4558" s="42"/>
      <c r="B4558" s="47"/>
      <c r="C4558" s="46"/>
      <c r="D4558" s="47"/>
      <c r="E4558" s="46"/>
      <c r="F4558" s="47"/>
      <c r="G4558" s="46"/>
      <c r="H4558" s="48"/>
      <c r="I4558" s="49"/>
    </row>
    <row r="4559" ht="22.5" customHeight="1">
      <c r="A4559" s="42"/>
      <c r="B4559" s="47"/>
      <c r="C4559" s="46"/>
      <c r="D4559" s="47"/>
      <c r="E4559" s="46"/>
      <c r="F4559" s="47"/>
      <c r="G4559" s="46"/>
      <c r="H4559" s="50"/>
      <c r="I4559" s="51"/>
    </row>
    <row r="4560" ht="22.5" customHeight="1">
      <c r="A4560" s="42"/>
      <c r="B4560" s="47"/>
      <c r="C4560" s="46"/>
      <c r="D4560" s="47"/>
      <c r="E4560" s="46"/>
      <c r="F4560" s="47"/>
      <c r="G4560" s="46"/>
      <c r="H4560" s="48"/>
      <c r="I4560" s="49"/>
    </row>
    <row r="4561" ht="22.5" customHeight="1">
      <c r="A4561" s="42"/>
      <c r="B4561" s="47"/>
      <c r="C4561" s="46"/>
      <c r="D4561" s="47"/>
      <c r="E4561" s="46"/>
      <c r="F4561" s="47"/>
      <c r="G4561" s="46"/>
      <c r="H4561" s="50"/>
      <c r="I4561" s="51"/>
    </row>
    <row r="4562" ht="22.5" customHeight="1">
      <c r="A4562" s="42"/>
      <c r="B4562" s="47"/>
      <c r="C4562" s="46"/>
      <c r="D4562" s="47"/>
      <c r="E4562" s="46"/>
      <c r="F4562" s="47"/>
      <c r="G4562" s="46"/>
      <c r="H4562" s="48"/>
      <c r="I4562" s="49"/>
    </row>
    <row r="4563" ht="22.5" customHeight="1">
      <c r="A4563" s="42"/>
      <c r="B4563" s="47"/>
      <c r="C4563" s="46"/>
      <c r="D4563" s="47"/>
      <c r="E4563" s="46"/>
      <c r="F4563" s="47"/>
      <c r="G4563" s="46"/>
      <c r="H4563" s="50"/>
      <c r="I4563" s="51"/>
    </row>
    <row r="4564" ht="22.5" customHeight="1">
      <c r="A4564" s="42"/>
      <c r="B4564" s="47"/>
      <c r="C4564" s="46"/>
      <c r="D4564" s="47"/>
      <c r="E4564" s="46"/>
      <c r="F4564" s="47"/>
      <c r="G4564" s="46"/>
      <c r="H4564" s="48"/>
      <c r="I4564" s="49"/>
    </row>
    <row r="4565" ht="22.5" customHeight="1">
      <c r="A4565" s="42"/>
      <c r="B4565" s="47"/>
      <c r="C4565" s="46"/>
      <c r="D4565" s="47"/>
      <c r="E4565" s="46"/>
      <c r="F4565" s="47"/>
      <c r="G4565" s="46"/>
      <c r="H4565" s="50"/>
      <c r="I4565" s="51"/>
    </row>
    <row r="4566" ht="22.5" customHeight="1">
      <c r="A4566" s="42"/>
      <c r="B4566" s="47"/>
      <c r="C4566" s="46"/>
      <c r="D4566" s="47"/>
      <c r="E4566" s="46"/>
      <c r="F4566" s="47"/>
      <c r="G4566" s="46"/>
      <c r="H4566" s="48"/>
      <c r="I4566" s="49"/>
    </row>
    <row r="4567" ht="22.5" customHeight="1">
      <c r="A4567" s="42"/>
      <c r="B4567" s="47"/>
      <c r="C4567" s="46"/>
      <c r="D4567" s="47"/>
      <c r="E4567" s="46"/>
      <c r="F4567" s="47"/>
      <c r="G4567" s="46"/>
      <c r="H4567" s="50"/>
      <c r="I4567" s="51"/>
    </row>
    <row r="4568" ht="22.5" customHeight="1">
      <c r="A4568" s="42"/>
      <c r="B4568" s="47"/>
      <c r="C4568" s="46"/>
      <c r="D4568" s="47"/>
      <c r="E4568" s="46"/>
      <c r="F4568" s="47"/>
      <c r="G4568" s="46"/>
      <c r="H4568" s="48"/>
      <c r="I4568" s="49"/>
    </row>
    <row r="4569" ht="22.5" customHeight="1">
      <c r="A4569" s="42"/>
      <c r="B4569" s="47"/>
      <c r="C4569" s="46"/>
      <c r="D4569" s="47"/>
      <c r="E4569" s="46"/>
      <c r="F4569" s="47"/>
      <c r="G4569" s="46"/>
      <c r="H4569" s="50"/>
      <c r="I4569" s="51"/>
    </row>
    <row r="4570" ht="22.5" customHeight="1">
      <c r="A4570" s="42"/>
      <c r="B4570" s="47"/>
      <c r="C4570" s="46"/>
      <c r="D4570" s="47"/>
      <c r="E4570" s="46"/>
      <c r="F4570" s="47"/>
      <c r="G4570" s="46"/>
      <c r="H4570" s="48"/>
      <c r="I4570" s="49"/>
    </row>
    <row r="4571" ht="22.5" customHeight="1">
      <c r="A4571" s="42"/>
      <c r="B4571" s="47"/>
      <c r="C4571" s="46"/>
      <c r="D4571" s="47"/>
      <c r="E4571" s="46"/>
      <c r="F4571" s="47"/>
      <c r="G4571" s="46"/>
      <c r="H4571" s="50"/>
      <c r="I4571" s="51"/>
    </row>
    <row r="4572" ht="22.5" customHeight="1">
      <c r="A4572" s="42"/>
      <c r="B4572" s="47"/>
      <c r="C4572" s="46"/>
      <c r="D4572" s="47"/>
      <c r="E4572" s="46"/>
      <c r="F4572" s="47"/>
      <c r="G4572" s="46"/>
      <c r="H4572" s="48"/>
      <c r="I4572" s="49"/>
    </row>
    <row r="4573" ht="22.5" customHeight="1">
      <c r="A4573" s="42"/>
      <c r="B4573" s="47"/>
      <c r="C4573" s="46"/>
      <c r="D4573" s="47"/>
      <c r="E4573" s="46"/>
      <c r="F4573" s="47"/>
      <c r="G4573" s="46"/>
      <c r="H4573" s="50"/>
      <c r="I4573" s="51"/>
    </row>
    <row r="4574" ht="22.5" customHeight="1">
      <c r="A4574" s="42"/>
      <c r="B4574" s="47"/>
      <c r="C4574" s="46"/>
      <c r="D4574" s="47"/>
      <c r="E4574" s="46"/>
      <c r="F4574" s="47"/>
      <c r="G4574" s="46"/>
      <c r="H4574" s="48"/>
      <c r="I4574" s="49"/>
    </row>
    <row r="4575" ht="22.5" customHeight="1">
      <c r="A4575" s="42"/>
      <c r="B4575" s="47"/>
      <c r="C4575" s="46"/>
      <c r="D4575" s="47"/>
      <c r="E4575" s="46"/>
      <c r="F4575" s="47"/>
      <c r="G4575" s="46"/>
      <c r="H4575" s="50"/>
      <c r="I4575" s="51"/>
    </row>
    <row r="4576" ht="22.5" customHeight="1">
      <c r="A4576" s="42"/>
      <c r="B4576" s="47"/>
      <c r="C4576" s="46"/>
      <c r="D4576" s="47"/>
      <c r="E4576" s="46"/>
      <c r="F4576" s="47"/>
      <c r="G4576" s="46"/>
      <c r="H4576" s="48"/>
      <c r="I4576" s="49"/>
    </row>
    <row r="4577" ht="22.5" customHeight="1">
      <c r="A4577" s="42"/>
      <c r="B4577" s="47"/>
      <c r="C4577" s="46"/>
      <c r="D4577" s="47"/>
      <c r="E4577" s="46"/>
      <c r="F4577" s="47"/>
      <c r="G4577" s="46"/>
      <c r="H4577" s="50"/>
      <c r="I4577" s="51"/>
    </row>
    <row r="4578" ht="22.5" customHeight="1">
      <c r="A4578" s="42"/>
      <c r="B4578" s="47"/>
      <c r="C4578" s="46"/>
      <c r="D4578" s="47"/>
      <c r="E4578" s="46"/>
      <c r="F4578" s="47"/>
      <c r="G4578" s="46"/>
      <c r="H4578" s="48"/>
      <c r="I4578" s="49"/>
    </row>
    <row r="4579" ht="22.5" customHeight="1">
      <c r="A4579" s="42"/>
      <c r="B4579" s="47"/>
      <c r="C4579" s="46"/>
      <c r="D4579" s="47"/>
      <c r="E4579" s="46"/>
      <c r="F4579" s="47"/>
      <c r="G4579" s="46"/>
      <c r="H4579" s="50"/>
      <c r="I4579" s="51"/>
    </row>
    <row r="4580" ht="22.5" customHeight="1">
      <c r="A4580" s="42"/>
      <c r="B4580" s="47"/>
      <c r="C4580" s="46"/>
      <c r="D4580" s="47"/>
      <c r="E4580" s="46"/>
      <c r="F4580" s="47"/>
      <c r="G4580" s="46"/>
      <c r="H4580" s="48"/>
      <c r="I4580" s="49"/>
    </row>
    <row r="4581" ht="22.5" customHeight="1">
      <c r="A4581" s="42"/>
      <c r="B4581" s="47"/>
      <c r="C4581" s="46"/>
      <c r="D4581" s="47"/>
      <c r="E4581" s="46"/>
      <c r="F4581" s="47"/>
      <c r="G4581" s="46"/>
      <c r="H4581" s="50"/>
      <c r="I4581" s="51"/>
    </row>
    <row r="4582" ht="22.5" customHeight="1">
      <c r="A4582" s="42"/>
      <c r="B4582" s="47"/>
      <c r="C4582" s="46"/>
      <c r="D4582" s="47"/>
      <c r="E4582" s="46"/>
      <c r="F4582" s="47"/>
      <c r="G4582" s="46"/>
      <c r="H4582" s="48"/>
      <c r="I4582" s="49"/>
    </row>
    <row r="4583" ht="22.5" customHeight="1">
      <c r="A4583" s="42"/>
      <c r="B4583" s="47"/>
      <c r="C4583" s="46"/>
      <c r="D4583" s="47"/>
      <c r="E4583" s="46"/>
      <c r="F4583" s="47"/>
      <c r="G4583" s="46"/>
      <c r="H4583" s="50"/>
      <c r="I4583" s="51"/>
    </row>
    <row r="4584" ht="22.5" customHeight="1">
      <c r="A4584" s="42"/>
      <c r="B4584" s="47"/>
      <c r="C4584" s="46"/>
      <c r="D4584" s="47"/>
      <c r="E4584" s="46"/>
      <c r="F4584" s="47"/>
      <c r="G4584" s="46"/>
      <c r="H4584" s="48"/>
      <c r="I4584" s="49"/>
    </row>
    <row r="4585" ht="22.5" customHeight="1">
      <c r="A4585" s="42"/>
      <c r="B4585" s="47"/>
      <c r="C4585" s="46"/>
      <c r="D4585" s="47"/>
      <c r="E4585" s="46"/>
      <c r="F4585" s="47"/>
      <c r="G4585" s="46"/>
      <c r="H4585" s="50"/>
      <c r="I4585" s="51"/>
    </row>
    <row r="4586" ht="22.5" customHeight="1">
      <c r="A4586" s="42"/>
      <c r="B4586" s="47"/>
      <c r="C4586" s="46"/>
      <c r="D4586" s="47"/>
      <c r="E4586" s="46"/>
      <c r="F4586" s="47"/>
      <c r="G4586" s="46"/>
      <c r="H4586" s="48"/>
      <c r="I4586" s="49"/>
    </row>
    <row r="4587" ht="22.5" customHeight="1">
      <c r="A4587" s="42"/>
      <c r="B4587" s="47"/>
      <c r="C4587" s="46"/>
      <c r="D4587" s="47"/>
      <c r="E4587" s="46"/>
      <c r="F4587" s="47"/>
      <c r="G4587" s="46"/>
      <c r="H4587" s="50"/>
      <c r="I4587" s="51"/>
    </row>
    <row r="4588" ht="22.5" customHeight="1">
      <c r="A4588" s="42"/>
      <c r="B4588" s="47"/>
      <c r="C4588" s="46"/>
      <c r="D4588" s="47"/>
      <c r="E4588" s="46"/>
      <c r="F4588" s="47"/>
      <c r="G4588" s="46"/>
      <c r="H4588" s="48"/>
      <c r="I4588" s="49"/>
    </row>
    <row r="4589" ht="22.5" customHeight="1">
      <c r="A4589" s="42"/>
      <c r="B4589" s="47"/>
      <c r="C4589" s="46"/>
      <c r="D4589" s="47"/>
      <c r="E4589" s="46"/>
      <c r="F4589" s="47"/>
      <c r="G4589" s="46"/>
      <c r="H4589" s="50"/>
      <c r="I4589" s="51"/>
    </row>
    <row r="4590" ht="22.5" customHeight="1">
      <c r="A4590" s="42"/>
      <c r="B4590" s="47"/>
      <c r="C4590" s="46"/>
      <c r="D4590" s="47"/>
      <c r="E4590" s="46"/>
      <c r="F4590" s="47"/>
      <c r="G4590" s="46"/>
      <c r="H4590" s="48"/>
      <c r="I4590" s="49"/>
    </row>
    <row r="4591" ht="22.5" customHeight="1">
      <c r="A4591" s="42"/>
      <c r="B4591" s="47"/>
      <c r="C4591" s="46"/>
      <c r="D4591" s="47"/>
      <c r="E4591" s="46"/>
      <c r="F4591" s="47"/>
      <c r="G4591" s="46"/>
      <c r="H4591" s="50"/>
      <c r="I4591" s="51"/>
    </row>
    <row r="4592" ht="22.5" customHeight="1">
      <c r="A4592" s="42"/>
      <c r="B4592" s="47"/>
      <c r="C4592" s="46"/>
      <c r="D4592" s="47"/>
      <c r="E4592" s="46"/>
      <c r="F4592" s="47"/>
      <c r="G4592" s="46"/>
      <c r="H4592" s="48"/>
      <c r="I4592" s="49"/>
    </row>
    <row r="4593" ht="22.5" customHeight="1">
      <c r="A4593" s="42"/>
      <c r="B4593" s="47"/>
      <c r="C4593" s="46"/>
      <c r="D4593" s="47"/>
      <c r="E4593" s="46"/>
      <c r="F4593" s="47"/>
      <c r="G4593" s="46"/>
      <c r="H4593" s="50"/>
      <c r="I4593" s="51"/>
    </row>
    <row r="4594" ht="22.5" customHeight="1">
      <c r="A4594" s="42"/>
      <c r="B4594" s="47"/>
      <c r="C4594" s="46"/>
      <c r="D4594" s="47"/>
      <c r="E4594" s="46"/>
      <c r="F4594" s="47"/>
      <c r="G4594" s="46"/>
      <c r="H4594" s="48"/>
      <c r="I4594" s="49"/>
    </row>
    <row r="4595" ht="22.5" customHeight="1">
      <c r="A4595" s="42"/>
      <c r="B4595" s="47"/>
      <c r="C4595" s="46"/>
      <c r="D4595" s="47"/>
      <c r="E4595" s="46"/>
      <c r="F4595" s="47"/>
      <c r="G4595" s="46"/>
      <c r="H4595" s="50"/>
      <c r="I4595" s="51"/>
    </row>
    <row r="4596" ht="22.5" customHeight="1">
      <c r="A4596" s="42"/>
      <c r="B4596" s="47"/>
      <c r="C4596" s="46"/>
      <c r="D4596" s="47"/>
      <c r="E4596" s="46"/>
      <c r="F4596" s="47"/>
      <c r="G4596" s="46"/>
      <c r="H4596" s="48"/>
      <c r="I4596" s="49"/>
    </row>
    <row r="4597" ht="22.5" customHeight="1">
      <c r="A4597" s="42"/>
      <c r="B4597" s="47"/>
      <c r="C4597" s="46"/>
      <c r="D4597" s="47"/>
      <c r="E4597" s="46"/>
      <c r="F4597" s="47"/>
      <c r="G4597" s="46"/>
      <c r="H4597" s="50"/>
      <c r="I4597" s="51"/>
    </row>
    <row r="4598" ht="22.5" customHeight="1">
      <c r="A4598" s="42"/>
      <c r="B4598" s="47"/>
      <c r="C4598" s="46"/>
      <c r="D4598" s="47"/>
      <c r="E4598" s="46"/>
      <c r="F4598" s="47"/>
      <c r="G4598" s="46"/>
      <c r="H4598" s="48"/>
      <c r="I4598" s="49"/>
    </row>
    <row r="4599" ht="22.5" customHeight="1">
      <c r="A4599" s="42"/>
      <c r="B4599" s="47"/>
      <c r="C4599" s="46"/>
      <c r="D4599" s="47"/>
      <c r="E4599" s="46"/>
      <c r="F4599" s="47"/>
      <c r="G4599" s="46"/>
      <c r="H4599" s="50"/>
      <c r="I4599" s="51"/>
    </row>
    <row r="4600" ht="22.5" customHeight="1">
      <c r="A4600" s="42"/>
      <c r="B4600" s="47"/>
      <c r="C4600" s="46"/>
      <c r="D4600" s="47"/>
      <c r="E4600" s="46"/>
      <c r="F4600" s="47"/>
      <c r="G4600" s="46"/>
      <c r="H4600" s="48"/>
      <c r="I4600" s="49"/>
    </row>
    <row r="4601" ht="22.5" customHeight="1">
      <c r="A4601" s="42"/>
      <c r="B4601" s="47"/>
      <c r="C4601" s="46"/>
      <c r="D4601" s="47"/>
      <c r="E4601" s="46"/>
      <c r="F4601" s="47"/>
      <c r="G4601" s="46"/>
      <c r="H4601" s="50"/>
      <c r="I4601" s="51"/>
    </row>
    <row r="4602" ht="22.5" customHeight="1">
      <c r="A4602" s="42"/>
      <c r="B4602" s="47"/>
      <c r="C4602" s="46"/>
      <c r="D4602" s="47"/>
      <c r="E4602" s="46"/>
      <c r="F4602" s="47"/>
      <c r="G4602" s="46"/>
      <c r="H4602" s="48"/>
      <c r="I4602" s="49"/>
    </row>
    <row r="4603" ht="22.5" customHeight="1">
      <c r="A4603" s="42"/>
      <c r="B4603" s="47"/>
      <c r="C4603" s="46"/>
      <c r="D4603" s="47"/>
      <c r="E4603" s="46"/>
      <c r="F4603" s="47"/>
      <c r="G4603" s="46"/>
      <c r="H4603" s="50"/>
      <c r="I4603" s="51"/>
    </row>
    <row r="4604" ht="22.5" customHeight="1">
      <c r="A4604" s="42"/>
      <c r="B4604" s="47"/>
      <c r="C4604" s="46"/>
      <c r="D4604" s="47"/>
      <c r="E4604" s="46"/>
      <c r="F4604" s="47"/>
      <c r="G4604" s="46"/>
      <c r="H4604" s="48"/>
      <c r="I4604" s="49"/>
    </row>
    <row r="4605" ht="22.5" customHeight="1">
      <c r="A4605" s="42"/>
      <c r="B4605" s="47"/>
      <c r="C4605" s="46"/>
      <c r="D4605" s="47"/>
      <c r="E4605" s="46"/>
      <c r="F4605" s="47"/>
      <c r="G4605" s="46"/>
      <c r="H4605" s="50"/>
      <c r="I4605" s="51"/>
    </row>
    <row r="4606" ht="22.5" customHeight="1">
      <c r="A4606" s="42"/>
      <c r="B4606" s="47"/>
      <c r="C4606" s="46"/>
      <c r="D4606" s="47"/>
      <c r="E4606" s="46"/>
      <c r="F4606" s="47"/>
      <c r="G4606" s="46"/>
      <c r="H4606" s="48"/>
      <c r="I4606" s="49"/>
    </row>
    <row r="4607" ht="22.5" customHeight="1">
      <c r="A4607" s="42"/>
      <c r="B4607" s="47"/>
      <c r="C4607" s="46"/>
      <c r="D4607" s="47"/>
      <c r="E4607" s="46"/>
      <c r="F4607" s="47"/>
      <c r="G4607" s="46"/>
      <c r="H4607" s="50"/>
      <c r="I4607" s="51"/>
    </row>
    <row r="4608" ht="22.5" customHeight="1">
      <c r="A4608" s="42"/>
      <c r="B4608" s="47"/>
      <c r="C4608" s="46"/>
      <c r="D4608" s="47"/>
      <c r="E4608" s="46"/>
      <c r="F4608" s="47"/>
      <c r="G4608" s="46"/>
      <c r="H4608" s="48"/>
      <c r="I4608" s="49"/>
    </row>
    <row r="4609" ht="22.5" customHeight="1">
      <c r="A4609" s="42"/>
      <c r="B4609" s="47"/>
      <c r="C4609" s="46"/>
      <c r="D4609" s="47"/>
      <c r="E4609" s="46"/>
      <c r="F4609" s="47"/>
      <c r="G4609" s="46"/>
      <c r="H4609" s="50"/>
      <c r="I4609" s="51"/>
    </row>
    <row r="4610" ht="22.5" customHeight="1">
      <c r="A4610" s="42"/>
      <c r="B4610" s="47"/>
      <c r="C4610" s="46"/>
      <c r="D4610" s="47"/>
      <c r="E4610" s="46"/>
      <c r="F4610" s="47"/>
      <c r="G4610" s="46"/>
      <c r="H4610" s="48"/>
      <c r="I4610" s="49"/>
    </row>
    <row r="4611" ht="22.5" customHeight="1">
      <c r="A4611" s="42"/>
      <c r="B4611" s="47"/>
      <c r="C4611" s="46"/>
      <c r="D4611" s="47"/>
      <c r="E4611" s="46"/>
      <c r="F4611" s="47"/>
      <c r="G4611" s="46"/>
      <c r="H4611" s="50"/>
      <c r="I4611" s="51"/>
    </row>
    <row r="4612" ht="22.5" customHeight="1">
      <c r="A4612" s="42"/>
      <c r="B4612" s="47"/>
      <c r="C4612" s="46"/>
      <c r="D4612" s="47"/>
      <c r="E4612" s="46"/>
      <c r="F4612" s="47"/>
      <c r="G4612" s="46"/>
      <c r="H4612" s="48"/>
      <c r="I4612" s="49"/>
    </row>
    <row r="4613" ht="22.5" customHeight="1">
      <c r="A4613" s="42"/>
      <c r="B4613" s="47"/>
      <c r="C4613" s="46"/>
      <c r="D4613" s="47"/>
      <c r="E4613" s="46"/>
      <c r="F4613" s="47"/>
      <c r="G4613" s="46"/>
      <c r="H4613" s="50"/>
      <c r="I4613" s="51"/>
    </row>
    <row r="4614" ht="22.5" customHeight="1">
      <c r="A4614" s="42"/>
      <c r="B4614" s="47"/>
      <c r="C4614" s="46"/>
      <c r="D4614" s="47"/>
      <c r="E4614" s="46"/>
      <c r="F4614" s="47"/>
      <c r="G4614" s="46"/>
      <c r="H4614" s="48"/>
      <c r="I4614" s="49"/>
    </row>
    <row r="4615" ht="22.5" customHeight="1">
      <c r="A4615" s="42"/>
      <c r="B4615" s="47"/>
      <c r="C4615" s="46"/>
      <c r="D4615" s="47"/>
      <c r="E4615" s="46"/>
      <c r="F4615" s="47"/>
      <c r="G4615" s="46"/>
      <c r="H4615" s="50"/>
      <c r="I4615" s="51"/>
    </row>
    <row r="4616" ht="22.5" customHeight="1">
      <c r="A4616" s="42"/>
      <c r="B4616" s="47"/>
      <c r="C4616" s="46"/>
      <c r="D4616" s="47"/>
      <c r="E4616" s="46"/>
      <c r="F4616" s="47"/>
      <c r="G4616" s="46"/>
      <c r="H4616" s="48"/>
      <c r="I4616" s="49"/>
    </row>
    <row r="4617" ht="22.5" customHeight="1">
      <c r="A4617" s="42"/>
      <c r="B4617" s="47"/>
      <c r="C4617" s="46"/>
      <c r="D4617" s="47"/>
      <c r="E4617" s="46"/>
      <c r="F4617" s="47"/>
      <c r="G4617" s="46"/>
      <c r="H4617" s="50"/>
      <c r="I4617" s="51"/>
    </row>
    <row r="4618" ht="22.5" customHeight="1">
      <c r="A4618" s="42"/>
      <c r="B4618" s="47"/>
      <c r="C4618" s="46"/>
      <c r="D4618" s="47"/>
      <c r="E4618" s="46"/>
      <c r="F4618" s="47"/>
      <c r="G4618" s="46"/>
      <c r="H4618" s="48"/>
      <c r="I4618" s="49"/>
    </row>
    <row r="4619" ht="22.5" customHeight="1">
      <c r="A4619" s="42"/>
      <c r="B4619" s="47"/>
      <c r="C4619" s="46"/>
      <c r="D4619" s="47"/>
      <c r="E4619" s="46"/>
      <c r="F4619" s="47"/>
      <c r="G4619" s="46"/>
      <c r="H4619" s="50"/>
      <c r="I4619" s="51"/>
    </row>
    <row r="4620" ht="22.5" customHeight="1">
      <c r="A4620" s="42"/>
      <c r="B4620" s="47"/>
      <c r="C4620" s="46"/>
      <c r="D4620" s="47"/>
      <c r="E4620" s="46"/>
      <c r="F4620" s="47"/>
      <c r="G4620" s="46"/>
      <c r="H4620" s="48"/>
      <c r="I4620" s="49"/>
    </row>
    <row r="4621" ht="22.5" customHeight="1">
      <c r="A4621" s="42"/>
      <c r="B4621" s="47"/>
      <c r="C4621" s="46"/>
      <c r="D4621" s="47"/>
      <c r="E4621" s="46"/>
      <c r="F4621" s="47"/>
      <c r="G4621" s="46"/>
      <c r="H4621" s="50"/>
      <c r="I4621" s="51"/>
    </row>
    <row r="4622" ht="22.5" customHeight="1">
      <c r="A4622" s="42"/>
      <c r="B4622" s="47"/>
      <c r="C4622" s="46"/>
      <c r="D4622" s="47"/>
      <c r="E4622" s="46"/>
      <c r="F4622" s="47"/>
      <c r="G4622" s="46"/>
      <c r="H4622" s="48"/>
      <c r="I4622" s="49"/>
    </row>
    <row r="4623" ht="22.5" customHeight="1">
      <c r="A4623" s="42"/>
      <c r="B4623" s="47"/>
      <c r="C4623" s="46"/>
      <c r="D4623" s="47"/>
      <c r="E4623" s="46"/>
      <c r="F4623" s="47"/>
      <c r="G4623" s="46"/>
      <c r="H4623" s="50"/>
      <c r="I4623" s="51"/>
    </row>
    <row r="4624" ht="22.5" customHeight="1">
      <c r="A4624" s="42"/>
      <c r="B4624" s="47"/>
      <c r="C4624" s="46"/>
      <c r="D4624" s="47"/>
      <c r="E4624" s="46"/>
      <c r="F4624" s="47"/>
      <c r="G4624" s="46"/>
      <c r="H4624" s="48"/>
      <c r="I4624" s="49"/>
    </row>
    <row r="4625" ht="22.5" customHeight="1">
      <c r="A4625" s="42"/>
      <c r="B4625" s="47"/>
      <c r="C4625" s="46"/>
      <c r="D4625" s="47"/>
      <c r="E4625" s="46"/>
      <c r="F4625" s="47"/>
      <c r="G4625" s="46"/>
      <c r="H4625" s="50"/>
      <c r="I4625" s="51"/>
    </row>
    <row r="4626" ht="22.5" customHeight="1">
      <c r="A4626" s="42"/>
      <c r="B4626" s="47"/>
      <c r="C4626" s="46"/>
      <c r="D4626" s="47"/>
      <c r="E4626" s="46"/>
      <c r="F4626" s="47"/>
      <c r="G4626" s="46"/>
      <c r="H4626" s="48"/>
      <c r="I4626" s="49"/>
    </row>
    <row r="4627" ht="22.5" customHeight="1">
      <c r="A4627" s="42"/>
      <c r="B4627" s="47"/>
      <c r="C4627" s="46"/>
      <c r="D4627" s="47"/>
      <c r="E4627" s="46"/>
      <c r="F4627" s="47"/>
      <c r="G4627" s="46"/>
      <c r="H4627" s="50"/>
      <c r="I4627" s="51"/>
    </row>
    <row r="4628" ht="22.5" customHeight="1">
      <c r="A4628" s="42"/>
      <c r="B4628" s="47"/>
      <c r="C4628" s="46"/>
      <c r="D4628" s="47"/>
      <c r="E4628" s="46"/>
      <c r="F4628" s="47"/>
      <c r="G4628" s="46"/>
      <c r="H4628" s="48"/>
      <c r="I4628" s="49"/>
    </row>
    <row r="4629" ht="22.5" customHeight="1">
      <c r="A4629" s="42"/>
      <c r="B4629" s="47"/>
      <c r="C4629" s="46"/>
      <c r="D4629" s="47"/>
      <c r="E4629" s="46"/>
      <c r="F4629" s="47"/>
      <c r="G4629" s="46"/>
      <c r="H4629" s="50"/>
      <c r="I4629" s="51"/>
    </row>
    <row r="4630" ht="22.5" customHeight="1">
      <c r="A4630" s="42"/>
      <c r="B4630" s="47"/>
      <c r="C4630" s="46"/>
      <c r="D4630" s="47"/>
      <c r="E4630" s="46"/>
      <c r="F4630" s="47"/>
      <c r="G4630" s="46"/>
      <c r="H4630" s="48"/>
      <c r="I4630" s="49"/>
    </row>
    <row r="4631" ht="22.5" customHeight="1">
      <c r="A4631" s="42"/>
      <c r="B4631" s="47"/>
      <c r="C4631" s="46"/>
      <c r="D4631" s="47"/>
      <c r="E4631" s="46"/>
      <c r="F4631" s="47"/>
      <c r="G4631" s="46"/>
      <c r="H4631" s="50"/>
      <c r="I4631" s="51"/>
    </row>
    <row r="4632" ht="22.5" customHeight="1">
      <c r="A4632" s="42"/>
      <c r="B4632" s="47"/>
      <c r="C4632" s="46"/>
      <c r="D4632" s="47"/>
      <c r="E4632" s="46"/>
      <c r="F4632" s="47"/>
      <c r="G4632" s="46"/>
      <c r="H4632" s="48"/>
      <c r="I4632" s="49"/>
    </row>
    <row r="4633" ht="22.5" customHeight="1">
      <c r="A4633" s="42"/>
      <c r="B4633" s="47"/>
      <c r="C4633" s="46"/>
      <c r="D4633" s="47"/>
      <c r="E4633" s="46"/>
      <c r="F4633" s="47"/>
      <c r="G4633" s="46"/>
      <c r="H4633" s="50"/>
      <c r="I4633" s="51"/>
    </row>
    <row r="4634" ht="22.5" customHeight="1">
      <c r="A4634" s="42"/>
      <c r="B4634" s="47"/>
      <c r="C4634" s="46"/>
      <c r="D4634" s="47"/>
      <c r="E4634" s="46"/>
      <c r="F4634" s="47"/>
      <c r="G4634" s="46"/>
      <c r="H4634" s="48"/>
      <c r="I4634" s="49"/>
    </row>
    <row r="4635" ht="22.5" customHeight="1">
      <c r="A4635" s="42"/>
      <c r="B4635" s="47"/>
      <c r="C4635" s="46"/>
      <c r="D4635" s="47"/>
      <c r="E4635" s="46"/>
      <c r="F4635" s="47"/>
      <c r="G4635" s="46"/>
      <c r="H4635" s="50"/>
      <c r="I4635" s="51"/>
    </row>
    <row r="4636" ht="22.5" customHeight="1">
      <c r="A4636" s="42"/>
      <c r="B4636" s="47"/>
      <c r="C4636" s="46"/>
      <c r="D4636" s="47"/>
      <c r="E4636" s="46"/>
      <c r="F4636" s="47"/>
      <c r="G4636" s="46"/>
      <c r="H4636" s="48"/>
      <c r="I4636" s="49"/>
    </row>
    <row r="4637" ht="22.5" customHeight="1">
      <c r="A4637" s="42"/>
      <c r="B4637" s="47"/>
      <c r="C4637" s="46"/>
      <c r="D4637" s="47"/>
      <c r="E4637" s="46"/>
      <c r="F4637" s="47"/>
      <c r="G4637" s="46"/>
      <c r="H4637" s="50"/>
      <c r="I4637" s="51"/>
    </row>
    <row r="4638" ht="22.5" customHeight="1">
      <c r="A4638" s="42"/>
      <c r="B4638" s="47"/>
      <c r="C4638" s="46"/>
      <c r="D4638" s="47"/>
      <c r="E4638" s="46"/>
      <c r="F4638" s="47"/>
      <c r="G4638" s="46"/>
      <c r="H4638" s="48"/>
      <c r="I4638" s="49"/>
    </row>
    <row r="4639" ht="22.5" customHeight="1">
      <c r="A4639" s="42"/>
      <c r="B4639" s="47"/>
      <c r="C4639" s="46"/>
      <c r="D4639" s="47"/>
      <c r="E4639" s="46"/>
      <c r="F4639" s="47"/>
      <c r="G4639" s="46"/>
      <c r="H4639" s="50"/>
      <c r="I4639" s="51"/>
    </row>
    <row r="4640" ht="22.5" customHeight="1">
      <c r="A4640" s="42"/>
      <c r="B4640" s="47"/>
      <c r="C4640" s="46"/>
      <c r="D4640" s="47"/>
      <c r="E4640" s="46"/>
      <c r="F4640" s="47"/>
      <c r="G4640" s="46"/>
      <c r="H4640" s="48"/>
      <c r="I4640" s="49"/>
    </row>
    <row r="4641" ht="22.5" customHeight="1">
      <c r="A4641" s="42"/>
      <c r="B4641" s="47"/>
      <c r="C4641" s="46"/>
      <c r="D4641" s="47"/>
      <c r="E4641" s="46"/>
      <c r="F4641" s="47"/>
      <c r="G4641" s="46"/>
      <c r="H4641" s="50"/>
      <c r="I4641" s="51"/>
    </row>
    <row r="4642" ht="22.5" customHeight="1">
      <c r="A4642" s="42"/>
      <c r="B4642" s="47"/>
      <c r="C4642" s="46"/>
      <c r="D4642" s="47"/>
      <c r="E4642" s="46"/>
      <c r="F4642" s="47"/>
      <c r="G4642" s="46"/>
      <c r="H4642" s="48"/>
      <c r="I4642" s="49"/>
    </row>
    <row r="4643" ht="22.5" customHeight="1">
      <c r="A4643" s="42"/>
      <c r="B4643" s="47"/>
      <c r="C4643" s="46"/>
      <c r="D4643" s="47"/>
      <c r="E4643" s="46"/>
      <c r="F4643" s="47"/>
      <c r="G4643" s="46"/>
      <c r="H4643" s="50"/>
      <c r="I4643" s="51"/>
    </row>
    <row r="4644" ht="22.5" customHeight="1">
      <c r="A4644" s="42"/>
      <c r="B4644" s="47"/>
      <c r="C4644" s="46"/>
      <c r="D4644" s="47"/>
      <c r="E4644" s="46"/>
      <c r="F4644" s="47"/>
      <c r="G4644" s="46"/>
      <c r="H4644" s="48"/>
      <c r="I4644" s="49"/>
    </row>
    <row r="4645" ht="22.5" customHeight="1">
      <c r="A4645" s="42"/>
      <c r="B4645" s="47"/>
      <c r="C4645" s="46"/>
      <c r="D4645" s="47"/>
      <c r="E4645" s="46"/>
      <c r="F4645" s="47"/>
      <c r="G4645" s="46"/>
      <c r="H4645" s="50"/>
      <c r="I4645" s="51"/>
    </row>
    <row r="4646" ht="22.5" customHeight="1">
      <c r="A4646" s="42"/>
      <c r="B4646" s="47"/>
      <c r="C4646" s="46"/>
      <c r="D4646" s="47"/>
      <c r="E4646" s="46"/>
      <c r="F4646" s="47"/>
      <c r="G4646" s="46"/>
      <c r="H4646" s="48"/>
      <c r="I4646" s="49"/>
    </row>
    <row r="4647" ht="22.5" customHeight="1">
      <c r="A4647" s="42"/>
      <c r="B4647" s="47"/>
      <c r="C4647" s="46"/>
      <c r="D4647" s="47"/>
      <c r="E4647" s="46"/>
      <c r="F4647" s="47"/>
      <c r="G4647" s="46"/>
      <c r="H4647" s="50"/>
      <c r="I4647" s="51"/>
    </row>
    <row r="4648" ht="22.5" customHeight="1">
      <c r="A4648" s="42"/>
      <c r="B4648" s="47"/>
      <c r="C4648" s="46"/>
      <c r="D4648" s="47"/>
      <c r="E4648" s="46"/>
      <c r="F4648" s="47"/>
      <c r="G4648" s="46"/>
      <c r="H4648" s="48"/>
      <c r="I4648" s="49"/>
    </row>
    <row r="4649" ht="22.5" customHeight="1">
      <c r="A4649" s="42"/>
      <c r="B4649" s="47"/>
      <c r="C4649" s="46"/>
      <c r="D4649" s="47"/>
      <c r="E4649" s="46"/>
      <c r="F4649" s="47"/>
      <c r="G4649" s="46"/>
      <c r="H4649" s="50"/>
      <c r="I4649" s="51"/>
    </row>
    <row r="4650" ht="22.5" customHeight="1">
      <c r="A4650" s="42"/>
      <c r="B4650" s="47"/>
      <c r="C4650" s="46"/>
      <c r="D4650" s="47"/>
      <c r="E4650" s="46"/>
      <c r="F4650" s="47"/>
      <c r="G4650" s="46"/>
      <c r="H4650" s="48"/>
      <c r="I4650" s="49"/>
    </row>
    <row r="4651" ht="22.5" customHeight="1">
      <c r="A4651" s="42"/>
      <c r="B4651" s="47"/>
      <c r="C4651" s="46"/>
      <c r="D4651" s="47"/>
      <c r="E4651" s="46"/>
      <c r="F4651" s="47"/>
      <c r="G4651" s="46"/>
      <c r="H4651" s="50"/>
      <c r="I4651" s="51"/>
    </row>
    <row r="4652" ht="22.5" customHeight="1">
      <c r="A4652" s="42"/>
      <c r="B4652" s="47"/>
      <c r="C4652" s="46"/>
      <c r="D4652" s="47"/>
      <c r="E4652" s="46"/>
      <c r="F4652" s="47"/>
      <c r="G4652" s="46"/>
      <c r="H4652" s="48"/>
      <c r="I4652" s="49"/>
    </row>
    <row r="4653" ht="22.5" customHeight="1">
      <c r="A4653" s="42"/>
      <c r="B4653" s="47"/>
      <c r="C4653" s="46"/>
      <c r="D4653" s="47"/>
      <c r="E4653" s="46"/>
      <c r="F4653" s="47"/>
      <c r="G4653" s="46"/>
      <c r="H4653" s="50"/>
      <c r="I4653" s="51"/>
    </row>
    <row r="4654" ht="22.5" customHeight="1">
      <c r="A4654" s="42"/>
      <c r="B4654" s="47"/>
      <c r="C4654" s="46"/>
      <c r="D4654" s="47"/>
      <c r="E4654" s="46"/>
      <c r="F4654" s="47"/>
      <c r="G4654" s="46"/>
      <c r="H4654" s="48"/>
      <c r="I4654" s="49"/>
    </row>
    <row r="4655" ht="22.5" customHeight="1">
      <c r="A4655" s="42"/>
      <c r="B4655" s="47"/>
      <c r="C4655" s="46"/>
      <c r="D4655" s="47"/>
      <c r="E4655" s="46"/>
      <c r="F4655" s="47"/>
      <c r="G4655" s="46"/>
      <c r="H4655" s="50"/>
      <c r="I4655" s="51"/>
    </row>
    <row r="4656" ht="22.5" customHeight="1">
      <c r="A4656" s="42"/>
      <c r="B4656" s="47"/>
      <c r="C4656" s="46"/>
      <c r="D4656" s="47"/>
      <c r="E4656" s="46"/>
      <c r="F4656" s="47"/>
      <c r="G4656" s="46"/>
      <c r="H4656" s="48"/>
      <c r="I4656" s="49"/>
    </row>
    <row r="4657" ht="22.5" customHeight="1">
      <c r="A4657" s="42"/>
      <c r="B4657" s="47"/>
      <c r="C4657" s="46"/>
      <c r="D4657" s="47"/>
      <c r="E4657" s="46"/>
      <c r="F4657" s="47"/>
      <c r="G4657" s="46"/>
      <c r="H4657" s="50"/>
      <c r="I4657" s="51"/>
    </row>
    <row r="4658" ht="22.5" customHeight="1">
      <c r="A4658" s="42"/>
      <c r="B4658" s="47"/>
      <c r="C4658" s="46"/>
      <c r="D4658" s="47"/>
      <c r="E4658" s="46"/>
      <c r="F4658" s="47"/>
      <c r="G4658" s="46"/>
      <c r="H4658" s="48"/>
      <c r="I4658" s="49"/>
    </row>
    <row r="4659" ht="22.5" customHeight="1">
      <c r="A4659" s="42"/>
      <c r="B4659" s="47"/>
      <c r="C4659" s="46"/>
      <c r="D4659" s="47"/>
      <c r="E4659" s="46"/>
      <c r="F4659" s="47"/>
      <c r="G4659" s="46"/>
      <c r="H4659" s="50"/>
      <c r="I4659" s="51"/>
    </row>
    <row r="4660" ht="22.5" customHeight="1">
      <c r="A4660" s="42"/>
      <c r="B4660" s="47"/>
      <c r="C4660" s="46"/>
      <c r="D4660" s="47"/>
      <c r="E4660" s="46"/>
      <c r="F4660" s="47"/>
      <c r="G4660" s="46"/>
      <c r="H4660" s="48"/>
      <c r="I4660" s="49"/>
    </row>
    <row r="4661" ht="22.5" customHeight="1">
      <c r="A4661" s="42"/>
      <c r="B4661" s="47"/>
      <c r="C4661" s="46"/>
      <c r="D4661" s="47"/>
      <c r="E4661" s="46"/>
      <c r="F4661" s="47"/>
      <c r="G4661" s="46"/>
      <c r="H4661" s="50"/>
      <c r="I4661" s="51"/>
    </row>
    <row r="4662" ht="22.5" customHeight="1">
      <c r="A4662" s="42"/>
      <c r="B4662" s="47"/>
      <c r="C4662" s="46"/>
      <c r="D4662" s="47"/>
      <c r="E4662" s="46"/>
      <c r="F4662" s="47"/>
      <c r="G4662" s="46"/>
      <c r="H4662" s="48"/>
      <c r="I4662" s="49"/>
    </row>
    <row r="4663" ht="22.5" customHeight="1">
      <c r="A4663" s="42"/>
      <c r="B4663" s="47"/>
      <c r="C4663" s="46"/>
      <c r="D4663" s="47"/>
      <c r="E4663" s="46"/>
      <c r="F4663" s="47"/>
      <c r="G4663" s="46"/>
      <c r="H4663" s="50"/>
      <c r="I4663" s="51"/>
    </row>
    <row r="4664" ht="22.5" customHeight="1">
      <c r="A4664" s="42"/>
      <c r="B4664" s="47"/>
      <c r="C4664" s="46"/>
      <c r="D4664" s="47"/>
      <c r="E4664" s="46"/>
      <c r="F4664" s="47"/>
      <c r="G4664" s="46"/>
      <c r="H4664" s="48"/>
      <c r="I4664" s="49"/>
    </row>
    <row r="4665" ht="22.5" customHeight="1">
      <c r="A4665" s="42"/>
      <c r="B4665" s="47"/>
      <c r="C4665" s="46"/>
      <c r="D4665" s="47"/>
      <c r="E4665" s="46"/>
      <c r="F4665" s="47"/>
      <c r="G4665" s="46"/>
      <c r="H4665" s="50"/>
      <c r="I4665" s="51"/>
    </row>
    <row r="4666" ht="22.5" customHeight="1">
      <c r="A4666" s="42"/>
      <c r="B4666" s="47"/>
      <c r="C4666" s="46"/>
      <c r="D4666" s="47"/>
      <c r="E4666" s="46"/>
      <c r="F4666" s="47"/>
      <c r="G4666" s="46"/>
      <c r="H4666" s="48"/>
      <c r="I4666" s="49"/>
    </row>
    <row r="4667" ht="22.5" customHeight="1">
      <c r="A4667" s="42"/>
      <c r="B4667" s="47"/>
      <c r="C4667" s="46"/>
      <c r="D4667" s="47"/>
      <c r="E4667" s="46"/>
      <c r="F4667" s="47"/>
      <c r="G4667" s="46"/>
      <c r="H4667" s="50"/>
      <c r="I4667" s="51"/>
    </row>
    <row r="4668" ht="22.5" customHeight="1">
      <c r="A4668" s="42"/>
      <c r="B4668" s="47"/>
      <c r="C4668" s="46"/>
      <c r="D4668" s="47"/>
      <c r="E4668" s="46"/>
      <c r="F4668" s="47"/>
      <c r="G4668" s="46"/>
      <c r="H4668" s="48"/>
      <c r="I4668" s="49"/>
    </row>
    <row r="4669" ht="22.5" customHeight="1">
      <c r="A4669" s="42"/>
      <c r="B4669" s="47"/>
      <c r="C4669" s="46"/>
      <c r="D4669" s="47"/>
      <c r="E4669" s="46"/>
      <c r="F4669" s="47"/>
      <c r="G4669" s="46"/>
      <c r="H4669" s="50"/>
      <c r="I4669" s="51"/>
    </row>
    <row r="4670" ht="22.5" customHeight="1">
      <c r="A4670" s="42"/>
      <c r="B4670" s="47"/>
      <c r="C4670" s="46"/>
      <c r="D4670" s="47"/>
      <c r="E4670" s="46"/>
      <c r="F4670" s="47"/>
      <c r="G4670" s="46"/>
      <c r="H4670" s="48"/>
      <c r="I4670" s="49"/>
    </row>
    <row r="4671" ht="22.5" customHeight="1">
      <c r="A4671" s="42"/>
      <c r="B4671" s="47"/>
      <c r="C4671" s="46"/>
      <c r="D4671" s="47"/>
      <c r="E4671" s="46"/>
      <c r="F4671" s="47"/>
      <c r="G4671" s="46"/>
      <c r="H4671" s="50"/>
      <c r="I4671" s="51"/>
    </row>
    <row r="4672" ht="22.5" customHeight="1">
      <c r="A4672" s="42"/>
      <c r="B4672" s="47"/>
      <c r="C4672" s="46"/>
      <c r="D4672" s="47"/>
      <c r="E4672" s="46"/>
      <c r="F4672" s="47"/>
      <c r="G4672" s="46"/>
      <c r="H4672" s="48"/>
      <c r="I4672" s="49"/>
    </row>
    <row r="4673" ht="22.5" customHeight="1">
      <c r="A4673" s="42"/>
      <c r="B4673" s="47"/>
      <c r="C4673" s="46"/>
      <c r="D4673" s="47"/>
      <c r="E4673" s="46"/>
      <c r="F4673" s="47"/>
      <c r="G4673" s="46"/>
      <c r="H4673" s="50"/>
      <c r="I4673" s="51"/>
    </row>
    <row r="4674" ht="22.5" customHeight="1">
      <c r="A4674" s="42"/>
      <c r="B4674" s="47"/>
      <c r="C4674" s="46"/>
      <c r="D4674" s="47"/>
      <c r="E4674" s="46"/>
      <c r="F4674" s="47"/>
      <c r="G4674" s="46"/>
      <c r="H4674" s="48"/>
      <c r="I4674" s="49"/>
    </row>
    <row r="4675" ht="22.5" customHeight="1">
      <c r="A4675" s="42"/>
      <c r="B4675" s="47"/>
      <c r="C4675" s="46"/>
      <c r="D4675" s="47"/>
      <c r="E4675" s="46"/>
      <c r="F4675" s="47"/>
      <c r="G4675" s="46"/>
      <c r="H4675" s="50"/>
      <c r="I4675" s="51"/>
    </row>
    <row r="4676" ht="22.5" customHeight="1">
      <c r="A4676" s="42"/>
      <c r="B4676" s="47"/>
      <c r="C4676" s="46"/>
      <c r="D4676" s="47"/>
      <c r="E4676" s="46"/>
      <c r="F4676" s="47"/>
      <c r="G4676" s="46"/>
      <c r="H4676" s="48"/>
      <c r="I4676" s="49"/>
    </row>
    <row r="4677" ht="22.5" customHeight="1">
      <c r="A4677" s="42"/>
      <c r="B4677" s="47"/>
      <c r="C4677" s="46"/>
      <c r="D4677" s="47"/>
      <c r="E4677" s="46"/>
      <c r="F4677" s="47"/>
      <c r="G4677" s="46"/>
      <c r="H4677" s="50"/>
      <c r="I4677" s="51"/>
    </row>
    <row r="4678" ht="22.5" customHeight="1">
      <c r="A4678" s="42"/>
      <c r="B4678" s="47"/>
      <c r="C4678" s="46"/>
      <c r="D4678" s="47"/>
      <c r="E4678" s="46"/>
      <c r="F4678" s="47"/>
      <c r="G4678" s="46"/>
      <c r="H4678" s="48"/>
      <c r="I4678" s="49"/>
    </row>
    <row r="4679" ht="22.5" customHeight="1">
      <c r="A4679" s="42"/>
      <c r="B4679" s="47"/>
      <c r="C4679" s="46"/>
      <c r="D4679" s="47"/>
      <c r="E4679" s="46"/>
      <c r="F4679" s="47"/>
      <c r="G4679" s="46"/>
      <c r="H4679" s="50"/>
      <c r="I4679" s="51"/>
    </row>
    <row r="4680" ht="22.5" customHeight="1">
      <c r="A4680" s="42"/>
      <c r="B4680" s="47"/>
      <c r="C4680" s="46"/>
      <c r="D4680" s="47"/>
      <c r="E4680" s="46"/>
      <c r="F4680" s="47"/>
      <c r="G4680" s="46"/>
      <c r="H4680" s="48"/>
      <c r="I4680" s="49"/>
    </row>
    <row r="4681" ht="22.5" customHeight="1">
      <c r="A4681" s="42"/>
      <c r="B4681" s="47"/>
      <c r="C4681" s="46"/>
      <c r="D4681" s="47"/>
      <c r="E4681" s="46"/>
      <c r="F4681" s="47"/>
      <c r="G4681" s="46"/>
      <c r="H4681" s="50"/>
      <c r="I4681" s="51"/>
    </row>
    <row r="4682" ht="22.5" customHeight="1">
      <c r="A4682" s="42"/>
      <c r="B4682" s="47"/>
      <c r="C4682" s="46"/>
      <c r="D4682" s="47"/>
      <c r="E4682" s="46"/>
      <c r="F4682" s="47"/>
      <c r="G4682" s="46"/>
      <c r="H4682" s="48"/>
      <c r="I4682" s="49"/>
    </row>
    <row r="4683" ht="22.5" customHeight="1">
      <c r="A4683" s="42"/>
      <c r="B4683" s="47"/>
      <c r="C4683" s="46"/>
      <c r="D4683" s="47"/>
      <c r="E4683" s="46"/>
      <c r="F4683" s="47"/>
      <c r="G4683" s="46"/>
      <c r="H4683" s="50"/>
      <c r="I4683" s="51"/>
    </row>
    <row r="4684" ht="22.5" customHeight="1">
      <c r="A4684" s="42"/>
      <c r="B4684" s="47"/>
      <c r="C4684" s="46"/>
      <c r="D4684" s="47"/>
      <c r="E4684" s="46"/>
      <c r="F4684" s="47"/>
      <c r="G4684" s="46"/>
      <c r="H4684" s="48"/>
      <c r="I4684" s="49"/>
    </row>
    <row r="4685" ht="22.5" customHeight="1">
      <c r="A4685" s="42"/>
      <c r="B4685" s="47"/>
      <c r="C4685" s="46"/>
      <c r="D4685" s="47"/>
      <c r="E4685" s="46"/>
      <c r="F4685" s="47"/>
      <c r="G4685" s="46"/>
      <c r="H4685" s="50"/>
      <c r="I4685" s="51"/>
    </row>
    <row r="4686" ht="22.5" customHeight="1">
      <c r="A4686" s="42"/>
      <c r="B4686" s="47"/>
      <c r="C4686" s="46"/>
      <c r="D4686" s="47"/>
      <c r="E4686" s="46"/>
      <c r="F4686" s="47"/>
      <c r="G4686" s="46"/>
      <c r="H4686" s="48"/>
      <c r="I4686" s="49"/>
    </row>
    <row r="4687" ht="22.5" customHeight="1">
      <c r="A4687" s="42"/>
      <c r="B4687" s="47"/>
      <c r="C4687" s="46"/>
      <c r="D4687" s="47"/>
      <c r="E4687" s="46"/>
      <c r="F4687" s="47"/>
      <c r="G4687" s="46"/>
      <c r="H4687" s="50"/>
      <c r="I4687" s="51"/>
    </row>
    <row r="4688" ht="22.5" customHeight="1">
      <c r="A4688" s="42"/>
      <c r="B4688" s="47"/>
      <c r="C4688" s="46"/>
      <c r="D4688" s="47"/>
      <c r="E4688" s="46"/>
      <c r="F4688" s="47"/>
      <c r="G4688" s="46"/>
      <c r="H4688" s="48"/>
      <c r="I4688" s="49"/>
    </row>
    <row r="4689" ht="22.5" customHeight="1">
      <c r="A4689" s="42"/>
      <c r="B4689" s="47"/>
      <c r="C4689" s="46"/>
      <c r="D4689" s="47"/>
      <c r="E4689" s="46"/>
      <c r="F4689" s="47"/>
      <c r="G4689" s="46"/>
      <c r="H4689" s="50"/>
      <c r="I4689" s="51"/>
    </row>
    <row r="4690" ht="22.5" customHeight="1">
      <c r="A4690" s="42"/>
      <c r="B4690" s="47"/>
      <c r="C4690" s="46"/>
      <c r="D4690" s="47"/>
      <c r="E4690" s="46"/>
      <c r="F4690" s="47"/>
      <c r="G4690" s="46"/>
      <c r="H4690" s="48"/>
      <c r="I4690" s="49"/>
    </row>
    <row r="4691" ht="22.5" customHeight="1">
      <c r="A4691" s="42"/>
      <c r="B4691" s="47"/>
      <c r="C4691" s="46"/>
      <c r="D4691" s="47"/>
      <c r="E4691" s="46"/>
      <c r="F4691" s="47"/>
      <c r="G4691" s="46"/>
      <c r="H4691" s="50"/>
      <c r="I4691" s="51"/>
    </row>
    <row r="4692" ht="22.5" customHeight="1">
      <c r="A4692" s="42"/>
      <c r="B4692" s="47"/>
      <c r="C4692" s="46"/>
      <c r="D4692" s="47"/>
      <c r="E4692" s="46"/>
      <c r="F4692" s="47"/>
      <c r="G4692" s="46"/>
      <c r="H4692" s="48"/>
      <c r="I4692" s="49"/>
    </row>
    <row r="4693" ht="22.5" customHeight="1">
      <c r="A4693" s="42"/>
      <c r="B4693" s="47"/>
      <c r="C4693" s="46"/>
      <c r="D4693" s="47"/>
      <c r="E4693" s="46"/>
      <c r="F4693" s="47"/>
      <c r="G4693" s="46"/>
      <c r="H4693" s="50"/>
      <c r="I4693" s="51"/>
    </row>
    <row r="4694" ht="22.5" customHeight="1">
      <c r="A4694" s="42"/>
      <c r="B4694" s="47"/>
      <c r="C4694" s="46"/>
      <c r="D4694" s="47"/>
      <c r="E4694" s="46"/>
      <c r="F4694" s="47"/>
      <c r="G4694" s="46"/>
      <c r="H4694" s="48"/>
      <c r="I4694" s="49"/>
    </row>
    <row r="4695" ht="22.5" customHeight="1">
      <c r="A4695" s="42"/>
      <c r="B4695" s="47"/>
      <c r="C4695" s="46"/>
      <c r="D4695" s="47"/>
      <c r="E4695" s="46"/>
      <c r="F4695" s="47"/>
      <c r="G4695" s="46"/>
      <c r="H4695" s="50"/>
      <c r="I4695" s="51"/>
    </row>
    <row r="4696" ht="22.5" customHeight="1">
      <c r="A4696" s="42"/>
      <c r="B4696" s="47"/>
      <c r="C4696" s="46"/>
      <c r="D4696" s="47"/>
      <c r="E4696" s="46"/>
      <c r="F4696" s="47"/>
      <c r="G4696" s="46"/>
      <c r="H4696" s="48"/>
      <c r="I4696" s="49"/>
    </row>
    <row r="4697" ht="22.5" customHeight="1">
      <c r="A4697" s="42"/>
      <c r="B4697" s="47"/>
      <c r="C4697" s="46"/>
      <c r="D4697" s="47"/>
      <c r="E4697" s="46"/>
      <c r="F4697" s="47"/>
      <c r="G4697" s="46"/>
      <c r="H4697" s="50"/>
      <c r="I4697" s="51"/>
    </row>
    <row r="4698" ht="22.5" customHeight="1">
      <c r="A4698" s="42"/>
      <c r="B4698" s="47"/>
      <c r="C4698" s="46"/>
      <c r="D4698" s="47"/>
      <c r="E4698" s="46"/>
      <c r="F4698" s="47"/>
      <c r="G4698" s="46"/>
      <c r="H4698" s="48"/>
      <c r="I4698" s="49"/>
    </row>
    <row r="4699" ht="22.5" customHeight="1">
      <c r="A4699" s="42"/>
      <c r="B4699" s="47"/>
      <c r="C4699" s="46"/>
      <c r="D4699" s="47"/>
      <c r="E4699" s="46"/>
      <c r="F4699" s="47"/>
      <c r="G4699" s="46"/>
      <c r="H4699" s="50"/>
      <c r="I4699" s="51"/>
    </row>
    <row r="4700" ht="22.5" customHeight="1">
      <c r="A4700" s="42"/>
      <c r="B4700" s="47"/>
      <c r="C4700" s="46"/>
      <c r="D4700" s="47"/>
      <c r="E4700" s="46"/>
      <c r="F4700" s="47"/>
      <c r="G4700" s="46"/>
      <c r="H4700" s="48"/>
      <c r="I4700" s="49"/>
    </row>
    <row r="4701" ht="22.5" customHeight="1">
      <c r="A4701" s="42"/>
      <c r="B4701" s="47"/>
      <c r="C4701" s="46"/>
      <c r="D4701" s="47"/>
      <c r="E4701" s="46"/>
      <c r="F4701" s="47"/>
      <c r="G4701" s="46"/>
      <c r="H4701" s="50"/>
      <c r="I4701" s="51"/>
    </row>
    <row r="4702" ht="22.5" customHeight="1">
      <c r="A4702" s="42"/>
      <c r="B4702" s="47"/>
      <c r="C4702" s="46"/>
      <c r="D4702" s="47"/>
      <c r="E4702" s="46"/>
      <c r="F4702" s="47"/>
      <c r="G4702" s="46"/>
      <c r="H4702" s="48"/>
      <c r="I4702" s="49"/>
    </row>
    <row r="4703" ht="22.5" customHeight="1">
      <c r="A4703" s="42"/>
      <c r="B4703" s="47"/>
      <c r="C4703" s="46"/>
      <c r="D4703" s="47"/>
      <c r="E4703" s="46"/>
      <c r="F4703" s="47"/>
      <c r="G4703" s="46"/>
      <c r="H4703" s="50"/>
      <c r="I4703" s="51"/>
    </row>
    <row r="4704" ht="22.5" customHeight="1">
      <c r="A4704" s="42"/>
      <c r="B4704" s="47"/>
      <c r="C4704" s="46"/>
      <c r="D4704" s="47"/>
      <c r="E4704" s="46"/>
      <c r="F4704" s="47"/>
      <c r="G4704" s="46"/>
      <c r="H4704" s="48"/>
      <c r="I4704" s="49"/>
    </row>
    <row r="4705" ht="22.5" customHeight="1">
      <c r="A4705" s="42"/>
      <c r="B4705" s="47"/>
      <c r="C4705" s="46"/>
      <c r="D4705" s="47"/>
      <c r="E4705" s="46"/>
      <c r="F4705" s="47"/>
      <c r="G4705" s="46"/>
      <c r="H4705" s="50"/>
      <c r="I4705" s="51"/>
    </row>
    <row r="4706" ht="22.5" customHeight="1">
      <c r="A4706" s="42"/>
      <c r="B4706" s="47"/>
      <c r="C4706" s="46"/>
      <c r="D4706" s="47"/>
      <c r="E4706" s="46"/>
      <c r="F4706" s="47"/>
      <c r="G4706" s="46"/>
      <c r="H4706" s="48"/>
      <c r="I4706" s="49"/>
    </row>
    <row r="4707" ht="22.5" customHeight="1">
      <c r="A4707" s="42"/>
      <c r="B4707" s="47"/>
      <c r="C4707" s="46"/>
      <c r="D4707" s="47"/>
      <c r="E4707" s="46"/>
      <c r="F4707" s="47"/>
      <c r="G4707" s="46"/>
      <c r="H4707" s="50"/>
      <c r="I4707" s="51"/>
    </row>
    <row r="4708" ht="22.5" customHeight="1">
      <c r="A4708" s="42"/>
      <c r="B4708" s="47"/>
      <c r="C4708" s="46"/>
      <c r="D4708" s="47"/>
      <c r="E4708" s="46"/>
      <c r="F4708" s="47"/>
      <c r="G4708" s="46"/>
      <c r="H4708" s="48"/>
      <c r="I4708" s="49"/>
    </row>
    <row r="4709" ht="22.5" customHeight="1">
      <c r="A4709" s="42"/>
      <c r="B4709" s="47"/>
      <c r="C4709" s="46"/>
      <c r="D4709" s="47"/>
      <c r="E4709" s="46"/>
      <c r="F4709" s="47"/>
      <c r="G4709" s="46"/>
      <c r="H4709" s="50"/>
      <c r="I4709" s="51"/>
    </row>
    <row r="4710" ht="22.5" customHeight="1">
      <c r="A4710" s="42"/>
      <c r="B4710" s="47"/>
      <c r="C4710" s="46"/>
      <c r="D4710" s="47"/>
      <c r="E4710" s="46"/>
      <c r="F4710" s="47"/>
      <c r="G4710" s="46"/>
      <c r="H4710" s="48"/>
      <c r="I4710" s="49"/>
    </row>
    <row r="4711" ht="22.5" customHeight="1">
      <c r="A4711" s="42"/>
      <c r="B4711" s="47"/>
      <c r="C4711" s="46"/>
      <c r="D4711" s="47"/>
      <c r="E4711" s="46"/>
      <c r="F4711" s="47"/>
      <c r="G4711" s="46"/>
      <c r="H4711" s="50"/>
      <c r="I4711" s="51"/>
    </row>
    <row r="4712" ht="22.5" customHeight="1">
      <c r="A4712" s="42"/>
      <c r="B4712" s="47"/>
      <c r="C4712" s="46"/>
      <c r="D4712" s="47"/>
      <c r="E4712" s="46"/>
      <c r="F4712" s="47"/>
      <c r="G4712" s="46"/>
      <c r="H4712" s="48"/>
      <c r="I4712" s="49"/>
    </row>
    <row r="4713" ht="22.5" customHeight="1">
      <c r="A4713" s="42"/>
      <c r="B4713" s="47"/>
      <c r="C4713" s="46"/>
      <c r="D4713" s="47"/>
      <c r="E4713" s="46"/>
      <c r="F4713" s="47"/>
      <c r="G4713" s="46"/>
      <c r="H4713" s="50"/>
      <c r="I4713" s="51"/>
    </row>
    <row r="4714" ht="22.5" customHeight="1">
      <c r="A4714" s="42"/>
      <c r="B4714" s="47"/>
      <c r="C4714" s="46"/>
      <c r="D4714" s="47"/>
      <c r="E4714" s="46"/>
      <c r="F4714" s="47"/>
      <c r="G4714" s="46"/>
      <c r="H4714" s="48"/>
      <c r="I4714" s="49"/>
    </row>
    <row r="4715" ht="22.5" customHeight="1">
      <c r="A4715" s="42"/>
      <c r="B4715" s="47"/>
      <c r="C4715" s="46"/>
      <c r="D4715" s="47"/>
      <c r="E4715" s="46"/>
      <c r="F4715" s="47"/>
      <c r="G4715" s="46"/>
      <c r="H4715" s="50"/>
      <c r="I4715" s="51"/>
    </row>
    <row r="4716" ht="22.5" customHeight="1">
      <c r="A4716" s="42"/>
      <c r="B4716" s="47"/>
      <c r="C4716" s="46"/>
      <c r="D4716" s="47"/>
      <c r="E4716" s="46"/>
      <c r="F4716" s="47"/>
      <c r="G4716" s="46"/>
      <c r="H4716" s="48"/>
      <c r="I4716" s="49"/>
    </row>
    <row r="4717" ht="22.5" customHeight="1">
      <c r="A4717" s="42"/>
      <c r="B4717" s="47"/>
      <c r="C4717" s="46"/>
      <c r="D4717" s="47"/>
      <c r="E4717" s="46"/>
      <c r="F4717" s="47"/>
      <c r="G4717" s="46"/>
      <c r="H4717" s="50"/>
      <c r="I4717" s="51"/>
    </row>
    <row r="4718" ht="22.5" customHeight="1">
      <c r="A4718" s="42"/>
      <c r="B4718" s="47"/>
      <c r="C4718" s="46"/>
      <c r="D4718" s="47"/>
      <c r="E4718" s="46"/>
      <c r="F4718" s="47"/>
      <c r="G4718" s="46"/>
      <c r="H4718" s="48"/>
      <c r="I4718" s="49"/>
    </row>
    <row r="4719" ht="22.5" customHeight="1">
      <c r="A4719" s="42"/>
      <c r="B4719" s="47"/>
      <c r="C4719" s="46"/>
      <c r="D4719" s="47"/>
      <c r="E4719" s="46"/>
      <c r="F4719" s="47"/>
      <c r="G4719" s="46"/>
      <c r="H4719" s="50"/>
      <c r="I4719" s="51"/>
    </row>
    <row r="4720" ht="22.5" customHeight="1">
      <c r="A4720" s="42"/>
      <c r="B4720" s="47"/>
      <c r="C4720" s="46"/>
      <c r="D4720" s="47"/>
      <c r="E4720" s="46"/>
      <c r="F4720" s="47"/>
      <c r="G4720" s="46"/>
      <c r="H4720" s="48"/>
      <c r="I4720" s="49"/>
    </row>
    <row r="4721" ht="22.5" customHeight="1">
      <c r="A4721" s="42"/>
      <c r="B4721" s="47"/>
      <c r="C4721" s="46"/>
      <c r="D4721" s="47"/>
      <c r="E4721" s="46"/>
      <c r="F4721" s="47"/>
      <c r="G4721" s="46"/>
      <c r="H4721" s="50"/>
      <c r="I4721" s="51"/>
    </row>
    <row r="4722" ht="22.5" customHeight="1">
      <c r="A4722" s="42"/>
      <c r="B4722" s="47"/>
      <c r="C4722" s="46"/>
      <c r="D4722" s="47"/>
      <c r="E4722" s="46"/>
      <c r="F4722" s="47"/>
      <c r="G4722" s="46"/>
      <c r="H4722" s="48"/>
      <c r="I4722" s="49"/>
    </row>
    <row r="4723" ht="22.5" customHeight="1">
      <c r="A4723" s="42"/>
      <c r="B4723" s="47"/>
      <c r="C4723" s="46"/>
      <c r="D4723" s="47"/>
      <c r="E4723" s="46"/>
      <c r="F4723" s="47"/>
      <c r="G4723" s="46"/>
      <c r="H4723" s="50"/>
      <c r="I4723" s="51"/>
    </row>
    <row r="4724" ht="22.5" customHeight="1">
      <c r="A4724" s="42"/>
      <c r="B4724" s="47"/>
      <c r="C4724" s="46"/>
      <c r="D4724" s="47"/>
      <c r="E4724" s="46"/>
      <c r="F4724" s="47"/>
      <c r="G4724" s="46"/>
      <c r="H4724" s="48"/>
      <c r="I4724" s="49"/>
    </row>
    <row r="4725" ht="22.5" customHeight="1">
      <c r="A4725" s="42"/>
      <c r="B4725" s="47"/>
      <c r="C4725" s="46"/>
      <c r="D4725" s="47"/>
      <c r="E4725" s="46"/>
      <c r="F4725" s="47"/>
      <c r="G4725" s="46"/>
      <c r="H4725" s="50"/>
      <c r="I4725" s="51"/>
    </row>
    <row r="4726" ht="22.5" customHeight="1">
      <c r="A4726" s="42"/>
      <c r="B4726" s="47"/>
      <c r="C4726" s="46"/>
      <c r="D4726" s="47"/>
      <c r="E4726" s="46"/>
      <c r="F4726" s="47"/>
      <c r="G4726" s="46"/>
      <c r="H4726" s="48"/>
      <c r="I4726" s="49"/>
    </row>
    <row r="4727" ht="22.5" customHeight="1">
      <c r="A4727" s="42"/>
      <c r="B4727" s="47"/>
      <c r="C4727" s="46"/>
      <c r="D4727" s="47"/>
      <c r="E4727" s="46"/>
      <c r="F4727" s="47"/>
      <c r="G4727" s="46"/>
      <c r="H4727" s="50"/>
      <c r="I4727" s="51"/>
    </row>
    <row r="4728" ht="22.5" customHeight="1">
      <c r="A4728" s="42"/>
      <c r="B4728" s="47"/>
      <c r="C4728" s="46"/>
      <c r="D4728" s="47"/>
      <c r="E4728" s="46"/>
      <c r="F4728" s="47"/>
      <c r="G4728" s="46"/>
      <c r="H4728" s="48"/>
      <c r="I4728" s="49"/>
    </row>
    <row r="4729" ht="22.5" customHeight="1">
      <c r="A4729" s="42"/>
      <c r="B4729" s="47"/>
      <c r="C4729" s="46"/>
      <c r="D4729" s="47"/>
      <c r="E4729" s="46"/>
      <c r="F4729" s="47"/>
      <c r="G4729" s="46"/>
      <c r="H4729" s="50"/>
      <c r="I4729" s="51"/>
    </row>
    <row r="4730" ht="22.5" customHeight="1">
      <c r="A4730" s="42"/>
      <c r="B4730" s="47"/>
      <c r="C4730" s="46"/>
      <c r="D4730" s="47"/>
      <c r="E4730" s="46"/>
      <c r="F4730" s="47"/>
      <c r="G4730" s="46"/>
      <c r="H4730" s="48"/>
      <c r="I4730" s="49"/>
    </row>
    <row r="4731" ht="22.5" customHeight="1">
      <c r="A4731" s="42"/>
      <c r="B4731" s="47"/>
      <c r="C4731" s="46"/>
      <c r="D4731" s="47"/>
      <c r="E4731" s="46"/>
      <c r="F4731" s="47"/>
      <c r="G4731" s="46"/>
      <c r="H4731" s="50"/>
      <c r="I4731" s="51"/>
    </row>
    <row r="4732" ht="22.5" customHeight="1">
      <c r="A4732" s="42"/>
      <c r="B4732" s="47"/>
      <c r="C4732" s="46"/>
      <c r="D4732" s="47"/>
      <c r="E4732" s="46"/>
      <c r="F4732" s="47"/>
      <c r="G4732" s="46"/>
      <c r="H4732" s="48"/>
      <c r="I4732" s="49"/>
    </row>
    <row r="4733" ht="22.5" customHeight="1">
      <c r="A4733" s="42"/>
      <c r="B4733" s="47"/>
      <c r="C4733" s="46"/>
      <c r="D4733" s="47"/>
      <c r="E4733" s="46"/>
      <c r="F4733" s="47"/>
      <c r="G4733" s="46"/>
      <c r="H4733" s="50"/>
      <c r="I4733" s="51"/>
    </row>
    <row r="4734" ht="22.5" customHeight="1">
      <c r="A4734" s="42"/>
      <c r="B4734" s="47"/>
      <c r="C4734" s="46"/>
      <c r="D4734" s="47"/>
      <c r="E4734" s="46"/>
      <c r="F4734" s="47"/>
      <c r="G4734" s="46"/>
      <c r="H4734" s="48"/>
      <c r="I4734" s="49"/>
    </row>
    <row r="4735" ht="22.5" customHeight="1">
      <c r="A4735" s="42"/>
      <c r="B4735" s="47"/>
      <c r="C4735" s="46"/>
      <c r="D4735" s="47"/>
      <c r="E4735" s="46"/>
      <c r="F4735" s="47"/>
      <c r="G4735" s="46"/>
      <c r="H4735" s="50"/>
      <c r="I4735" s="51"/>
    </row>
    <row r="4736" ht="22.5" customHeight="1">
      <c r="A4736" s="42"/>
      <c r="B4736" s="47"/>
      <c r="C4736" s="46"/>
      <c r="D4736" s="47"/>
      <c r="E4736" s="46"/>
      <c r="F4736" s="47"/>
      <c r="G4736" s="46"/>
      <c r="H4736" s="48"/>
      <c r="I4736" s="49"/>
    </row>
    <row r="4737" ht="22.5" customHeight="1">
      <c r="A4737" s="42"/>
      <c r="B4737" s="47"/>
      <c r="C4737" s="46"/>
      <c r="D4737" s="47"/>
      <c r="E4737" s="46"/>
      <c r="F4737" s="47"/>
      <c r="G4737" s="46"/>
      <c r="H4737" s="50"/>
      <c r="I4737" s="51"/>
    </row>
    <row r="4738" ht="22.5" customHeight="1">
      <c r="A4738" s="42"/>
      <c r="B4738" s="47"/>
      <c r="C4738" s="46"/>
      <c r="D4738" s="47"/>
      <c r="E4738" s="46"/>
      <c r="F4738" s="47"/>
      <c r="G4738" s="46"/>
      <c r="H4738" s="48"/>
      <c r="I4738" s="49"/>
    </row>
    <row r="4739" ht="22.5" customHeight="1">
      <c r="A4739" s="42"/>
      <c r="B4739" s="47"/>
      <c r="C4739" s="46"/>
      <c r="D4739" s="47"/>
      <c r="E4739" s="46"/>
      <c r="F4739" s="47"/>
      <c r="G4739" s="46"/>
      <c r="H4739" s="50"/>
      <c r="I4739" s="51"/>
    </row>
    <row r="4740" ht="22.5" customHeight="1">
      <c r="A4740" s="42"/>
      <c r="B4740" s="47"/>
      <c r="C4740" s="46"/>
      <c r="D4740" s="47"/>
      <c r="E4740" s="46"/>
      <c r="F4740" s="47"/>
      <c r="G4740" s="46"/>
      <c r="H4740" s="48"/>
      <c r="I4740" s="49"/>
    </row>
    <row r="4741" ht="22.5" customHeight="1">
      <c r="A4741" s="42"/>
      <c r="B4741" s="47"/>
      <c r="C4741" s="46"/>
      <c r="D4741" s="47"/>
      <c r="E4741" s="46"/>
      <c r="F4741" s="47"/>
      <c r="G4741" s="46"/>
      <c r="H4741" s="50"/>
      <c r="I4741" s="51"/>
    </row>
    <row r="4742" ht="22.5" customHeight="1">
      <c r="A4742" s="42"/>
      <c r="B4742" s="47"/>
      <c r="C4742" s="46"/>
      <c r="D4742" s="47"/>
      <c r="E4742" s="46"/>
      <c r="F4742" s="47"/>
      <c r="G4742" s="46"/>
      <c r="H4742" s="48"/>
      <c r="I4742" s="49"/>
    </row>
    <row r="4743" ht="22.5" customHeight="1">
      <c r="A4743" s="42"/>
      <c r="B4743" s="47"/>
      <c r="C4743" s="46"/>
      <c r="D4743" s="47"/>
      <c r="E4743" s="46"/>
      <c r="F4743" s="47"/>
      <c r="G4743" s="46"/>
      <c r="H4743" s="50"/>
      <c r="I4743" s="51"/>
    </row>
    <row r="4744" ht="22.5" customHeight="1">
      <c r="A4744" s="42"/>
      <c r="B4744" s="47"/>
      <c r="C4744" s="46"/>
      <c r="D4744" s="47"/>
      <c r="E4744" s="46"/>
      <c r="F4744" s="47"/>
      <c r="G4744" s="46"/>
      <c r="H4744" s="48"/>
      <c r="I4744" s="49"/>
    </row>
    <row r="4745" ht="22.5" customHeight="1">
      <c r="A4745" s="42"/>
      <c r="B4745" s="47"/>
      <c r="C4745" s="46"/>
      <c r="D4745" s="47"/>
      <c r="E4745" s="46"/>
      <c r="F4745" s="47"/>
      <c r="G4745" s="46"/>
      <c r="H4745" s="50"/>
      <c r="I4745" s="51"/>
    </row>
    <row r="4746" ht="22.5" customHeight="1">
      <c r="A4746" s="42"/>
      <c r="B4746" s="47"/>
      <c r="C4746" s="46"/>
      <c r="D4746" s="47"/>
      <c r="E4746" s="46"/>
      <c r="F4746" s="47"/>
      <c r="G4746" s="46"/>
      <c r="H4746" s="48"/>
      <c r="I4746" s="49"/>
    </row>
    <row r="4747" ht="22.5" customHeight="1">
      <c r="A4747" s="42"/>
      <c r="B4747" s="47"/>
      <c r="C4747" s="46"/>
      <c r="D4747" s="47"/>
      <c r="E4747" s="46"/>
      <c r="F4747" s="47"/>
      <c r="G4747" s="46"/>
      <c r="H4747" s="50"/>
      <c r="I4747" s="51"/>
    </row>
    <row r="4748" ht="22.5" customHeight="1">
      <c r="A4748" s="42"/>
      <c r="B4748" s="47"/>
      <c r="C4748" s="46"/>
      <c r="D4748" s="47"/>
      <c r="E4748" s="46"/>
      <c r="F4748" s="47"/>
      <c r="G4748" s="46"/>
      <c r="H4748" s="48"/>
      <c r="I4748" s="49"/>
    </row>
    <row r="4749" ht="22.5" customHeight="1">
      <c r="A4749" s="42"/>
      <c r="B4749" s="47"/>
      <c r="C4749" s="46"/>
      <c r="D4749" s="47"/>
      <c r="E4749" s="46"/>
      <c r="F4749" s="47"/>
      <c r="G4749" s="46"/>
      <c r="H4749" s="50"/>
      <c r="I4749" s="51"/>
    </row>
    <row r="4750" ht="22.5" customHeight="1">
      <c r="A4750" s="42"/>
      <c r="B4750" s="47"/>
      <c r="C4750" s="46"/>
      <c r="D4750" s="47"/>
      <c r="E4750" s="46"/>
      <c r="F4750" s="47"/>
      <c r="G4750" s="46"/>
      <c r="H4750" s="48"/>
      <c r="I4750" s="49"/>
    </row>
    <row r="4751" ht="22.5" customHeight="1">
      <c r="A4751" s="42"/>
      <c r="B4751" s="47"/>
      <c r="C4751" s="46"/>
      <c r="D4751" s="47"/>
      <c r="E4751" s="46"/>
      <c r="F4751" s="47"/>
      <c r="G4751" s="46"/>
      <c r="H4751" s="50"/>
      <c r="I4751" s="51"/>
    </row>
    <row r="4752" ht="22.5" customHeight="1">
      <c r="A4752" s="42"/>
      <c r="B4752" s="47"/>
      <c r="C4752" s="46"/>
      <c r="D4752" s="47"/>
      <c r="E4752" s="46"/>
      <c r="F4752" s="47"/>
      <c r="G4752" s="46"/>
      <c r="H4752" s="48"/>
      <c r="I4752" s="49"/>
    </row>
    <row r="4753" ht="22.5" customHeight="1">
      <c r="A4753" s="42"/>
      <c r="B4753" s="47"/>
      <c r="C4753" s="46"/>
      <c r="D4753" s="47"/>
      <c r="E4753" s="46"/>
      <c r="F4753" s="47"/>
      <c r="G4753" s="46"/>
      <c r="H4753" s="50"/>
      <c r="I4753" s="51"/>
    </row>
    <row r="4754" ht="22.5" customHeight="1">
      <c r="A4754" s="42"/>
      <c r="B4754" s="47"/>
      <c r="C4754" s="46"/>
      <c r="D4754" s="47"/>
      <c r="E4754" s="46"/>
      <c r="F4754" s="47"/>
      <c r="G4754" s="46"/>
      <c r="H4754" s="48"/>
      <c r="I4754" s="49"/>
    </row>
    <row r="4755" ht="22.5" customHeight="1">
      <c r="A4755" s="42"/>
      <c r="B4755" s="47"/>
      <c r="C4755" s="46"/>
      <c r="D4755" s="47"/>
      <c r="E4755" s="46"/>
      <c r="F4755" s="47"/>
      <c r="G4755" s="46"/>
      <c r="H4755" s="50"/>
      <c r="I4755" s="51"/>
    </row>
    <row r="4756" ht="22.5" customHeight="1">
      <c r="A4756" s="42"/>
      <c r="B4756" s="47"/>
      <c r="C4756" s="46"/>
      <c r="D4756" s="47"/>
      <c r="E4756" s="46"/>
      <c r="F4756" s="47"/>
      <c r="G4756" s="46"/>
      <c r="H4756" s="48"/>
      <c r="I4756" s="49"/>
    </row>
    <row r="4757" ht="22.5" customHeight="1">
      <c r="A4757" s="42"/>
      <c r="B4757" s="47"/>
      <c r="C4757" s="46"/>
      <c r="D4757" s="47"/>
      <c r="E4757" s="46"/>
      <c r="F4757" s="47"/>
      <c r="G4757" s="46"/>
      <c r="H4757" s="50"/>
      <c r="I4757" s="51"/>
    </row>
    <row r="4758" ht="22.5" customHeight="1">
      <c r="A4758" s="42"/>
      <c r="B4758" s="47"/>
      <c r="C4758" s="46"/>
      <c r="D4758" s="47"/>
      <c r="E4758" s="46"/>
      <c r="F4758" s="47"/>
      <c r="G4758" s="46"/>
      <c r="H4758" s="48"/>
      <c r="I4758" s="49"/>
    </row>
    <row r="4759" ht="22.5" customHeight="1">
      <c r="A4759" s="42"/>
      <c r="B4759" s="47"/>
      <c r="C4759" s="46"/>
      <c r="D4759" s="47"/>
      <c r="E4759" s="46"/>
      <c r="F4759" s="47"/>
      <c r="G4759" s="46"/>
      <c r="H4759" s="50"/>
      <c r="I4759" s="51"/>
    </row>
    <row r="4760" ht="22.5" customHeight="1">
      <c r="A4760" s="42"/>
      <c r="B4760" s="47"/>
      <c r="C4760" s="46"/>
      <c r="D4760" s="47"/>
      <c r="E4760" s="46"/>
      <c r="F4760" s="47"/>
      <c r="G4760" s="46"/>
      <c r="H4760" s="48"/>
      <c r="I4760" s="49"/>
    </row>
    <row r="4761" ht="22.5" customHeight="1">
      <c r="A4761" s="42"/>
      <c r="B4761" s="47"/>
      <c r="C4761" s="46"/>
      <c r="D4761" s="47"/>
      <c r="E4761" s="46"/>
      <c r="F4761" s="47"/>
      <c r="G4761" s="46"/>
      <c r="H4761" s="50"/>
      <c r="I4761" s="51"/>
    </row>
    <row r="4762" ht="22.5" customHeight="1">
      <c r="A4762" s="42"/>
      <c r="B4762" s="47"/>
      <c r="C4762" s="46"/>
      <c r="D4762" s="47"/>
      <c r="E4762" s="46"/>
      <c r="F4762" s="47"/>
      <c r="G4762" s="46"/>
      <c r="H4762" s="48"/>
      <c r="I4762" s="49"/>
    </row>
    <row r="4763" ht="22.5" customHeight="1">
      <c r="A4763" s="42"/>
      <c r="B4763" s="47"/>
      <c r="C4763" s="46"/>
      <c r="D4763" s="47"/>
      <c r="E4763" s="46"/>
      <c r="F4763" s="47"/>
      <c r="G4763" s="46"/>
      <c r="H4763" s="50"/>
      <c r="I4763" s="51"/>
    </row>
    <row r="4764" ht="22.5" customHeight="1">
      <c r="A4764" s="42"/>
      <c r="B4764" s="47"/>
      <c r="C4764" s="46"/>
      <c r="D4764" s="47"/>
      <c r="E4764" s="46"/>
      <c r="F4764" s="47"/>
      <c r="G4764" s="46"/>
      <c r="H4764" s="48"/>
      <c r="I4764" s="49"/>
    </row>
    <row r="4765" ht="22.5" customHeight="1">
      <c r="A4765" s="42"/>
      <c r="B4765" s="47"/>
      <c r="C4765" s="46"/>
      <c r="D4765" s="47"/>
      <c r="E4765" s="46"/>
      <c r="F4765" s="47"/>
      <c r="G4765" s="46"/>
      <c r="H4765" s="50"/>
      <c r="I4765" s="51"/>
    </row>
    <row r="4766" ht="22.5" customHeight="1">
      <c r="A4766" s="42"/>
      <c r="B4766" s="47"/>
      <c r="C4766" s="46"/>
      <c r="D4766" s="47"/>
      <c r="E4766" s="46"/>
      <c r="F4766" s="47"/>
      <c r="G4766" s="46"/>
      <c r="H4766" s="48"/>
      <c r="I4766" s="49"/>
    </row>
    <row r="4767" ht="22.5" customHeight="1">
      <c r="A4767" s="42"/>
      <c r="B4767" s="47"/>
      <c r="C4767" s="46"/>
      <c r="D4767" s="47"/>
      <c r="E4767" s="46"/>
      <c r="F4767" s="47"/>
      <c r="G4767" s="46"/>
      <c r="H4767" s="50"/>
      <c r="I4767" s="51"/>
    </row>
    <row r="4768" ht="22.5" customHeight="1">
      <c r="A4768" s="42"/>
      <c r="B4768" s="47"/>
      <c r="C4768" s="46"/>
      <c r="D4768" s="47"/>
      <c r="E4768" s="46"/>
      <c r="F4768" s="47"/>
      <c r="G4768" s="46"/>
      <c r="H4768" s="48"/>
      <c r="I4768" s="49"/>
    </row>
    <row r="4769" ht="22.5" customHeight="1">
      <c r="A4769" s="42"/>
      <c r="B4769" s="47"/>
      <c r="C4769" s="46"/>
      <c r="D4769" s="47"/>
      <c r="E4769" s="46"/>
      <c r="F4769" s="47"/>
      <c r="G4769" s="46"/>
      <c r="H4769" s="50"/>
      <c r="I4769" s="51"/>
    </row>
    <row r="4770" ht="22.5" customHeight="1">
      <c r="A4770" s="42"/>
      <c r="B4770" s="47"/>
      <c r="C4770" s="46"/>
      <c r="D4770" s="47"/>
      <c r="E4770" s="46"/>
      <c r="F4770" s="47"/>
      <c r="G4770" s="46"/>
      <c r="H4770" s="48"/>
      <c r="I4770" s="49"/>
    </row>
    <row r="4771" ht="22.5" customHeight="1">
      <c r="A4771" s="42"/>
      <c r="B4771" s="47"/>
      <c r="C4771" s="46"/>
      <c r="D4771" s="47"/>
      <c r="E4771" s="46"/>
      <c r="F4771" s="47"/>
      <c r="G4771" s="46"/>
      <c r="H4771" s="50"/>
      <c r="I4771" s="51"/>
    </row>
    <row r="4772" ht="22.5" customHeight="1">
      <c r="A4772" s="42"/>
      <c r="B4772" s="47"/>
      <c r="C4772" s="46"/>
      <c r="D4772" s="47"/>
      <c r="E4772" s="46"/>
      <c r="F4772" s="47"/>
      <c r="G4772" s="46"/>
      <c r="H4772" s="48"/>
      <c r="I4772" s="49"/>
    </row>
    <row r="4773" ht="22.5" customHeight="1">
      <c r="A4773" s="42"/>
      <c r="B4773" s="47"/>
      <c r="C4773" s="46"/>
      <c r="D4773" s="47"/>
      <c r="E4773" s="46"/>
      <c r="F4773" s="47"/>
      <c r="G4773" s="46"/>
      <c r="H4773" s="50"/>
      <c r="I4773" s="51"/>
    </row>
    <row r="4774" ht="22.5" customHeight="1">
      <c r="A4774" s="42"/>
      <c r="B4774" s="47"/>
      <c r="C4774" s="46"/>
      <c r="D4774" s="47"/>
      <c r="E4774" s="46"/>
      <c r="F4774" s="47"/>
      <c r="G4774" s="46"/>
      <c r="H4774" s="48"/>
      <c r="I4774" s="49"/>
    </row>
    <row r="4775" ht="22.5" customHeight="1">
      <c r="A4775" s="42"/>
      <c r="B4775" s="47"/>
      <c r="C4775" s="46"/>
      <c r="D4775" s="47"/>
      <c r="E4775" s="46"/>
      <c r="F4775" s="47"/>
      <c r="G4775" s="46"/>
      <c r="H4775" s="50"/>
      <c r="I4775" s="51"/>
    </row>
    <row r="4776" ht="22.5" customHeight="1">
      <c r="A4776" s="42"/>
      <c r="B4776" s="47"/>
      <c r="C4776" s="46"/>
      <c r="D4776" s="47"/>
      <c r="E4776" s="46"/>
      <c r="F4776" s="47"/>
      <c r="G4776" s="46"/>
      <c r="H4776" s="48"/>
      <c r="I4776" s="49"/>
    </row>
    <row r="4777" ht="22.5" customHeight="1">
      <c r="A4777" s="42"/>
      <c r="B4777" s="47"/>
      <c r="C4777" s="46"/>
      <c r="D4777" s="47"/>
      <c r="E4777" s="46"/>
      <c r="F4777" s="47"/>
      <c r="G4777" s="46"/>
      <c r="H4777" s="50"/>
      <c r="I4777" s="51"/>
    </row>
    <row r="4778" ht="22.5" customHeight="1">
      <c r="A4778" s="42"/>
      <c r="B4778" s="47"/>
      <c r="C4778" s="46"/>
      <c r="D4778" s="47"/>
      <c r="E4778" s="46"/>
      <c r="F4778" s="47"/>
      <c r="G4778" s="46"/>
      <c r="H4778" s="48"/>
      <c r="I4778" s="49"/>
    </row>
    <row r="4779" ht="22.5" customHeight="1">
      <c r="A4779" s="42"/>
      <c r="B4779" s="47"/>
      <c r="C4779" s="46"/>
      <c r="D4779" s="47"/>
      <c r="E4779" s="46"/>
      <c r="F4779" s="47"/>
      <c r="G4779" s="46"/>
      <c r="H4779" s="50"/>
      <c r="I4779" s="51"/>
    </row>
    <row r="4780" ht="22.5" customHeight="1">
      <c r="A4780" s="42"/>
      <c r="B4780" s="47"/>
      <c r="C4780" s="46"/>
      <c r="D4780" s="47"/>
      <c r="E4780" s="46"/>
      <c r="F4780" s="47"/>
      <c r="G4780" s="46"/>
      <c r="H4780" s="48"/>
      <c r="I4780" s="49"/>
    </row>
    <row r="4781" ht="22.5" customHeight="1">
      <c r="A4781" s="42"/>
      <c r="B4781" s="47"/>
      <c r="C4781" s="46"/>
      <c r="D4781" s="47"/>
      <c r="E4781" s="46"/>
      <c r="F4781" s="47"/>
      <c r="G4781" s="46"/>
      <c r="H4781" s="50"/>
      <c r="I4781" s="51"/>
    </row>
    <row r="4782" ht="22.5" customHeight="1">
      <c r="A4782" s="42"/>
      <c r="B4782" s="47"/>
      <c r="C4782" s="46"/>
      <c r="D4782" s="47"/>
      <c r="E4782" s="46"/>
      <c r="F4782" s="47"/>
      <c r="G4782" s="46"/>
      <c r="H4782" s="48"/>
      <c r="I4782" s="49"/>
    </row>
    <row r="4783" ht="22.5" customHeight="1">
      <c r="A4783" s="42"/>
      <c r="B4783" s="47"/>
      <c r="C4783" s="46"/>
      <c r="D4783" s="47"/>
      <c r="E4783" s="46"/>
      <c r="F4783" s="47"/>
      <c r="G4783" s="46"/>
      <c r="H4783" s="50"/>
      <c r="I4783" s="51"/>
    </row>
    <row r="4784" ht="22.5" customHeight="1">
      <c r="A4784" s="42"/>
      <c r="B4784" s="47"/>
      <c r="C4784" s="46"/>
      <c r="D4784" s="47"/>
      <c r="E4784" s="46"/>
      <c r="F4784" s="47"/>
      <c r="G4784" s="46"/>
      <c r="H4784" s="48"/>
      <c r="I4784" s="49"/>
    </row>
    <row r="4785" ht="22.5" customHeight="1">
      <c r="A4785" s="42"/>
      <c r="B4785" s="47"/>
      <c r="C4785" s="46"/>
      <c r="D4785" s="47"/>
      <c r="E4785" s="46"/>
      <c r="F4785" s="47"/>
      <c r="G4785" s="46"/>
      <c r="H4785" s="50"/>
      <c r="I4785" s="51"/>
    </row>
    <row r="4786" ht="22.5" customHeight="1">
      <c r="A4786" s="42"/>
      <c r="B4786" s="47"/>
      <c r="C4786" s="46"/>
      <c r="D4786" s="47"/>
      <c r="E4786" s="46"/>
      <c r="F4786" s="47"/>
      <c r="G4786" s="46"/>
      <c r="H4786" s="48"/>
      <c r="I4786" s="49"/>
    </row>
    <row r="4787" ht="22.5" customHeight="1">
      <c r="A4787" s="42"/>
      <c r="B4787" s="47"/>
      <c r="C4787" s="46"/>
      <c r="D4787" s="47"/>
      <c r="E4787" s="46"/>
      <c r="F4787" s="47"/>
      <c r="G4787" s="46"/>
      <c r="H4787" s="50"/>
      <c r="I4787" s="51"/>
    </row>
    <row r="4788" ht="22.5" customHeight="1">
      <c r="A4788" s="42"/>
      <c r="B4788" s="47"/>
      <c r="C4788" s="46"/>
      <c r="D4788" s="47"/>
      <c r="E4788" s="46"/>
      <c r="F4788" s="47"/>
      <c r="G4788" s="46"/>
      <c r="H4788" s="48"/>
      <c r="I4788" s="49"/>
    </row>
    <row r="4789" ht="22.5" customHeight="1">
      <c r="A4789" s="42"/>
      <c r="B4789" s="47"/>
      <c r="C4789" s="46"/>
      <c r="D4789" s="47"/>
      <c r="E4789" s="46"/>
      <c r="F4789" s="47"/>
      <c r="G4789" s="46"/>
      <c r="H4789" s="50"/>
      <c r="I4789" s="51"/>
    </row>
    <row r="4790" ht="22.5" customHeight="1">
      <c r="A4790" s="42"/>
      <c r="B4790" s="47"/>
      <c r="C4790" s="46"/>
      <c r="D4790" s="47"/>
      <c r="E4790" s="46"/>
      <c r="F4790" s="47"/>
      <c r="G4790" s="46"/>
      <c r="H4790" s="48"/>
      <c r="I4790" s="49"/>
    </row>
    <row r="4791" ht="22.5" customHeight="1">
      <c r="A4791" s="42"/>
      <c r="B4791" s="47"/>
      <c r="C4791" s="46"/>
      <c r="D4791" s="47"/>
      <c r="E4791" s="46"/>
      <c r="F4791" s="47"/>
      <c r="G4791" s="46"/>
      <c r="H4791" s="50"/>
      <c r="I4791" s="51"/>
    </row>
    <row r="4792" ht="22.5" customHeight="1">
      <c r="A4792" s="42"/>
      <c r="B4792" s="47"/>
      <c r="C4792" s="46"/>
      <c r="D4792" s="47"/>
      <c r="E4792" s="46"/>
      <c r="F4792" s="47"/>
      <c r="G4792" s="46"/>
      <c r="H4792" s="48"/>
      <c r="I4792" s="49"/>
    </row>
    <row r="4793" ht="22.5" customHeight="1">
      <c r="A4793" s="42"/>
      <c r="B4793" s="47"/>
      <c r="C4793" s="46"/>
      <c r="D4793" s="47"/>
      <c r="E4793" s="46"/>
      <c r="F4793" s="47"/>
      <c r="G4793" s="46"/>
      <c r="H4793" s="50"/>
      <c r="I4793" s="51"/>
    </row>
    <row r="4794" ht="22.5" customHeight="1">
      <c r="A4794" s="42"/>
      <c r="B4794" s="47"/>
      <c r="C4794" s="46"/>
      <c r="D4794" s="47"/>
      <c r="E4794" s="46"/>
      <c r="F4794" s="47"/>
      <c r="G4794" s="46"/>
      <c r="H4794" s="48"/>
      <c r="I4794" s="49"/>
    </row>
    <row r="4795" ht="22.5" customHeight="1">
      <c r="A4795" s="42"/>
      <c r="B4795" s="47"/>
      <c r="C4795" s="46"/>
      <c r="D4795" s="47"/>
      <c r="E4795" s="46"/>
      <c r="F4795" s="47"/>
      <c r="G4795" s="46"/>
      <c r="H4795" s="50"/>
      <c r="I4795" s="51"/>
    </row>
    <row r="4796" ht="22.5" customHeight="1">
      <c r="A4796" s="42"/>
      <c r="B4796" s="47"/>
      <c r="C4796" s="46"/>
      <c r="D4796" s="47"/>
      <c r="E4796" s="46"/>
      <c r="F4796" s="47"/>
      <c r="G4796" s="46"/>
      <c r="H4796" s="48"/>
      <c r="I4796" s="49"/>
    </row>
    <row r="4797" ht="22.5" customHeight="1">
      <c r="A4797" s="42"/>
      <c r="B4797" s="47"/>
      <c r="C4797" s="46"/>
      <c r="D4797" s="47"/>
      <c r="E4797" s="46"/>
      <c r="F4797" s="47"/>
      <c r="G4797" s="46"/>
      <c r="H4797" s="50"/>
      <c r="I4797" s="51"/>
    </row>
    <row r="4798" ht="22.5" customHeight="1">
      <c r="A4798" s="42"/>
      <c r="B4798" s="47"/>
      <c r="C4798" s="46"/>
      <c r="D4798" s="47"/>
      <c r="E4798" s="46"/>
      <c r="F4798" s="47"/>
      <c r="G4798" s="46"/>
      <c r="H4798" s="48"/>
      <c r="I4798" s="49"/>
    </row>
    <row r="4799" ht="22.5" customHeight="1">
      <c r="A4799" s="42"/>
      <c r="B4799" s="47"/>
      <c r="C4799" s="46"/>
      <c r="D4799" s="47"/>
      <c r="E4799" s="46"/>
      <c r="F4799" s="47"/>
      <c r="G4799" s="46"/>
      <c r="H4799" s="50"/>
      <c r="I4799" s="51"/>
    </row>
    <row r="4800" ht="22.5" customHeight="1">
      <c r="A4800" s="42"/>
      <c r="B4800" s="47"/>
      <c r="C4800" s="46"/>
      <c r="D4800" s="47"/>
      <c r="E4800" s="46"/>
      <c r="F4800" s="47"/>
      <c r="G4800" s="46"/>
      <c r="H4800" s="48"/>
      <c r="I4800" s="49"/>
    </row>
    <row r="4801" ht="22.5" customHeight="1">
      <c r="A4801" s="42"/>
      <c r="B4801" s="47"/>
      <c r="C4801" s="46"/>
      <c r="D4801" s="47"/>
      <c r="E4801" s="46"/>
      <c r="F4801" s="47"/>
      <c r="G4801" s="46"/>
      <c r="H4801" s="50"/>
      <c r="I4801" s="51"/>
    </row>
    <row r="4802" ht="22.5" customHeight="1">
      <c r="A4802" s="42"/>
      <c r="B4802" s="47"/>
      <c r="C4802" s="46"/>
      <c r="D4802" s="47"/>
      <c r="E4802" s="46"/>
      <c r="F4802" s="47"/>
      <c r="G4802" s="46"/>
      <c r="H4802" s="48"/>
      <c r="I4802" s="49"/>
    </row>
    <row r="4803" ht="22.5" customHeight="1">
      <c r="A4803" s="42"/>
      <c r="B4803" s="47"/>
      <c r="C4803" s="46"/>
      <c r="D4803" s="47"/>
      <c r="E4803" s="46"/>
      <c r="F4803" s="47"/>
      <c r="G4803" s="46"/>
      <c r="H4803" s="50"/>
      <c r="I4803" s="51"/>
    </row>
    <row r="4804" ht="22.5" customHeight="1">
      <c r="A4804" s="42"/>
      <c r="B4804" s="47"/>
      <c r="C4804" s="46"/>
      <c r="D4804" s="47"/>
      <c r="E4804" s="46"/>
      <c r="F4804" s="47"/>
      <c r="G4804" s="46"/>
      <c r="H4804" s="48"/>
      <c r="I4804" s="49"/>
    </row>
    <row r="4805" ht="22.5" customHeight="1">
      <c r="A4805" s="42"/>
      <c r="B4805" s="47"/>
      <c r="C4805" s="46"/>
      <c r="D4805" s="47"/>
      <c r="E4805" s="46"/>
      <c r="F4805" s="47"/>
      <c r="G4805" s="46"/>
      <c r="H4805" s="50"/>
      <c r="I4805" s="51"/>
    </row>
    <row r="4806" ht="22.5" customHeight="1">
      <c r="A4806" s="42"/>
      <c r="B4806" s="47"/>
      <c r="C4806" s="46"/>
      <c r="D4806" s="47"/>
      <c r="E4806" s="46"/>
      <c r="F4806" s="47"/>
      <c r="G4806" s="46"/>
      <c r="H4806" s="48"/>
      <c r="I4806" s="49"/>
    </row>
    <row r="4807" ht="22.5" customHeight="1">
      <c r="A4807" s="42"/>
      <c r="B4807" s="47"/>
      <c r="C4807" s="46"/>
      <c r="D4807" s="47"/>
      <c r="E4807" s="46"/>
      <c r="F4807" s="47"/>
      <c r="G4807" s="46"/>
      <c r="H4807" s="50"/>
      <c r="I4807" s="51"/>
    </row>
    <row r="4808" ht="22.5" customHeight="1">
      <c r="A4808" s="42"/>
      <c r="B4808" s="47"/>
      <c r="C4808" s="46"/>
      <c r="D4808" s="47"/>
      <c r="E4808" s="46"/>
      <c r="F4808" s="47"/>
      <c r="G4808" s="46"/>
      <c r="H4808" s="48"/>
      <c r="I4808" s="49"/>
    </row>
    <row r="4809" ht="22.5" customHeight="1">
      <c r="A4809" s="42"/>
      <c r="B4809" s="47"/>
      <c r="C4809" s="46"/>
      <c r="D4809" s="47"/>
      <c r="E4809" s="46"/>
      <c r="F4809" s="47"/>
      <c r="G4809" s="46"/>
      <c r="H4809" s="50"/>
      <c r="I4809" s="51"/>
    </row>
    <row r="4810" ht="22.5" customHeight="1">
      <c r="A4810" s="42"/>
      <c r="B4810" s="47"/>
      <c r="C4810" s="46"/>
      <c r="D4810" s="47"/>
      <c r="E4810" s="46"/>
      <c r="F4810" s="47"/>
      <c r="G4810" s="46"/>
      <c r="H4810" s="48"/>
      <c r="I4810" s="49"/>
    </row>
    <row r="4811" ht="22.5" customHeight="1">
      <c r="A4811" s="42"/>
      <c r="B4811" s="47"/>
      <c r="C4811" s="46"/>
      <c r="D4811" s="47"/>
      <c r="E4811" s="46"/>
      <c r="F4811" s="47"/>
      <c r="G4811" s="46"/>
      <c r="H4811" s="50"/>
      <c r="I4811" s="51"/>
    </row>
    <row r="4812" ht="22.5" customHeight="1">
      <c r="A4812" s="42"/>
      <c r="B4812" s="47"/>
      <c r="C4812" s="46"/>
      <c r="D4812" s="47"/>
      <c r="E4812" s="46"/>
      <c r="F4812" s="47"/>
      <c r="G4812" s="46"/>
      <c r="H4812" s="48"/>
      <c r="I4812" s="49"/>
    </row>
    <row r="4813" ht="22.5" customHeight="1">
      <c r="A4813" s="42"/>
      <c r="B4813" s="47"/>
      <c r="C4813" s="46"/>
      <c r="D4813" s="47"/>
      <c r="E4813" s="46"/>
      <c r="F4813" s="47"/>
      <c r="G4813" s="46"/>
      <c r="H4813" s="50"/>
      <c r="I4813" s="51"/>
    </row>
    <row r="4814" ht="22.5" customHeight="1">
      <c r="A4814" s="42"/>
      <c r="B4814" s="47"/>
      <c r="C4814" s="46"/>
      <c r="D4814" s="47"/>
      <c r="E4814" s="46"/>
      <c r="F4814" s="47"/>
      <c r="G4814" s="46"/>
      <c r="H4814" s="48"/>
      <c r="I4814" s="49"/>
    </row>
    <row r="4815" ht="22.5" customHeight="1">
      <c r="A4815" s="42"/>
      <c r="B4815" s="47"/>
      <c r="C4815" s="46"/>
      <c r="D4815" s="47"/>
      <c r="E4815" s="46"/>
      <c r="F4815" s="47"/>
      <c r="G4815" s="46"/>
      <c r="H4815" s="50"/>
      <c r="I4815" s="51"/>
    </row>
    <row r="4816" ht="22.5" customHeight="1">
      <c r="A4816" s="42"/>
      <c r="B4816" s="47"/>
      <c r="C4816" s="46"/>
      <c r="D4816" s="47"/>
      <c r="E4816" s="46"/>
      <c r="F4816" s="47"/>
      <c r="G4816" s="46"/>
      <c r="H4816" s="48"/>
      <c r="I4816" s="49"/>
    </row>
    <row r="4817" ht="22.5" customHeight="1">
      <c r="A4817" s="42"/>
      <c r="B4817" s="47"/>
      <c r="C4817" s="46"/>
      <c r="D4817" s="47"/>
      <c r="E4817" s="46"/>
      <c r="F4817" s="47"/>
      <c r="G4817" s="46"/>
      <c r="H4817" s="50"/>
      <c r="I4817" s="51"/>
    </row>
    <row r="4818" ht="22.5" customHeight="1">
      <c r="A4818" s="42"/>
      <c r="B4818" s="47"/>
      <c r="C4818" s="46"/>
      <c r="D4818" s="47"/>
      <c r="E4818" s="46"/>
      <c r="F4818" s="47"/>
      <c r="G4818" s="46"/>
      <c r="H4818" s="48"/>
      <c r="I4818" s="49"/>
    </row>
    <row r="4819" ht="22.5" customHeight="1">
      <c r="A4819" s="42"/>
      <c r="B4819" s="47"/>
      <c r="C4819" s="46"/>
      <c r="D4819" s="47"/>
      <c r="E4819" s="46"/>
      <c r="F4819" s="47"/>
      <c r="G4819" s="46"/>
      <c r="H4819" s="50"/>
      <c r="I4819" s="51"/>
    </row>
    <row r="4820" ht="22.5" customHeight="1">
      <c r="A4820" s="42"/>
      <c r="B4820" s="47"/>
      <c r="C4820" s="46"/>
      <c r="D4820" s="47"/>
      <c r="E4820" s="46"/>
      <c r="F4820" s="47"/>
      <c r="G4820" s="46"/>
      <c r="H4820" s="48"/>
      <c r="I4820" s="49"/>
    </row>
    <row r="4821" ht="22.5" customHeight="1">
      <c r="A4821" s="42"/>
      <c r="B4821" s="47"/>
      <c r="C4821" s="46"/>
      <c r="D4821" s="47"/>
      <c r="E4821" s="46"/>
      <c r="F4821" s="47"/>
      <c r="G4821" s="46"/>
      <c r="H4821" s="50"/>
      <c r="I4821" s="51"/>
    </row>
    <row r="4822" ht="22.5" customHeight="1">
      <c r="A4822" s="42"/>
      <c r="B4822" s="47"/>
      <c r="C4822" s="46"/>
      <c r="D4822" s="47"/>
      <c r="E4822" s="46"/>
      <c r="F4822" s="47"/>
      <c r="G4822" s="46"/>
      <c r="H4822" s="48"/>
      <c r="I4822" s="49"/>
    </row>
    <row r="4823" ht="22.5" customHeight="1">
      <c r="A4823" s="42"/>
      <c r="B4823" s="47"/>
      <c r="C4823" s="46"/>
      <c r="D4823" s="47"/>
      <c r="E4823" s="46"/>
      <c r="F4823" s="47"/>
      <c r="G4823" s="46"/>
      <c r="H4823" s="50"/>
      <c r="I4823" s="51"/>
    </row>
    <row r="4824" ht="22.5" customHeight="1">
      <c r="A4824" s="42"/>
      <c r="B4824" s="47"/>
      <c r="C4824" s="46"/>
      <c r="D4824" s="47"/>
      <c r="E4824" s="46"/>
      <c r="F4824" s="47"/>
      <c r="G4824" s="46"/>
      <c r="H4824" s="48"/>
      <c r="I4824" s="49"/>
    </row>
    <row r="4825" ht="22.5" customHeight="1">
      <c r="A4825" s="42"/>
      <c r="B4825" s="47"/>
      <c r="C4825" s="46"/>
      <c r="D4825" s="47"/>
      <c r="E4825" s="46"/>
      <c r="F4825" s="47"/>
      <c r="G4825" s="46"/>
      <c r="H4825" s="50"/>
      <c r="I4825" s="51"/>
    </row>
    <row r="4826" ht="22.5" customHeight="1">
      <c r="A4826" s="42"/>
      <c r="B4826" s="47"/>
      <c r="C4826" s="46"/>
      <c r="D4826" s="47"/>
      <c r="E4826" s="46"/>
      <c r="F4826" s="47"/>
      <c r="G4826" s="46"/>
      <c r="H4826" s="48"/>
      <c r="I4826" s="49"/>
    </row>
    <row r="4827" ht="22.5" customHeight="1">
      <c r="A4827" s="42"/>
      <c r="B4827" s="47"/>
      <c r="C4827" s="46"/>
      <c r="D4827" s="47"/>
      <c r="E4827" s="46"/>
      <c r="F4827" s="47"/>
      <c r="G4827" s="46"/>
      <c r="H4827" s="50"/>
      <c r="I4827" s="51"/>
    </row>
    <row r="4828" ht="22.5" customHeight="1">
      <c r="A4828" s="42"/>
      <c r="B4828" s="47"/>
      <c r="C4828" s="46"/>
      <c r="D4828" s="47"/>
      <c r="E4828" s="46"/>
      <c r="F4828" s="47"/>
      <c r="G4828" s="46"/>
      <c r="H4828" s="48"/>
      <c r="I4828" s="49"/>
    </row>
    <row r="4829" ht="22.5" customHeight="1">
      <c r="A4829" s="42"/>
      <c r="B4829" s="47"/>
      <c r="C4829" s="46"/>
      <c r="D4829" s="47"/>
      <c r="E4829" s="46"/>
      <c r="F4829" s="47"/>
      <c r="G4829" s="46"/>
      <c r="H4829" s="50"/>
      <c r="I4829" s="51"/>
    </row>
    <row r="4830" ht="22.5" customHeight="1">
      <c r="A4830" s="42"/>
      <c r="B4830" s="47"/>
      <c r="C4830" s="46"/>
      <c r="D4830" s="47"/>
      <c r="E4830" s="46"/>
      <c r="F4830" s="47"/>
      <c r="G4830" s="46"/>
      <c r="H4830" s="48"/>
      <c r="I4830" s="49"/>
    </row>
    <row r="4831" ht="22.5" customHeight="1">
      <c r="A4831" s="42"/>
      <c r="B4831" s="47"/>
      <c r="C4831" s="46"/>
      <c r="D4831" s="47"/>
      <c r="E4831" s="46"/>
      <c r="F4831" s="47"/>
      <c r="G4831" s="46"/>
      <c r="H4831" s="50"/>
      <c r="I4831" s="51"/>
    </row>
    <row r="4832" ht="22.5" customHeight="1">
      <c r="A4832" s="42"/>
      <c r="B4832" s="47"/>
      <c r="C4832" s="46"/>
      <c r="D4832" s="47"/>
      <c r="E4832" s="46"/>
      <c r="F4832" s="47"/>
      <c r="G4832" s="46"/>
      <c r="H4832" s="48"/>
      <c r="I4832" s="49"/>
    </row>
    <row r="4833" ht="22.5" customHeight="1">
      <c r="A4833" s="42"/>
      <c r="B4833" s="47"/>
      <c r="C4833" s="46"/>
      <c r="D4833" s="47"/>
      <c r="E4833" s="46"/>
      <c r="F4833" s="47"/>
      <c r="G4833" s="46"/>
      <c r="H4833" s="50"/>
      <c r="I4833" s="51"/>
    </row>
    <row r="4834" ht="22.5" customHeight="1">
      <c r="A4834" s="42"/>
      <c r="B4834" s="47"/>
      <c r="C4834" s="46"/>
      <c r="D4834" s="47"/>
      <c r="E4834" s="46"/>
      <c r="F4834" s="47"/>
      <c r="G4834" s="46"/>
      <c r="H4834" s="48"/>
      <c r="I4834" s="49"/>
    </row>
    <row r="4835" ht="22.5" customHeight="1">
      <c r="A4835" s="42"/>
      <c r="B4835" s="47"/>
      <c r="C4835" s="46"/>
      <c r="D4835" s="47"/>
      <c r="E4835" s="46"/>
      <c r="F4835" s="47"/>
      <c r="G4835" s="46"/>
      <c r="H4835" s="50"/>
      <c r="I4835" s="51"/>
    </row>
    <row r="4836" ht="22.5" customHeight="1">
      <c r="A4836" s="42"/>
      <c r="B4836" s="47"/>
      <c r="C4836" s="46"/>
      <c r="D4836" s="47"/>
      <c r="E4836" s="46"/>
      <c r="F4836" s="47"/>
      <c r="G4836" s="46"/>
      <c r="H4836" s="48"/>
      <c r="I4836" s="49"/>
    </row>
    <row r="4837" ht="22.5" customHeight="1">
      <c r="A4837" s="42"/>
      <c r="B4837" s="47"/>
      <c r="C4837" s="46"/>
      <c r="D4837" s="47"/>
      <c r="E4837" s="46"/>
      <c r="F4837" s="47"/>
      <c r="G4837" s="46"/>
      <c r="H4837" s="50"/>
      <c r="I4837" s="51"/>
    </row>
    <row r="4838" ht="22.5" customHeight="1">
      <c r="A4838" s="42"/>
      <c r="B4838" s="47"/>
      <c r="C4838" s="46"/>
      <c r="D4838" s="47"/>
      <c r="E4838" s="46"/>
      <c r="F4838" s="47"/>
      <c r="G4838" s="46"/>
      <c r="H4838" s="48"/>
      <c r="I4838" s="49"/>
    </row>
    <row r="4839" ht="22.5" customHeight="1">
      <c r="A4839" s="42"/>
      <c r="B4839" s="47"/>
      <c r="C4839" s="46"/>
      <c r="D4839" s="47"/>
      <c r="E4839" s="46"/>
      <c r="F4839" s="47"/>
      <c r="G4839" s="46"/>
      <c r="H4839" s="50"/>
      <c r="I4839" s="51"/>
    </row>
    <row r="4840" ht="22.5" customHeight="1">
      <c r="A4840" s="42"/>
      <c r="B4840" s="47"/>
      <c r="C4840" s="46"/>
      <c r="D4840" s="47"/>
      <c r="E4840" s="46"/>
      <c r="F4840" s="47"/>
      <c r="G4840" s="46"/>
      <c r="H4840" s="48"/>
      <c r="I4840" s="49"/>
    </row>
    <row r="4841" ht="22.5" customHeight="1">
      <c r="A4841" s="42"/>
      <c r="B4841" s="47"/>
      <c r="C4841" s="46"/>
      <c r="D4841" s="47"/>
      <c r="E4841" s="46"/>
      <c r="F4841" s="47"/>
      <c r="G4841" s="46"/>
      <c r="H4841" s="50"/>
      <c r="I4841" s="51"/>
    </row>
    <row r="4842" ht="22.5" customHeight="1">
      <c r="A4842" s="42"/>
      <c r="B4842" s="47"/>
      <c r="C4842" s="46"/>
      <c r="D4842" s="47"/>
      <c r="E4842" s="46"/>
      <c r="F4842" s="47"/>
      <c r="G4842" s="46"/>
      <c r="H4842" s="48"/>
      <c r="I4842" s="49"/>
    </row>
    <row r="4843" ht="22.5" customHeight="1">
      <c r="A4843" s="42"/>
      <c r="B4843" s="47"/>
      <c r="C4843" s="46"/>
      <c r="D4843" s="47"/>
      <c r="E4843" s="46"/>
      <c r="F4843" s="47"/>
      <c r="G4843" s="46"/>
      <c r="H4843" s="50"/>
      <c r="I4843" s="51"/>
    </row>
    <row r="4844" ht="22.5" customHeight="1">
      <c r="A4844" s="42"/>
      <c r="B4844" s="47"/>
      <c r="C4844" s="46"/>
      <c r="D4844" s="47"/>
      <c r="E4844" s="46"/>
      <c r="F4844" s="47"/>
      <c r="G4844" s="46"/>
      <c r="H4844" s="48"/>
      <c r="I4844" s="49"/>
    </row>
    <row r="4845" ht="22.5" customHeight="1">
      <c r="A4845" s="42"/>
      <c r="B4845" s="47"/>
      <c r="C4845" s="46"/>
      <c r="D4845" s="47"/>
      <c r="E4845" s="46"/>
      <c r="F4845" s="47"/>
      <c r="G4845" s="46"/>
      <c r="H4845" s="50"/>
      <c r="I4845" s="51"/>
    </row>
    <row r="4846" ht="22.5" customHeight="1">
      <c r="A4846" s="42"/>
      <c r="B4846" s="47"/>
      <c r="C4846" s="46"/>
      <c r="D4846" s="47"/>
      <c r="E4846" s="46"/>
      <c r="F4846" s="47"/>
      <c r="G4846" s="46"/>
      <c r="H4846" s="48"/>
      <c r="I4846" s="49"/>
    </row>
    <row r="4847" ht="22.5" customHeight="1">
      <c r="A4847" s="42"/>
      <c r="B4847" s="47"/>
      <c r="C4847" s="46"/>
      <c r="D4847" s="47"/>
      <c r="E4847" s="46"/>
      <c r="F4847" s="47"/>
      <c r="G4847" s="46"/>
      <c r="H4847" s="50"/>
      <c r="I4847" s="51"/>
    </row>
    <row r="4848" ht="22.5" customHeight="1">
      <c r="A4848" s="42"/>
      <c r="B4848" s="47"/>
      <c r="C4848" s="46"/>
      <c r="D4848" s="47"/>
      <c r="E4848" s="46"/>
      <c r="F4848" s="47"/>
      <c r="G4848" s="46"/>
      <c r="H4848" s="48"/>
      <c r="I4848" s="49"/>
    </row>
    <row r="4849" ht="22.5" customHeight="1">
      <c r="A4849" s="42"/>
      <c r="B4849" s="47"/>
      <c r="C4849" s="46"/>
      <c r="D4849" s="47"/>
      <c r="E4849" s="46"/>
      <c r="F4849" s="47"/>
      <c r="G4849" s="46"/>
      <c r="H4849" s="50"/>
      <c r="I4849" s="51"/>
    </row>
    <row r="4850" ht="22.5" customHeight="1">
      <c r="A4850" s="42"/>
      <c r="B4850" s="47"/>
      <c r="C4850" s="46"/>
      <c r="D4850" s="47"/>
      <c r="E4850" s="46"/>
      <c r="F4850" s="47"/>
      <c r="G4850" s="46"/>
      <c r="H4850" s="48"/>
      <c r="I4850" s="49"/>
    </row>
    <row r="4851" ht="22.5" customHeight="1">
      <c r="A4851" s="42"/>
      <c r="B4851" s="47"/>
      <c r="C4851" s="46"/>
      <c r="D4851" s="47"/>
      <c r="E4851" s="46"/>
      <c r="F4851" s="47"/>
      <c r="G4851" s="46"/>
      <c r="H4851" s="50"/>
      <c r="I4851" s="51"/>
    </row>
    <row r="4852" ht="22.5" customHeight="1">
      <c r="A4852" s="42"/>
      <c r="B4852" s="47"/>
      <c r="C4852" s="46"/>
      <c r="D4852" s="47"/>
      <c r="E4852" s="46"/>
      <c r="F4852" s="47"/>
      <c r="G4852" s="46"/>
      <c r="H4852" s="48"/>
      <c r="I4852" s="49"/>
    </row>
    <row r="4853" ht="22.5" customHeight="1">
      <c r="A4853" s="42"/>
      <c r="B4853" s="47"/>
      <c r="C4853" s="46"/>
      <c r="D4853" s="47"/>
      <c r="E4853" s="46"/>
      <c r="F4853" s="47"/>
      <c r="G4853" s="46"/>
      <c r="H4853" s="50"/>
      <c r="I4853" s="51"/>
    </row>
    <row r="4854" ht="22.5" customHeight="1">
      <c r="A4854" s="42"/>
      <c r="B4854" s="47"/>
      <c r="C4854" s="46"/>
      <c r="D4854" s="47"/>
      <c r="E4854" s="46"/>
      <c r="F4854" s="47"/>
      <c r="G4854" s="46"/>
      <c r="H4854" s="48"/>
      <c r="I4854" s="49"/>
    </row>
    <row r="4855" ht="22.5" customHeight="1">
      <c r="A4855" s="42"/>
      <c r="B4855" s="47"/>
      <c r="C4855" s="46"/>
      <c r="D4855" s="47"/>
      <c r="E4855" s="46"/>
      <c r="F4855" s="47"/>
      <c r="G4855" s="46"/>
      <c r="H4855" s="50"/>
      <c r="I4855" s="51"/>
    </row>
    <row r="4856" ht="22.5" customHeight="1">
      <c r="A4856" s="42"/>
      <c r="B4856" s="47"/>
      <c r="C4856" s="46"/>
      <c r="D4856" s="47"/>
      <c r="E4856" s="46"/>
      <c r="F4856" s="47"/>
      <c r="G4856" s="46"/>
      <c r="H4856" s="48"/>
      <c r="I4856" s="49"/>
    </row>
    <row r="4857" ht="22.5" customHeight="1">
      <c r="A4857" s="42"/>
      <c r="B4857" s="47"/>
      <c r="C4857" s="46"/>
      <c r="D4857" s="47"/>
      <c r="E4857" s="46"/>
      <c r="F4857" s="47"/>
      <c r="G4857" s="46"/>
      <c r="H4857" s="50"/>
      <c r="I4857" s="51"/>
    </row>
    <row r="4858" ht="22.5" customHeight="1">
      <c r="A4858" s="42"/>
      <c r="B4858" s="47"/>
      <c r="C4858" s="46"/>
      <c r="D4858" s="47"/>
      <c r="E4858" s="46"/>
      <c r="F4858" s="47"/>
      <c r="G4858" s="46"/>
      <c r="H4858" s="48"/>
      <c r="I4858" s="49"/>
    </row>
    <row r="4859" ht="22.5" customHeight="1">
      <c r="A4859" s="42"/>
      <c r="B4859" s="47"/>
      <c r="C4859" s="46"/>
      <c r="D4859" s="47"/>
      <c r="E4859" s="46"/>
      <c r="F4859" s="47"/>
      <c r="G4859" s="46"/>
      <c r="H4859" s="50"/>
      <c r="I4859" s="51"/>
    </row>
    <row r="4860" ht="22.5" customHeight="1">
      <c r="A4860" s="42"/>
      <c r="B4860" s="47"/>
      <c r="C4860" s="46"/>
      <c r="D4860" s="47"/>
      <c r="E4860" s="46"/>
      <c r="F4860" s="47"/>
      <c r="G4860" s="46"/>
      <c r="H4860" s="48"/>
      <c r="I4860" s="49"/>
    </row>
    <row r="4861" ht="22.5" customHeight="1">
      <c r="A4861" s="42"/>
      <c r="B4861" s="47"/>
      <c r="C4861" s="46"/>
      <c r="D4861" s="47"/>
      <c r="E4861" s="46"/>
      <c r="F4861" s="47"/>
      <c r="G4861" s="46"/>
      <c r="H4861" s="50"/>
      <c r="I4861" s="51"/>
    </row>
    <row r="4862" ht="22.5" customHeight="1">
      <c r="A4862" s="42"/>
      <c r="B4862" s="47"/>
      <c r="C4862" s="46"/>
      <c r="D4862" s="47"/>
      <c r="E4862" s="46"/>
      <c r="F4862" s="47"/>
      <c r="G4862" s="46"/>
      <c r="H4862" s="48"/>
      <c r="I4862" s="49"/>
    </row>
    <row r="4863" ht="22.5" customHeight="1">
      <c r="A4863" s="42"/>
      <c r="B4863" s="47"/>
      <c r="C4863" s="46"/>
      <c r="D4863" s="47"/>
      <c r="E4863" s="46"/>
      <c r="F4863" s="47"/>
      <c r="G4863" s="46"/>
      <c r="H4863" s="50"/>
      <c r="I4863" s="51"/>
    </row>
    <row r="4864" ht="22.5" customHeight="1">
      <c r="A4864" s="42"/>
      <c r="B4864" s="47"/>
      <c r="C4864" s="46"/>
      <c r="D4864" s="47"/>
      <c r="E4864" s="46"/>
      <c r="F4864" s="47"/>
      <c r="G4864" s="46"/>
      <c r="H4864" s="48"/>
      <c r="I4864" s="49"/>
    </row>
    <row r="4865" ht="22.5" customHeight="1">
      <c r="A4865" s="42"/>
      <c r="B4865" s="47"/>
      <c r="C4865" s="46"/>
      <c r="D4865" s="47"/>
      <c r="E4865" s="46"/>
      <c r="F4865" s="47"/>
      <c r="G4865" s="46"/>
      <c r="H4865" s="50"/>
      <c r="I4865" s="51"/>
    </row>
    <row r="4866" ht="22.5" customHeight="1">
      <c r="A4866" s="42"/>
      <c r="B4866" s="47"/>
      <c r="C4866" s="46"/>
      <c r="D4866" s="47"/>
      <c r="E4866" s="46"/>
      <c r="F4866" s="47"/>
      <c r="G4866" s="46"/>
      <c r="H4866" s="48"/>
      <c r="I4866" s="49"/>
    </row>
    <row r="4867" ht="22.5" customHeight="1">
      <c r="A4867" s="42"/>
      <c r="B4867" s="47"/>
      <c r="C4867" s="46"/>
      <c r="D4867" s="47"/>
      <c r="E4867" s="46"/>
      <c r="F4867" s="47"/>
      <c r="G4867" s="46"/>
      <c r="H4867" s="50"/>
      <c r="I4867" s="51"/>
    </row>
    <row r="4868" ht="22.5" customHeight="1">
      <c r="A4868" s="42"/>
      <c r="B4868" s="47"/>
      <c r="C4868" s="46"/>
      <c r="D4868" s="47"/>
      <c r="E4868" s="46"/>
      <c r="F4868" s="47"/>
      <c r="G4868" s="46"/>
      <c r="H4868" s="48"/>
      <c r="I4868" s="49"/>
    </row>
    <row r="4869" ht="22.5" customHeight="1">
      <c r="A4869" s="42"/>
      <c r="B4869" s="47"/>
      <c r="C4869" s="46"/>
      <c r="D4869" s="47"/>
      <c r="E4869" s="46"/>
      <c r="F4869" s="47"/>
      <c r="G4869" s="46"/>
      <c r="H4869" s="50"/>
      <c r="I4869" s="51"/>
    </row>
    <row r="4870" ht="22.5" customHeight="1">
      <c r="A4870" s="42"/>
      <c r="B4870" s="47"/>
      <c r="C4870" s="46"/>
      <c r="D4870" s="47"/>
      <c r="E4870" s="46"/>
      <c r="F4870" s="47"/>
      <c r="G4870" s="46"/>
      <c r="H4870" s="48"/>
      <c r="I4870" s="49"/>
    </row>
    <row r="4871" ht="22.5" customHeight="1">
      <c r="A4871" s="42"/>
      <c r="B4871" s="47"/>
      <c r="C4871" s="46"/>
      <c r="D4871" s="47"/>
      <c r="E4871" s="46"/>
      <c r="F4871" s="47"/>
      <c r="G4871" s="46"/>
      <c r="H4871" s="50"/>
      <c r="I4871" s="51"/>
    </row>
    <row r="4872" ht="22.5" customHeight="1">
      <c r="A4872" s="42"/>
      <c r="B4872" s="47"/>
      <c r="C4872" s="46"/>
      <c r="D4872" s="47"/>
      <c r="E4872" s="46"/>
      <c r="F4872" s="47"/>
      <c r="G4872" s="46"/>
      <c r="H4872" s="48"/>
      <c r="I4872" s="49"/>
    </row>
    <row r="4873" ht="22.5" customHeight="1">
      <c r="A4873" s="42"/>
      <c r="B4873" s="47"/>
      <c r="C4873" s="46"/>
      <c r="D4873" s="47"/>
      <c r="E4873" s="46"/>
      <c r="F4873" s="47"/>
      <c r="G4873" s="46"/>
      <c r="H4873" s="50"/>
      <c r="I4873" s="51"/>
    </row>
    <row r="4874" ht="22.5" customHeight="1">
      <c r="A4874" s="42"/>
      <c r="B4874" s="47"/>
      <c r="C4874" s="46"/>
      <c r="D4874" s="47"/>
      <c r="E4874" s="46"/>
      <c r="F4874" s="47"/>
      <c r="G4874" s="46"/>
      <c r="H4874" s="48"/>
      <c r="I4874" s="49"/>
    </row>
    <row r="4875" ht="22.5" customHeight="1">
      <c r="A4875" s="42"/>
      <c r="B4875" s="47"/>
      <c r="C4875" s="46"/>
      <c r="D4875" s="47"/>
      <c r="E4875" s="46"/>
      <c r="F4875" s="47"/>
      <c r="G4875" s="46"/>
      <c r="H4875" s="50"/>
      <c r="I4875" s="51"/>
    </row>
    <row r="4876" ht="22.5" customHeight="1">
      <c r="A4876" s="42"/>
      <c r="B4876" s="47"/>
      <c r="C4876" s="46"/>
      <c r="D4876" s="47"/>
      <c r="E4876" s="46"/>
      <c r="F4876" s="47"/>
      <c r="G4876" s="46"/>
      <c r="H4876" s="48"/>
      <c r="I4876" s="49"/>
    </row>
    <row r="4877" ht="22.5" customHeight="1">
      <c r="A4877" s="42"/>
      <c r="B4877" s="47"/>
      <c r="C4877" s="46"/>
      <c r="D4877" s="47"/>
      <c r="E4877" s="46"/>
      <c r="F4877" s="47"/>
      <c r="G4877" s="46"/>
      <c r="H4877" s="50"/>
      <c r="I4877" s="51"/>
    </row>
    <row r="4878" ht="22.5" customHeight="1">
      <c r="A4878" s="42"/>
      <c r="B4878" s="47"/>
      <c r="C4878" s="46"/>
      <c r="D4878" s="47"/>
      <c r="E4878" s="46"/>
      <c r="F4878" s="47"/>
      <c r="G4878" s="46"/>
      <c r="H4878" s="48"/>
      <c r="I4878" s="49"/>
    </row>
    <row r="4879" ht="22.5" customHeight="1">
      <c r="A4879" s="42"/>
      <c r="B4879" s="47"/>
      <c r="C4879" s="46"/>
      <c r="D4879" s="47"/>
      <c r="E4879" s="46"/>
      <c r="F4879" s="47"/>
      <c r="G4879" s="46"/>
      <c r="H4879" s="50"/>
      <c r="I4879" s="51"/>
    </row>
    <row r="4880" ht="22.5" customHeight="1">
      <c r="A4880" s="42"/>
      <c r="B4880" s="47"/>
      <c r="C4880" s="46"/>
      <c r="D4880" s="47"/>
      <c r="E4880" s="46"/>
      <c r="F4880" s="47"/>
      <c r="G4880" s="46"/>
      <c r="H4880" s="48"/>
      <c r="I4880" s="49"/>
    </row>
    <row r="4881" ht="22.5" customHeight="1">
      <c r="A4881" s="42"/>
      <c r="B4881" s="47"/>
      <c r="C4881" s="46"/>
      <c r="D4881" s="47"/>
      <c r="E4881" s="46"/>
      <c r="F4881" s="47"/>
      <c r="G4881" s="46"/>
      <c r="H4881" s="50"/>
      <c r="I4881" s="51"/>
    </row>
    <row r="4882" ht="22.5" customHeight="1">
      <c r="A4882" s="42"/>
      <c r="B4882" s="47"/>
      <c r="C4882" s="46"/>
      <c r="D4882" s="47"/>
      <c r="E4882" s="46"/>
      <c r="F4882" s="47"/>
      <c r="G4882" s="46"/>
      <c r="H4882" s="48"/>
      <c r="I4882" s="49"/>
    </row>
    <row r="4883" ht="22.5" customHeight="1">
      <c r="A4883" s="42"/>
      <c r="B4883" s="47"/>
      <c r="C4883" s="46"/>
      <c r="D4883" s="47"/>
      <c r="E4883" s="46"/>
      <c r="F4883" s="47"/>
      <c r="G4883" s="46"/>
      <c r="H4883" s="50"/>
      <c r="I4883" s="51"/>
    </row>
    <row r="4884" ht="22.5" customHeight="1">
      <c r="A4884" s="42"/>
      <c r="B4884" s="47"/>
      <c r="C4884" s="46"/>
      <c r="D4884" s="47"/>
      <c r="E4884" s="46"/>
      <c r="F4884" s="47"/>
      <c r="G4884" s="46"/>
      <c r="H4884" s="48"/>
      <c r="I4884" s="49"/>
    </row>
    <row r="4885" ht="22.5" customHeight="1">
      <c r="A4885" s="42"/>
      <c r="B4885" s="47"/>
      <c r="C4885" s="46"/>
      <c r="D4885" s="47"/>
      <c r="E4885" s="46"/>
      <c r="F4885" s="47"/>
      <c r="G4885" s="46"/>
      <c r="H4885" s="50"/>
      <c r="I4885" s="51"/>
    </row>
    <row r="4886" ht="22.5" customHeight="1">
      <c r="A4886" s="42"/>
      <c r="B4886" s="47"/>
      <c r="C4886" s="46"/>
      <c r="D4886" s="47"/>
      <c r="E4886" s="46"/>
      <c r="F4886" s="47"/>
      <c r="G4886" s="46"/>
      <c r="H4886" s="48"/>
      <c r="I4886" s="49"/>
    </row>
    <row r="4887" ht="22.5" customHeight="1">
      <c r="A4887" s="42"/>
      <c r="B4887" s="47"/>
      <c r="C4887" s="46"/>
      <c r="D4887" s="47"/>
      <c r="E4887" s="46"/>
      <c r="F4887" s="47"/>
      <c r="G4887" s="46"/>
      <c r="H4887" s="50"/>
      <c r="I4887" s="51"/>
    </row>
    <row r="4888" ht="22.5" customHeight="1">
      <c r="A4888" s="42"/>
      <c r="B4888" s="47"/>
      <c r="C4888" s="46"/>
      <c r="D4888" s="47"/>
      <c r="E4888" s="46"/>
      <c r="F4888" s="47"/>
      <c r="G4888" s="46"/>
      <c r="H4888" s="48"/>
      <c r="I4888" s="49"/>
    </row>
    <row r="4889" ht="22.5" customHeight="1">
      <c r="A4889" s="42"/>
      <c r="B4889" s="47"/>
      <c r="C4889" s="46"/>
      <c r="D4889" s="47"/>
      <c r="E4889" s="46"/>
      <c r="F4889" s="47"/>
      <c r="G4889" s="46"/>
      <c r="H4889" s="50"/>
      <c r="I4889" s="51"/>
    </row>
    <row r="4890" ht="22.5" customHeight="1">
      <c r="A4890" s="42"/>
      <c r="B4890" s="47"/>
      <c r="C4890" s="46"/>
      <c r="D4890" s="47"/>
      <c r="E4890" s="46"/>
      <c r="F4890" s="47"/>
      <c r="G4890" s="46"/>
      <c r="H4890" s="48"/>
      <c r="I4890" s="49"/>
    </row>
    <row r="4891" ht="22.5" customHeight="1">
      <c r="A4891" s="42"/>
      <c r="B4891" s="47"/>
      <c r="C4891" s="46"/>
      <c r="D4891" s="47"/>
      <c r="E4891" s="46"/>
      <c r="F4891" s="47"/>
      <c r="G4891" s="46"/>
      <c r="H4891" s="50"/>
      <c r="I4891" s="51"/>
    </row>
    <row r="4892" ht="22.5" customHeight="1">
      <c r="A4892" s="42"/>
      <c r="B4892" s="47"/>
      <c r="C4892" s="46"/>
      <c r="D4892" s="47"/>
      <c r="E4892" s="46"/>
      <c r="F4892" s="47"/>
      <c r="G4892" s="46"/>
      <c r="H4892" s="48"/>
      <c r="I4892" s="49"/>
    </row>
    <row r="4893" ht="22.5" customHeight="1">
      <c r="A4893" s="42"/>
      <c r="B4893" s="47"/>
      <c r="C4893" s="46"/>
      <c r="D4893" s="47"/>
      <c r="E4893" s="46"/>
      <c r="F4893" s="47"/>
      <c r="G4893" s="46"/>
      <c r="H4893" s="50"/>
      <c r="I4893" s="51"/>
    </row>
    <row r="4894" ht="22.5" customHeight="1">
      <c r="A4894" s="42"/>
      <c r="B4894" s="47"/>
      <c r="C4894" s="46"/>
      <c r="D4894" s="47"/>
      <c r="E4894" s="46"/>
      <c r="F4894" s="47"/>
      <c r="G4894" s="46"/>
      <c r="H4894" s="48"/>
      <c r="I4894" s="49"/>
    </row>
    <row r="4895" ht="22.5" customHeight="1">
      <c r="A4895" s="42"/>
      <c r="B4895" s="47"/>
      <c r="C4895" s="46"/>
      <c r="D4895" s="47"/>
      <c r="E4895" s="46"/>
      <c r="F4895" s="47"/>
      <c r="G4895" s="46"/>
      <c r="H4895" s="50"/>
      <c r="I4895" s="51"/>
    </row>
    <row r="4896" ht="22.5" customHeight="1">
      <c r="A4896" s="42"/>
      <c r="B4896" s="47"/>
      <c r="C4896" s="46"/>
      <c r="D4896" s="47"/>
      <c r="E4896" s="46"/>
      <c r="F4896" s="47"/>
      <c r="G4896" s="46"/>
      <c r="H4896" s="48"/>
      <c r="I4896" s="49"/>
    </row>
    <row r="4897" ht="22.5" customHeight="1">
      <c r="A4897" s="42"/>
      <c r="B4897" s="47"/>
      <c r="C4897" s="46"/>
      <c r="D4897" s="47"/>
      <c r="E4897" s="46"/>
      <c r="F4897" s="47"/>
      <c r="G4897" s="46"/>
      <c r="H4897" s="50"/>
      <c r="I4897" s="51"/>
    </row>
    <row r="4898" ht="22.5" customHeight="1">
      <c r="A4898" s="42"/>
      <c r="B4898" s="47"/>
      <c r="C4898" s="46"/>
      <c r="D4898" s="47"/>
      <c r="E4898" s="46"/>
      <c r="F4898" s="47"/>
      <c r="G4898" s="46"/>
      <c r="H4898" s="48"/>
      <c r="I4898" s="49"/>
    </row>
    <row r="4899" ht="22.5" customHeight="1">
      <c r="A4899" s="42"/>
      <c r="B4899" s="47"/>
      <c r="C4899" s="46"/>
      <c r="D4899" s="47"/>
      <c r="E4899" s="46"/>
      <c r="F4899" s="47"/>
      <c r="G4899" s="46"/>
      <c r="H4899" s="50"/>
      <c r="I4899" s="51"/>
    </row>
    <row r="4900" ht="22.5" customHeight="1">
      <c r="A4900" s="42"/>
      <c r="B4900" s="47"/>
      <c r="C4900" s="46"/>
      <c r="D4900" s="47"/>
      <c r="E4900" s="46"/>
      <c r="F4900" s="47"/>
      <c r="G4900" s="46"/>
      <c r="H4900" s="48"/>
      <c r="I4900" s="49"/>
    </row>
    <row r="4901" ht="22.5" customHeight="1">
      <c r="A4901" s="42"/>
      <c r="B4901" s="47"/>
      <c r="C4901" s="46"/>
      <c r="D4901" s="47"/>
      <c r="E4901" s="46"/>
      <c r="F4901" s="47"/>
      <c r="G4901" s="46"/>
      <c r="H4901" s="50"/>
      <c r="I4901" s="51"/>
    </row>
    <row r="4902" ht="22.5" customHeight="1">
      <c r="A4902" s="42"/>
      <c r="B4902" s="47"/>
      <c r="C4902" s="46"/>
      <c r="D4902" s="47"/>
      <c r="E4902" s="46"/>
      <c r="F4902" s="47"/>
      <c r="G4902" s="46"/>
      <c r="H4902" s="48"/>
      <c r="I4902" s="49"/>
    </row>
    <row r="4903" ht="22.5" customHeight="1">
      <c r="A4903" s="42"/>
      <c r="B4903" s="47"/>
      <c r="C4903" s="46"/>
      <c r="D4903" s="47"/>
      <c r="E4903" s="46"/>
      <c r="F4903" s="47"/>
      <c r="G4903" s="46"/>
      <c r="H4903" s="50"/>
      <c r="I4903" s="51"/>
    </row>
    <row r="4904" ht="22.5" customHeight="1">
      <c r="A4904" s="42"/>
      <c r="B4904" s="47"/>
      <c r="C4904" s="46"/>
      <c r="D4904" s="47"/>
      <c r="E4904" s="46"/>
      <c r="F4904" s="47"/>
      <c r="G4904" s="46"/>
      <c r="H4904" s="48"/>
      <c r="I4904" s="49"/>
    </row>
    <row r="4905" ht="22.5" customHeight="1">
      <c r="A4905" s="42"/>
      <c r="B4905" s="47"/>
      <c r="C4905" s="46"/>
      <c r="D4905" s="47"/>
      <c r="E4905" s="46"/>
      <c r="F4905" s="47"/>
      <c r="G4905" s="46"/>
      <c r="H4905" s="50"/>
      <c r="I4905" s="51"/>
    </row>
    <row r="4906" ht="22.5" customHeight="1">
      <c r="A4906" s="42"/>
      <c r="B4906" s="47"/>
      <c r="C4906" s="46"/>
      <c r="D4906" s="47"/>
      <c r="E4906" s="46"/>
      <c r="F4906" s="47"/>
      <c r="G4906" s="46"/>
      <c r="H4906" s="48"/>
      <c r="I4906" s="49"/>
    </row>
    <row r="4907" ht="22.5" customHeight="1">
      <c r="A4907" s="42"/>
      <c r="B4907" s="47"/>
      <c r="C4907" s="46"/>
      <c r="D4907" s="47"/>
      <c r="E4907" s="46"/>
      <c r="F4907" s="47"/>
      <c r="G4907" s="46"/>
      <c r="H4907" s="50"/>
      <c r="I4907" s="51"/>
    </row>
    <row r="4908" ht="22.5" customHeight="1">
      <c r="A4908" s="42"/>
      <c r="B4908" s="47"/>
      <c r="C4908" s="46"/>
      <c r="D4908" s="47"/>
      <c r="E4908" s="46"/>
      <c r="F4908" s="47"/>
      <c r="G4908" s="46"/>
      <c r="H4908" s="48"/>
      <c r="I4908" s="49"/>
    </row>
    <row r="4909" ht="22.5" customHeight="1">
      <c r="A4909" s="42"/>
      <c r="B4909" s="47"/>
      <c r="C4909" s="46"/>
      <c r="D4909" s="47"/>
      <c r="E4909" s="46"/>
      <c r="F4909" s="47"/>
      <c r="G4909" s="46"/>
      <c r="H4909" s="50"/>
      <c r="I4909" s="51"/>
    </row>
    <row r="4910" ht="22.5" customHeight="1">
      <c r="A4910" s="42"/>
      <c r="B4910" s="47"/>
      <c r="C4910" s="46"/>
      <c r="D4910" s="47"/>
      <c r="E4910" s="46"/>
      <c r="F4910" s="47"/>
      <c r="G4910" s="46"/>
      <c r="H4910" s="48"/>
      <c r="I4910" s="49"/>
    </row>
    <row r="4911" ht="22.5" customHeight="1">
      <c r="A4911" s="42"/>
      <c r="B4911" s="47"/>
      <c r="C4911" s="46"/>
      <c r="D4911" s="47"/>
      <c r="E4911" s="46"/>
      <c r="F4911" s="47"/>
      <c r="G4911" s="46"/>
      <c r="H4911" s="50"/>
      <c r="I4911" s="51"/>
    </row>
    <row r="4912" ht="22.5" customHeight="1">
      <c r="A4912" s="42"/>
      <c r="B4912" s="47"/>
      <c r="C4912" s="46"/>
      <c r="D4912" s="47"/>
      <c r="E4912" s="46"/>
      <c r="F4912" s="47"/>
      <c r="G4912" s="46"/>
      <c r="H4912" s="48"/>
      <c r="I4912" s="49"/>
    </row>
    <row r="4913" ht="22.5" customHeight="1">
      <c r="A4913" s="42"/>
      <c r="B4913" s="47"/>
      <c r="C4913" s="46"/>
      <c r="D4913" s="47"/>
      <c r="E4913" s="46"/>
      <c r="F4913" s="47"/>
      <c r="G4913" s="46"/>
      <c r="H4913" s="50"/>
      <c r="I4913" s="51"/>
    </row>
    <row r="4914" ht="22.5" customHeight="1">
      <c r="A4914" s="42"/>
      <c r="B4914" s="47"/>
      <c r="C4914" s="46"/>
      <c r="D4914" s="47"/>
      <c r="E4914" s="46"/>
      <c r="F4914" s="47"/>
      <c r="G4914" s="46"/>
      <c r="H4914" s="48"/>
      <c r="I4914" s="49"/>
    </row>
    <row r="4915" ht="22.5" customHeight="1">
      <c r="A4915" s="42"/>
      <c r="B4915" s="47"/>
      <c r="C4915" s="46"/>
      <c r="D4915" s="47"/>
      <c r="E4915" s="46"/>
      <c r="F4915" s="47"/>
      <c r="G4915" s="46"/>
      <c r="H4915" s="50"/>
      <c r="I4915" s="51"/>
    </row>
    <row r="4916" ht="22.5" customHeight="1">
      <c r="A4916" s="42"/>
      <c r="B4916" s="47"/>
      <c r="C4916" s="46"/>
      <c r="D4916" s="47"/>
      <c r="E4916" s="46"/>
      <c r="F4916" s="47"/>
      <c r="G4916" s="46"/>
      <c r="H4916" s="48"/>
      <c r="I4916" s="49"/>
    </row>
    <row r="4917" ht="22.5" customHeight="1">
      <c r="A4917" s="42"/>
      <c r="B4917" s="47"/>
      <c r="C4917" s="46"/>
      <c r="D4917" s="47"/>
      <c r="E4917" s="46"/>
      <c r="F4917" s="47"/>
      <c r="G4917" s="46"/>
      <c r="H4917" s="50"/>
      <c r="I4917" s="51"/>
    </row>
    <row r="4918" ht="22.5" customHeight="1">
      <c r="A4918" s="42"/>
      <c r="B4918" s="47"/>
      <c r="C4918" s="46"/>
      <c r="D4918" s="47"/>
      <c r="E4918" s="46"/>
      <c r="F4918" s="47"/>
      <c r="G4918" s="46"/>
      <c r="H4918" s="48"/>
      <c r="I4918" s="49"/>
    </row>
    <row r="4919" ht="22.5" customHeight="1">
      <c r="A4919" s="42"/>
      <c r="B4919" s="47"/>
      <c r="C4919" s="46"/>
      <c r="D4919" s="47"/>
      <c r="E4919" s="46"/>
      <c r="F4919" s="47"/>
      <c r="G4919" s="46"/>
      <c r="H4919" s="50"/>
      <c r="I4919" s="51"/>
    </row>
    <row r="4920" ht="22.5" customHeight="1">
      <c r="A4920" s="42"/>
      <c r="B4920" s="47"/>
      <c r="C4920" s="46"/>
      <c r="D4920" s="47"/>
      <c r="E4920" s="46"/>
      <c r="F4920" s="47"/>
      <c r="G4920" s="46"/>
      <c r="H4920" s="48"/>
      <c r="I4920" s="49"/>
    </row>
    <row r="4921" ht="22.5" customHeight="1">
      <c r="A4921" s="42"/>
      <c r="B4921" s="47"/>
      <c r="C4921" s="46"/>
      <c r="D4921" s="47"/>
      <c r="E4921" s="46"/>
      <c r="F4921" s="47"/>
      <c r="G4921" s="46"/>
      <c r="H4921" s="50"/>
      <c r="I4921" s="51"/>
    </row>
    <row r="4922" ht="22.5" customHeight="1">
      <c r="A4922" s="42"/>
      <c r="B4922" s="47"/>
      <c r="C4922" s="46"/>
      <c r="D4922" s="47"/>
      <c r="E4922" s="46"/>
      <c r="F4922" s="47"/>
      <c r="G4922" s="46"/>
      <c r="H4922" s="48"/>
      <c r="I4922" s="49"/>
    </row>
    <row r="4923" ht="22.5" customHeight="1">
      <c r="A4923" s="42"/>
      <c r="B4923" s="47"/>
      <c r="C4923" s="46"/>
      <c r="D4923" s="47"/>
      <c r="E4923" s="46"/>
      <c r="F4923" s="47"/>
      <c r="G4923" s="46"/>
      <c r="H4923" s="50"/>
      <c r="I4923" s="51"/>
    </row>
    <row r="4924" ht="22.5" customHeight="1">
      <c r="A4924" s="42"/>
      <c r="B4924" s="47"/>
      <c r="C4924" s="46"/>
      <c r="D4924" s="47"/>
      <c r="E4924" s="46"/>
      <c r="F4924" s="47"/>
      <c r="G4924" s="46"/>
      <c r="H4924" s="48"/>
      <c r="I4924" s="49"/>
    </row>
    <row r="4925" ht="22.5" customHeight="1">
      <c r="A4925" s="42"/>
      <c r="B4925" s="47"/>
      <c r="C4925" s="46"/>
      <c r="D4925" s="47"/>
      <c r="E4925" s="46"/>
      <c r="F4925" s="47"/>
      <c r="G4925" s="46"/>
      <c r="H4925" s="50"/>
      <c r="I4925" s="51"/>
    </row>
    <row r="4926" ht="22.5" customHeight="1">
      <c r="A4926" s="42"/>
      <c r="B4926" s="47"/>
      <c r="C4926" s="46"/>
      <c r="D4926" s="47"/>
      <c r="E4926" s="46"/>
      <c r="F4926" s="47"/>
      <c r="G4926" s="46"/>
      <c r="H4926" s="48"/>
      <c r="I4926" s="49"/>
    </row>
    <row r="4927" ht="22.5" customHeight="1">
      <c r="A4927" s="42"/>
      <c r="B4927" s="47"/>
      <c r="C4927" s="46"/>
      <c r="D4927" s="47"/>
      <c r="E4927" s="46"/>
      <c r="F4927" s="47"/>
      <c r="G4927" s="46"/>
      <c r="H4927" s="50"/>
      <c r="I4927" s="51"/>
    </row>
    <row r="4928" ht="22.5" customHeight="1">
      <c r="A4928" s="42"/>
      <c r="B4928" s="47"/>
      <c r="C4928" s="46"/>
      <c r="D4928" s="47"/>
      <c r="E4928" s="46"/>
      <c r="F4928" s="47"/>
      <c r="G4928" s="46"/>
      <c r="H4928" s="48"/>
      <c r="I4928" s="49"/>
    </row>
    <row r="4929" ht="22.5" customHeight="1">
      <c r="A4929" s="42"/>
      <c r="B4929" s="47"/>
      <c r="C4929" s="46"/>
      <c r="D4929" s="47"/>
      <c r="E4929" s="46"/>
      <c r="F4929" s="47"/>
      <c r="G4929" s="46"/>
      <c r="H4929" s="50"/>
      <c r="I4929" s="51"/>
    </row>
    <row r="4930" ht="22.5" customHeight="1">
      <c r="A4930" s="42"/>
      <c r="B4930" s="47"/>
      <c r="C4930" s="46"/>
      <c r="D4930" s="47"/>
      <c r="E4930" s="46"/>
      <c r="F4930" s="47"/>
      <c r="G4930" s="46"/>
      <c r="H4930" s="48"/>
      <c r="I4930" s="49"/>
    </row>
    <row r="4931" ht="22.5" customHeight="1">
      <c r="A4931" s="42"/>
      <c r="B4931" s="47"/>
      <c r="C4931" s="46"/>
      <c r="D4931" s="47"/>
      <c r="E4931" s="46"/>
      <c r="F4931" s="47"/>
      <c r="G4931" s="46"/>
      <c r="H4931" s="50"/>
      <c r="I4931" s="51"/>
    </row>
    <row r="4932" ht="22.5" customHeight="1">
      <c r="A4932" s="42"/>
      <c r="B4932" s="47"/>
      <c r="C4932" s="46"/>
      <c r="D4932" s="47"/>
      <c r="E4932" s="46"/>
      <c r="F4932" s="47"/>
      <c r="G4932" s="46"/>
      <c r="H4932" s="48"/>
      <c r="I4932" s="49"/>
    </row>
    <row r="4933" ht="22.5" customHeight="1">
      <c r="A4933" s="42"/>
      <c r="B4933" s="47"/>
      <c r="C4933" s="46"/>
      <c r="D4933" s="47"/>
      <c r="E4933" s="46"/>
      <c r="F4933" s="47"/>
      <c r="G4933" s="46"/>
      <c r="H4933" s="50"/>
      <c r="I4933" s="51"/>
    </row>
    <row r="4934" ht="22.5" customHeight="1">
      <c r="A4934" s="42"/>
      <c r="B4934" s="47"/>
      <c r="C4934" s="46"/>
      <c r="D4934" s="47"/>
      <c r="E4934" s="46"/>
      <c r="F4934" s="47"/>
      <c r="G4934" s="46"/>
      <c r="H4934" s="48"/>
      <c r="I4934" s="49"/>
    </row>
    <row r="4935" ht="22.5" customHeight="1">
      <c r="A4935" s="42"/>
      <c r="B4935" s="47"/>
      <c r="C4935" s="46"/>
      <c r="D4935" s="47"/>
      <c r="E4935" s="46"/>
      <c r="F4935" s="47"/>
      <c r="G4935" s="46"/>
      <c r="H4935" s="50"/>
      <c r="I4935" s="51"/>
    </row>
    <row r="4936" ht="22.5" customHeight="1">
      <c r="A4936" s="42"/>
      <c r="B4936" s="47"/>
      <c r="C4936" s="46"/>
      <c r="D4936" s="47"/>
      <c r="E4936" s="46"/>
      <c r="F4936" s="47"/>
      <c r="G4936" s="46"/>
      <c r="H4936" s="48"/>
      <c r="I4936" s="49"/>
    </row>
    <row r="4937" ht="22.5" customHeight="1">
      <c r="A4937" s="42"/>
      <c r="B4937" s="47"/>
      <c r="C4937" s="46"/>
      <c r="D4937" s="47"/>
      <c r="E4937" s="46"/>
      <c r="F4937" s="47"/>
      <c r="G4937" s="46"/>
      <c r="H4937" s="50"/>
      <c r="I4937" s="51"/>
    </row>
    <row r="4938" ht="22.5" customHeight="1">
      <c r="A4938" s="42"/>
      <c r="B4938" s="47"/>
      <c r="C4938" s="46"/>
      <c r="D4938" s="47"/>
      <c r="E4938" s="46"/>
      <c r="F4938" s="47"/>
      <c r="G4938" s="46"/>
      <c r="H4938" s="48"/>
      <c r="I4938" s="49"/>
    </row>
    <row r="4939" ht="22.5" customHeight="1">
      <c r="A4939" s="42"/>
      <c r="B4939" s="47"/>
      <c r="C4939" s="46"/>
      <c r="D4939" s="47"/>
      <c r="E4939" s="46"/>
      <c r="F4939" s="47"/>
      <c r="G4939" s="46"/>
      <c r="H4939" s="50"/>
      <c r="I4939" s="51"/>
    </row>
    <row r="4940" ht="22.5" customHeight="1">
      <c r="A4940" s="42"/>
      <c r="B4940" s="47"/>
      <c r="C4940" s="46"/>
      <c r="D4940" s="47"/>
      <c r="E4940" s="46"/>
      <c r="F4940" s="47"/>
      <c r="G4940" s="46"/>
      <c r="H4940" s="48"/>
      <c r="I4940" s="49"/>
    </row>
    <row r="4941" ht="22.5" customHeight="1">
      <c r="A4941" s="42"/>
      <c r="B4941" s="47"/>
      <c r="C4941" s="46"/>
      <c r="D4941" s="47"/>
      <c r="E4941" s="46"/>
      <c r="F4941" s="47"/>
      <c r="G4941" s="46"/>
      <c r="H4941" s="50"/>
      <c r="I4941" s="51"/>
    </row>
    <row r="4942" ht="22.5" customHeight="1">
      <c r="A4942" s="42"/>
      <c r="B4942" s="47"/>
      <c r="C4942" s="46"/>
      <c r="D4942" s="47"/>
      <c r="E4942" s="46"/>
      <c r="F4942" s="47"/>
      <c r="G4942" s="46"/>
      <c r="H4942" s="48"/>
      <c r="I4942" s="49"/>
    </row>
    <row r="4943" ht="22.5" customHeight="1">
      <c r="A4943" s="42"/>
      <c r="B4943" s="47"/>
      <c r="C4943" s="46"/>
      <c r="D4943" s="47"/>
      <c r="E4943" s="46"/>
      <c r="F4943" s="47"/>
      <c r="G4943" s="46"/>
      <c r="H4943" s="50"/>
      <c r="I4943" s="51"/>
    </row>
    <row r="4944" ht="22.5" customHeight="1">
      <c r="A4944" s="42"/>
      <c r="B4944" s="47"/>
      <c r="C4944" s="46"/>
      <c r="D4944" s="47"/>
      <c r="E4944" s="46"/>
      <c r="F4944" s="47"/>
      <c r="G4944" s="46"/>
      <c r="H4944" s="48"/>
      <c r="I4944" s="49"/>
    </row>
    <row r="4945" ht="22.5" customHeight="1">
      <c r="A4945" s="42"/>
      <c r="B4945" s="47"/>
      <c r="C4945" s="46"/>
      <c r="D4945" s="47"/>
      <c r="E4945" s="46"/>
      <c r="F4945" s="47"/>
      <c r="G4945" s="46"/>
      <c r="H4945" s="50"/>
      <c r="I4945" s="51"/>
    </row>
    <row r="4946" ht="22.5" customHeight="1">
      <c r="A4946" s="42"/>
      <c r="B4946" s="47"/>
      <c r="C4946" s="46"/>
      <c r="D4946" s="47"/>
      <c r="E4946" s="46"/>
      <c r="F4946" s="47"/>
      <c r="G4946" s="46"/>
      <c r="H4946" s="48"/>
      <c r="I4946" s="49"/>
    </row>
    <row r="4947" ht="22.5" customHeight="1">
      <c r="A4947" s="42"/>
      <c r="B4947" s="47"/>
      <c r="C4947" s="46"/>
      <c r="D4947" s="47"/>
      <c r="E4947" s="46"/>
      <c r="F4947" s="47"/>
      <c r="G4947" s="46"/>
      <c r="H4947" s="50"/>
      <c r="I4947" s="51"/>
    </row>
    <row r="4948" ht="22.5" customHeight="1">
      <c r="A4948" s="42"/>
      <c r="B4948" s="47"/>
      <c r="C4948" s="46"/>
      <c r="D4948" s="47"/>
      <c r="E4948" s="46"/>
      <c r="F4948" s="47"/>
      <c r="G4948" s="46"/>
      <c r="H4948" s="48"/>
      <c r="I4948" s="49"/>
    </row>
    <row r="4949" ht="22.5" customHeight="1">
      <c r="A4949" s="42"/>
      <c r="B4949" s="47"/>
      <c r="C4949" s="46"/>
      <c r="D4949" s="47"/>
      <c r="E4949" s="46"/>
      <c r="F4949" s="47"/>
      <c r="G4949" s="46"/>
      <c r="H4949" s="50"/>
      <c r="I4949" s="51"/>
    </row>
    <row r="4950" ht="22.5" customHeight="1">
      <c r="A4950" s="42"/>
      <c r="B4950" s="47"/>
      <c r="C4950" s="46"/>
      <c r="D4950" s="47"/>
      <c r="E4950" s="46"/>
      <c r="F4950" s="47"/>
      <c r="G4950" s="46"/>
      <c r="H4950" s="48"/>
      <c r="I4950" s="49"/>
    </row>
    <row r="4951" ht="22.5" customHeight="1">
      <c r="A4951" s="42"/>
      <c r="B4951" s="47"/>
      <c r="C4951" s="46"/>
      <c r="D4951" s="47"/>
      <c r="E4951" s="46"/>
      <c r="F4951" s="47"/>
      <c r="G4951" s="46"/>
      <c r="H4951" s="50"/>
      <c r="I4951" s="51"/>
    </row>
    <row r="4952" ht="22.5" customHeight="1">
      <c r="A4952" s="42"/>
      <c r="B4952" s="47"/>
      <c r="C4952" s="46"/>
      <c r="D4952" s="47"/>
      <c r="E4952" s="46"/>
      <c r="F4952" s="47"/>
      <c r="G4952" s="46"/>
      <c r="H4952" s="48"/>
      <c r="I4952" s="49"/>
    </row>
    <row r="4953" ht="22.5" customHeight="1">
      <c r="A4953" s="42"/>
      <c r="B4953" s="47"/>
      <c r="C4953" s="46"/>
      <c r="D4953" s="47"/>
      <c r="E4953" s="46"/>
      <c r="F4953" s="47"/>
      <c r="G4953" s="46"/>
      <c r="H4953" s="50"/>
      <c r="I4953" s="51"/>
    </row>
    <row r="4954" ht="22.5" customHeight="1">
      <c r="A4954" s="42"/>
      <c r="B4954" s="47"/>
      <c r="C4954" s="46"/>
      <c r="D4954" s="47"/>
      <c r="E4954" s="46"/>
      <c r="F4954" s="47"/>
      <c r="G4954" s="46"/>
      <c r="H4954" s="48"/>
      <c r="I4954" s="49"/>
    </row>
    <row r="4955" ht="22.5" customHeight="1">
      <c r="A4955" s="42"/>
      <c r="B4955" s="47"/>
      <c r="C4955" s="46"/>
      <c r="D4955" s="47"/>
      <c r="E4955" s="46"/>
      <c r="F4955" s="47"/>
      <c r="G4955" s="46"/>
      <c r="H4955" s="50"/>
      <c r="I4955" s="51"/>
    </row>
    <row r="4956" ht="22.5" customHeight="1">
      <c r="A4956" s="42"/>
      <c r="B4956" s="47"/>
      <c r="C4956" s="46"/>
      <c r="D4956" s="47"/>
      <c r="E4956" s="46"/>
      <c r="F4956" s="47"/>
      <c r="G4956" s="46"/>
      <c r="H4956" s="48"/>
      <c r="I4956" s="49"/>
    </row>
    <row r="4957" ht="22.5" customHeight="1">
      <c r="A4957" s="42"/>
      <c r="B4957" s="47"/>
      <c r="C4957" s="46"/>
      <c r="D4957" s="47"/>
      <c r="E4957" s="46"/>
      <c r="F4957" s="47"/>
      <c r="G4957" s="46"/>
      <c r="H4957" s="50"/>
      <c r="I4957" s="51"/>
    </row>
    <row r="4958" ht="22.5" customHeight="1">
      <c r="A4958" s="42"/>
      <c r="B4958" s="47"/>
      <c r="C4958" s="46"/>
      <c r="D4958" s="47"/>
      <c r="E4958" s="46"/>
      <c r="F4958" s="47"/>
      <c r="G4958" s="46"/>
      <c r="H4958" s="48"/>
      <c r="I4958" s="49"/>
    </row>
    <row r="4959" ht="22.5" customHeight="1">
      <c r="A4959" s="42"/>
      <c r="B4959" s="47"/>
      <c r="C4959" s="46"/>
      <c r="D4959" s="47"/>
      <c r="E4959" s="46"/>
      <c r="F4959" s="47"/>
      <c r="G4959" s="46"/>
      <c r="H4959" s="50"/>
      <c r="I4959" s="51"/>
    </row>
    <row r="4960" ht="22.5" customHeight="1">
      <c r="A4960" s="42"/>
      <c r="B4960" s="47"/>
      <c r="C4960" s="46"/>
      <c r="D4960" s="47"/>
      <c r="E4960" s="46"/>
      <c r="F4960" s="47"/>
      <c r="G4960" s="46"/>
      <c r="H4960" s="48"/>
      <c r="I4960" s="49"/>
    </row>
    <row r="4961" ht="22.5" customHeight="1">
      <c r="A4961" s="42"/>
      <c r="B4961" s="47"/>
      <c r="C4961" s="46"/>
      <c r="D4961" s="47"/>
      <c r="E4961" s="46"/>
      <c r="F4961" s="47"/>
      <c r="G4961" s="46"/>
      <c r="H4961" s="50"/>
      <c r="I4961" s="51"/>
    </row>
    <row r="4962" ht="22.5" customHeight="1">
      <c r="A4962" s="42"/>
      <c r="B4962" s="47"/>
      <c r="C4962" s="46"/>
      <c r="D4962" s="47"/>
      <c r="E4962" s="46"/>
      <c r="F4962" s="47"/>
      <c r="G4962" s="46"/>
      <c r="H4962" s="48"/>
      <c r="I4962" s="49"/>
    </row>
    <row r="4963" ht="22.5" customHeight="1">
      <c r="A4963" s="42"/>
      <c r="B4963" s="47"/>
      <c r="C4963" s="46"/>
      <c r="D4963" s="47"/>
      <c r="E4963" s="46"/>
      <c r="F4963" s="47"/>
      <c r="G4963" s="46"/>
      <c r="H4963" s="50"/>
      <c r="I4963" s="51"/>
    </row>
    <row r="4964" ht="22.5" customHeight="1">
      <c r="A4964" s="42"/>
      <c r="B4964" s="47"/>
      <c r="C4964" s="46"/>
      <c r="D4964" s="47"/>
      <c r="E4964" s="46"/>
      <c r="F4964" s="47"/>
      <c r="G4964" s="46"/>
      <c r="H4964" s="48"/>
      <c r="I4964" s="49"/>
    </row>
    <row r="4965" ht="22.5" customHeight="1">
      <c r="A4965" s="42"/>
      <c r="B4965" s="47"/>
      <c r="C4965" s="46"/>
      <c r="D4965" s="47"/>
      <c r="E4965" s="46"/>
      <c r="F4965" s="47"/>
      <c r="G4965" s="46"/>
      <c r="H4965" s="50"/>
      <c r="I4965" s="51"/>
    </row>
    <row r="4966" ht="22.5" customHeight="1">
      <c r="A4966" s="42"/>
      <c r="B4966" s="47"/>
      <c r="C4966" s="46"/>
      <c r="D4966" s="47"/>
      <c r="E4966" s="46"/>
      <c r="F4966" s="47"/>
      <c r="G4966" s="46"/>
      <c r="H4966" s="48"/>
      <c r="I4966" s="49"/>
    </row>
    <row r="4967" ht="22.5" customHeight="1">
      <c r="A4967" s="42"/>
      <c r="B4967" s="47"/>
      <c r="C4967" s="46"/>
      <c r="D4967" s="47"/>
      <c r="E4967" s="46"/>
      <c r="F4967" s="47"/>
      <c r="G4967" s="46"/>
      <c r="H4967" s="50"/>
      <c r="I4967" s="51"/>
    </row>
    <row r="4968" ht="22.5" customHeight="1">
      <c r="A4968" s="42"/>
      <c r="B4968" s="47"/>
      <c r="C4968" s="46"/>
      <c r="D4968" s="47"/>
      <c r="E4968" s="46"/>
      <c r="F4968" s="47"/>
      <c r="G4968" s="46"/>
      <c r="H4968" s="48"/>
      <c r="I4968" s="49"/>
    </row>
    <row r="4969" ht="22.5" customHeight="1">
      <c r="A4969" s="42"/>
      <c r="B4969" s="47"/>
      <c r="C4969" s="46"/>
      <c r="D4969" s="47"/>
      <c r="E4969" s="46"/>
      <c r="F4969" s="47"/>
      <c r="G4969" s="46"/>
      <c r="H4969" s="50"/>
      <c r="I4969" s="51"/>
    </row>
    <row r="4970" ht="22.5" customHeight="1">
      <c r="A4970" s="42"/>
      <c r="B4970" s="47"/>
      <c r="C4970" s="46"/>
      <c r="D4970" s="47"/>
      <c r="E4970" s="46"/>
      <c r="F4970" s="47"/>
      <c r="G4970" s="46"/>
      <c r="H4970" s="48"/>
      <c r="I4970" s="49"/>
    </row>
    <row r="4971" ht="22.5" customHeight="1">
      <c r="A4971" s="42"/>
      <c r="B4971" s="47"/>
      <c r="C4971" s="46"/>
      <c r="D4971" s="47"/>
      <c r="E4971" s="46"/>
      <c r="F4971" s="47"/>
      <c r="G4971" s="46"/>
      <c r="H4971" s="50"/>
      <c r="I4971" s="51"/>
    </row>
    <row r="4972" ht="22.5" customHeight="1">
      <c r="A4972" s="42"/>
      <c r="B4972" s="47"/>
      <c r="C4972" s="46"/>
      <c r="D4972" s="47"/>
      <c r="E4972" s="46"/>
      <c r="F4972" s="47"/>
      <c r="G4972" s="46"/>
      <c r="H4972" s="48"/>
      <c r="I4972" s="49"/>
    </row>
    <row r="4973" ht="22.5" customHeight="1">
      <c r="A4973" s="42"/>
      <c r="B4973" s="47"/>
      <c r="C4973" s="46"/>
      <c r="D4973" s="47"/>
      <c r="E4973" s="46"/>
      <c r="F4973" s="47"/>
      <c r="G4973" s="46"/>
      <c r="H4973" s="50"/>
      <c r="I4973" s="51"/>
    </row>
    <row r="4974" ht="22.5" customHeight="1">
      <c r="A4974" s="42"/>
      <c r="B4974" s="47"/>
      <c r="C4974" s="46"/>
      <c r="D4974" s="47"/>
      <c r="E4974" s="46"/>
      <c r="F4974" s="47"/>
      <c r="G4974" s="46"/>
      <c r="H4974" s="48"/>
      <c r="I4974" s="49"/>
    </row>
    <row r="4975" ht="22.5" customHeight="1">
      <c r="A4975" s="42"/>
      <c r="B4975" s="47"/>
      <c r="C4975" s="46"/>
      <c r="D4975" s="47"/>
      <c r="E4975" s="46"/>
      <c r="F4975" s="47"/>
      <c r="G4975" s="46"/>
      <c r="H4975" s="50"/>
      <c r="I4975" s="51"/>
    </row>
    <row r="4976" ht="22.5" customHeight="1">
      <c r="A4976" s="42"/>
      <c r="B4976" s="47"/>
      <c r="C4976" s="46"/>
      <c r="D4976" s="47"/>
      <c r="E4976" s="46"/>
      <c r="F4976" s="47"/>
      <c r="G4976" s="46"/>
      <c r="H4976" s="48"/>
      <c r="I4976" s="49"/>
    </row>
    <row r="4977" ht="22.5" customHeight="1">
      <c r="A4977" s="42"/>
      <c r="B4977" s="47"/>
      <c r="C4977" s="46"/>
      <c r="D4977" s="47"/>
      <c r="E4977" s="46"/>
      <c r="F4977" s="47"/>
      <c r="G4977" s="46"/>
      <c r="H4977" s="50"/>
      <c r="I4977" s="51"/>
    </row>
    <row r="4978" ht="22.5" customHeight="1">
      <c r="A4978" s="42"/>
      <c r="B4978" s="47"/>
      <c r="C4978" s="46"/>
      <c r="D4978" s="47"/>
      <c r="E4978" s="46"/>
      <c r="F4978" s="47"/>
      <c r="G4978" s="46"/>
      <c r="H4978" s="48"/>
      <c r="I4978" s="49"/>
    </row>
    <row r="4979" ht="22.5" customHeight="1">
      <c r="A4979" s="42"/>
      <c r="B4979" s="47"/>
      <c r="C4979" s="46"/>
      <c r="D4979" s="47"/>
      <c r="E4979" s="46"/>
      <c r="F4979" s="47"/>
      <c r="G4979" s="46"/>
      <c r="H4979" s="50"/>
      <c r="I4979" s="51"/>
    </row>
    <row r="4980" ht="22.5" customHeight="1">
      <c r="A4980" s="42"/>
      <c r="B4980" s="47"/>
      <c r="C4980" s="46"/>
      <c r="D4980" s="47"/>
      <c r="E4980" s="46"/>
      <c r="F4980" s="47"/>
      <c r="G4980" s="46"/>
      <c r="H4980" s="48"/>
      <c r="I4980" s="49"/>
    </row>
    <row r="4981" ht="22.5" customHeight="1">
      <c r="A4981" s="42"/>
      <c r="B4981" s="47"/>
      <c r="C4981" s="46"/>
      <c r="D4981" s="47"/>
      <c r="E4981" s="46"/>
      <c r="F4981" s="47"/>
      <c r="G4981" s="46"/>
      <c r="H4981" s="50"/>
      <c r="I4981" s="51"/>
    </row>
    <row r="4982" ht="22.5" customHeight="1">
      <c r="A4982" s="42"/>
      <c r="B4982" s="47"/>
      <c r="C4982" s="46"/>
      <c r="D4982" s="47"/>
      <c r="E4982" s="46"/>
      <c r="F4982" s="47"/>
      <c r="G4982" s="46"/>
      <c r="H4982" s="48"/>
      <c r="I4982" s="49"/>
    </row>
    <row r="4983" ht="22.5" customHeight="1">
      <c r="A4983" s="42"/>
      <c r="B4983" s="47"/>
      <c r="C4983" s="46"/>
      <c r="D4983" s="47"/>
      <c r="E4983" s="46"/>
      <c r="F4983" s="47"/>
      <c r="G4983" s="46"/>
      <c r="H4983" s="50"/>
      <c r="I4983" s="51"/>
    </row>
    <row r="4984" ht="22.5" customHeight="1">
      <c r="A4984" s="42"/>
      <c r="B4984" s="47"/>
      <c r="C4984" s="46"/>
      <c r="D4984" s="47"/>
      <c r="E4984" s="46"/>
      <c r="F4984" s="47"/>
      <c r="G4984" s="46"/>
      <c r="H4984" s="48"/>
      <c r="I4984" s="49"/>
    </row>
    <row r="4985" ht="22.5" customHeight="1">
      <c r="A4985" s="42"/>
      <c r="B4985" s="47"/>
      <c r="C4985" s="46"/>
      <c r="D4985" s="47"/>
      <c r="E4985" s="46"/>
      <c r="F4985" s="47"/>
      <c r="G4985" s="46"/>
      <c r="H4985" s="50"/>
      <c r="I4985" s="51"/>
    </row>
    <row r="4986" ht="22.5" customHeight="1">
      <c r="A4986" s="42"/>
      <c r="B4986" s="47"/>
      <c r="C4986" s="46"/>
      <c r="D4986" s="47"/>
      <c r="E4986" s="46"/>
      <c r="F4986" s="47"/>
      <c r="G4986" s="46"/>
      <c r="H4986" s="48"/>
      <c r="I4986" s="49"/>
    </row>
    <row r="4987" ht="22.5" customHeight="1">
      <c r="A4987" s="42"/>
      <c r="B4987" s="47"/>
      <c r="C4987" s="46"/>
      <c r="D4987" s="47"/>
      <c r="E4987" s="46"/>
      <c r="F4987" s="47"/>
      <c r="G4987" s="46"/>
      <c r="H4987" s="50"/>
      <c r="I4987" s="51"/>
    </row>
    <row r="4988" ht="22.5" customHeight="1">
      <c r="A4988" s="42"/>
      <c r="B4988" s="47"/>
      <c r="C4988" s="46"/>
      <c r="D4988" s="47"/>
      <c r="E4988" s="46"/>
      <c r="F4988" s="47"/>
      <c r="G4988" s="46"/>
      <c r="H4988" s="48"/>
      <c r="I4988" s="49"/>
    </row>
    <row r="4989" ht="22.5" customHeight="1">
      <c r="A4989" s="42"/>
      <c r="B4989" s="47"/>
      <c r="C4989" s="46"/>
      <c r="D4989" s="47"/>
      <c r="E4989" s="46"/>
      <c r="F4989" s="47"/>
      <c r="G4989" s="46"/>
      <c r="H4989" s="50"/>
      <c r="I4989" s="51"/>
    </row>
    <row r="4990" ht="22.5" customHeight="1">
      <c r="A4990" s="42"/>
      <c r="B4990" s="47"/>
      <c r="C4990" s="46"/>
      <c r="D4990" s="47"/>
      <c r="E4990" s="46"/>
      <c r="F4990" s="47"/>
      <c r="G4990" s="46"/>
      <c r="H4990" s="48"/>
      <c r="I4990" s="49"/>
    </row>
    <row r="4991" ht="22.5" customHeight="1">
      <c r="A4991" s="42"/>
      <c r="B4991" s="47"/>
      <c r="C4991" s="46"/>
      <c r="D4991" s="47"/>
      <c r="E4991" s="46"/>
      <c r="F4991" s="47"/>
      <c r="G4991" s="46"/>
      <c r="H4991" s="50"/>
      <c r="I4991" s="51"/>
    </row>
    <row r="4992" ht="22.5" customHeight="1">
      <c r="A4992" s="42"/>
      <c r="B4992" s="47"/>
      <c r="C4992" s="46"/>
      <c r="D4992" s="47"/>
      <c r="E4992" s="46"/>
      <c r="F4992" s="47"/>
      <c r="G4992" s="46"/>
      <c r="H4992" s="48"/>
      <c r="I4992" s="49"/>
    </row>
    <row r="4993" ht="22.5" customHeight="1">
      <c r="A4993" s="42"/>
      <c r="B4993" s="47"/>
      <c r="C4993" s="46"/>
      <c r="D4993" s="47"/>
      <c r="E4993" s="46"/>
      <c r="F4993" s="47"/>
      <c r="G4993" s="46"/>
      <c r="H4993" s="50"/>
      <c r="I4993" s="51"/>
    </row>
    <row r="4994" ht="22.5" customHeight="1">
      <c r="A4994" s="42"/>
      <c r="B4994" s="47"/>
      <c r="C4994" s="46"/>
      <c r="D4994" s="47"/>
      <c r="E4994" s="46"/>
      <c r="F4994" s="47"/>
      <c r="G4994" s="46"/>
      <c r="H4994" s="48"/>
      <c r="I4994" s="49"/>
    </row>
    <row r="4995" ht="22.5" customHeight="1">
      <c r="A4995" s="42"/>
      <c r="B4995" s="47"/>
      <c r="C4995" s="46"/>
      <c r="D4995" s="47"/>
      <c r="E4995" s="46"/>
      <c r="F4995" s="47"/>
      <c r="G4995" s="46"/>
      <c r="H4995" s="50"/>
      <c r="I4995" s="51"/>
    </row>
    <row r="4996" ht="22.5" customHeight="1">
      <c r="A4996" s="42"/>
      <c r="B4996" s="47"/>
      <c r="C4996" s="46"/>
      <c r="D4996" s="47"/>
      <c r="E4996" s="46"/>
      <c r="F4996" s="47"/>
      <c r="G4996" s="46"/>
      <c r="H4996" s="48"/>
      <c r="I4996" s="49"/>
    </row>
    <row r="4997" ht="22.5" customHeight="1">
      <c r="A4997" s="42"/>
      <c r="B4997" s="47"/>
      <c r="C4997" s="46"/>
      <c r="D4997" s="47"/>
      <c r="E4997" s="46"/>
      <c r="F4997" s="47"/>
      <c r="G4997" s="46"/>
      <c r="H4997" s="50"/>
      <c r="I4997" s="51"/>
    </row>
    <row r="4998" ht="22.5" customHeight="1">
      <c r="A4998" s="42"/>
      <c r="B4998" s="47"/>
      <c r="C4998" s="46"/>
      <c r="D4998" s="47"/>
      <c r="E4998" s="46"/>
      <c r="F4998" s="47"/>
      <c r="G4998" s="46"/>
      <c r="H4998" s="48"/>
      <c r="I4998" s="49"/>
    </row>
    <row r="4999" ht="22.5" customHeight="1">
      <c r="A4999" s="42"/>
      <c r="B4999" s="47"/>
      <c r="C4999" s="46"/>
      <c r="D4999" s="47"/>
      <c r="E4999" s="46"/>
      <c r="F4999" s="47"/>
      <c r="G4999" s="46"/>
      <c r="H4999" s="50"/>
      <c r="I4999" s="51"/>
    </row>
    <row r="5000" ht="22.5" customHeight="1">
      <c r="A5000" s="42"/>
      <c r="B5000" s="47"/>
      <c r="C5000" s="46"/>
      <c r="D5000" s="47"/>
      <c r="E5000" s="46"/>
      <c r="F5000" s="47"/>
      <c r="G5000" s="46"/>
      <c r="H5000" s="48"/>
      <c r="I5000" s="49"/>
    </row>
    <row r="5001" ht="22.5" customHeight="1">
      <c r="A5001" s="42"/>
      <c r="B5001" s="47"/>
      <c r="C5001" s="46"/>
      <c r="D5001" s="47"/>
      <c r="E5001" s="46"/>
      <c r="F5001" s="47"/>
      <c r="G5001" s="46"/>
      <c r="H5001" s="50"/>
      <c r="I5001" s="51"/>
    </row>
    <row r="5002" ht="22.5" customHeight="1">
      <c r="A5002" s="42"/>
      <c r="B5002" s="47"/>
      <c r="C5002" s="46"/>
      <c r="D5002" s="47"/>
      <c r="E5002" s="46"/>
      <c r="F5002" s="47"/>
      <c r="G5002" s="46"/>
      <c r="H5002" s="48"/>
      <c r="I5002" s="49"/>
    </row>
    <row r="5003" ht="22.5" customHeight="1">
      <c r="A5003" s="42"/>
      <c r="B5003" s="47"/>
      <c r="C5003" s="46"/>
      <c r="D5003" s="47"/>
      <c r="E5003" s="46"/>
      <c r="F5003" s="47"/>
      <c r="G5003" s="46"/>
      <c r="H5003" s="50"/>
      <c r="I5003" s="51"/>
    </row>
    <row r="5004" ht="22.5" customHeight="1">
      <c r="A5004" s="42"/>
      <c r="B5004" s="47"/>
      <c r="C5004" s="46"/>
      <c r="D5004" s="47"/>
      <c r="E5004" s="46"/>
      <c r="F5004" s="47"/>
      <c r="G5004" s="46"/>
      <c r="H5004" s="48"/>
      <c r="I5004" s="49"/>
    </row>
    <row r="5005" ht="22.5" customHeight="1">
      <c r="A5005" s="42"/>
      <c r="B5005" s="47"/>
      <c r="C5005" s="46"/>
      <c r="D5005" s="47"/>
      <c r="E5005" s="46"/>
      <c r="F5005" s="47"/>
      <c r="G5005" s="46"/>
      <c r="H5005" s="50"/>
      <c r="I5005" s="51"/>
    </row>
    <row r="5006" ht="22.5" customHeight="1">
      <c r="A5006" s="42"/>
      <c r="B5006" s="47"/>
      <c r="C5006" s="46"/>
      <c r="D5006" s="47"/>
      <c r="E5006" s="46"/>
      <c r="F5006" s="47"/>
      <c r="G5006" s="46"/>
      <c r="H5006" s="48"/>
      <c r="I5006" s="49"/>
    </row>
    <row r="5007" ht="22.5" customHeight="1">
      <c r="A5007" s="42"/>
      <c r="B5007" s="47"/>
      <c r="C5007" s="46"/>
      <c r="D5007" s="47"/>
      <c r="E5007" s="46"/>
      <c r="F5007" s="47"/>
      <c r="G5007" s="46"/>
      <c r="H5007" s="50"/>
      <c r="I5007" s="51"/>
    </row>
    <row r="5008" ht="22.5" customHeight="1">
      <c r="A5008" s="42"/>
      <c r="B5008" s="47"/>
      <c r="C5008" s="46"/>
      <c r="D5008" s="47"/>
      <c r="E5008" s="46"/>
      <c r="F5008" s="47"/>
      <c r="G5008" s="46"/>
      <c r="H5008" s="48"/>
      <c r="I5008" s="49"/>
    </row>
    <row r="5009" ht="22.5" customHeight="1">
      <c r="A5009" s="42"/>
      <c r="B5009" s="47"/>
      <c r="C5009" s="46"/>
      <c r="D5009" s="47"/>
      <c r="E5009" s="46"/>
      <c r="F5009" s="47"/>
      <c r="G5009" s="46"/>
      <c r="H5009" s="50"/>
      <c r="I5009" s="51"/>
    </row>
    <row r="5010" ht="22.5" customHeight="1">
      <c r="A5010" s="42"/>
      <c r="B5010" s="47"/>
      <c r="C5010" s="46"/>
      <c r="D5010" s="47"/>
      <c r="E5010" s="46"/>
      <c r="F5010" s="47"/>
      <c r="G5010" s="46"/>
      <c r="H5010" s="48"/>
      <c r="I5010" s="49"/>
    </row>
    <row r="5011" ht="22.5" customHeight="1">
      <c r="A5011" s="42"/>
      <c r="B5011" s="47"/>
      <c r="C5011" s="46"/>
      <c r="D5011" s="47"/>
      <c r="E5011" s="46"/>
      <c r="F5011" s="47"/>
      <c r="G5011" s="46"/>
      <c r="H5011" s="50"/>
      <c r="I5011" s="51"/>
    </row>
    <row r="5012" ht="22.5" customHeight="1">
      <c r="A5012" s="42"/>
      <c r="B5012" s="47"/>
      <c r="C5012" s="46"/>
      <c r="D5012" s="47"/>
      <c r="E5012" s="46"/>
      <c r="F5012" s="47"/>
      <c r="G5012" s="46"/>
      <c r="H5012" s="48"/>
      <c r="I5012" s="49"/>
    </row>
    <row r="5013" ht="22.5" customHeight="1">
      <c r="A5013" s="42"/>
      <c r="B5013" s="47"/>
      <c r="C5013" s="46"/>
      <c r="D5013" s="47"/>
      <c r="E5013" s="46"/>
      <c r="F5013" s="47"/>
      <c r="G5013" s="46"/>
      <c r="H5013" s="50"/>
      <c r="I5013" s="51"/>
    </row>
    <row r="5014" ht="22.5" customHeight="1">
      <c r="A5014" s="42"/>
      <c r="B5014" s="47"/>
      <c r="C5014" s="46"/>
      <c r="D5014" s="47"/>
      <c r="E5014" s="46"/>
      <c r="F5014" s="47"/>
      <c r="G5014" s="46"/>
      <c r="H5014" s="52"/>
      <c r="I5014" s="5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5.5"/>
  </cols>
  <sheetData>
    <row r="1">
      <c r="A1" s="23"/>
      <c r="B1" s="23"/>
      <c r="C1" s="8" t="s">
        <v>789</v>
      </c>
      <c r="G1" s="54" t="s">
        <v>0</v>
      </c>
      <c r="M1" s="55" t="s">
        <v>1</v>
      </c>
      <c r="R1" s="56" t="s">
        <v>2</v>
      </c>
      <c r="U1" s="57" t="s">
        <v>790</v>
      </c>
      <c r="W1" s="58" t="s">
        <v>791</v>
      </c>
      <c r="AA1" s="59" t="s">
        <v>6</v>
      </c>
      <c r="AU1" s="60" t="s">
        <v>8</v>
      </c>
      <c r="AX1" s="61"/>
      <c r="AY1" s="61"/>
      <c r="AZ1" s="61"/>
      <c r="BA1" s="61"/>
      <c r="BB1" s="61"/>
    </row>
    <row r="2">
      <c r="A2" s="23" t="s">
        <v>18</v>
      </c>
      <c r="B2" s="23" t="s">
        <v>792</v>
      </c>
      <c r="C2" s="23" t="s">
        <v>793</v>
      </c>
      <c r="D2" s="23" t="s">
        <v>794</v>
      </c>
      <c r="E2" s="23" t="s">
        <v>795</v>
      </c>
      <c r="F2" s="23" t="s">
        <v>796</v>
      </c>
      <c r="G2" s="23" t="s">
        <v>19</v>
      </c>
      <c r="H2" s="23" t="s">
        <v>21</v>
      </c>
      <c r="I2" s="23" t="s">
        <v>24</v>
      </c>
      <c r="J2" s="23" t="s">
        <v>26</v>
      </c>
      <c r="K2" s="23" t="s">
        <v>28</v>
      </c>
      <c r="L2" s="23" t="s">
        <v>33</v>
      </c>
      <c r="M2" s="23" t="s">
        <v>39</v>
      </c>
      <c r="N2" s="23" t="s">
        <v>41</v>
      </c>
      <c r="O2" s="23" t="s">
        <v>43</v>
      </c>
      <c r="P2" s="23" t="s">
        <v>45</v>
      </c>
      <c r="Q2" s="23" t="s">
        <v>47</v>
      </c>
      <c r="R2" s="23" t="s">
        <v>50</v>
      </c>
      <c r="S2" s="23" t="s">
        <v>52</v>
      </c>
      <c r="T2" s="23" t="s">
        <v>57</v>
      </c>
      <c r="U2" s="23" t="s">
        <v>797</v>
      </c>
      <c r="V2" s="23" t="s">
        <v>798</v>
      </c>
      <c r="W2" s="23" t="s">
        <v>799</v>
      </c>
      <c r="X2" s="23" t="s">
        <v>800</v>
      </c>
      <c r="Y2" s="23" t="s">
        <v>801</v>
      </c>
      <c r="Z2" s="23" t="s">
        <v>802</v>
      </c>
      <c r="AA2" s="23" t="s">
        <v>803</v>
      </c>
      <c r="AB2" s="23" t="s">
        <v>804</v>
      </c>
      <c r="AC2" s="23" t="s">
        <v>805</v>
      </c>
      <c r="AD2" s="23" t="s">
        <v>806</v>
      </c>
      <c r="AE2" s="23" t="s">
        <v>807</v>
      </c>
      <c r="AF2" s="23" t="s">
        <v>808</v>
      </c>
      <c r="AG2" s="23" t="s">
        <v>809</v>
      </c>
      <c r="AH2" s="23" t="s">
        <v>810</v>
      </c>
      <c r="AI2" s="23" t="s">
        <v>811</v>
      </c>
      <c r="AJ2" s="23" t="s">
        <v>812</v>
      </c>
      <c r="AK2" s="23" t="s">
        <v>813</v>
      </c>
      <c r="AL2" s="23" t="s">
        <v>814</v>
      </c>
      <c r="AM2" s="23" t="s">
        <v>815</v>
      </c>
      <c r="AN2" s="23" t="s">
        <v>816</v>
      </c>
      <c r="AO2" s="23" t="s">
        <v>817</v>
      </c>
      <c r="AP2" s="23" t="s">
        <v>818</v>
      </c>
      <c r="AQ2" s="23" t="s">
        <v>819</v>
      </c>
      <c r="AR2" s="23" t="s">
        <v>820</v>
      </c>
      <c r="AS2" s="23" t="s">
        <v>821</v>
      </c>
      <c r="AT2" s="23" t="s">
        <v>822</v>
      </c>
      <c r="AU2" s="62" t="s">
        <v>823</v>
      </c>
      <c r="AV2" s="62" t="s">
        <v>824</v>
      </c>
      <c r="AW2" s="62" t="s">
        <v>825</v>
      </c>
      <c r="AX2" s="23" t="s">
        <v>65</v>
      </c>
      <c r="AY2" s="23"/>
      <c r="AZ2" s="23"/>
      <c r="BA2" s="23"/>
      <c r="BB2" s="23"/>
    </row>
    <row r="3" ht="15.75" customHeight="1">
      <c r="A3" s="19">
        <v>1.0</v>
      </c>
      <c r="C3" s="19" t="s">
        <v>826</v>
      </c>
      <c r="F3" s="19" t="s">
        <v>827</v>
      </c>
      <c r="G3" s="19" t="s">
        <v>828</v>
      </c>
      <c r="H3" s="19" t="s">
        <v>829</v>
      </c>
      <c r="I3" s="19" t="s">
        <v>830</v>
      </c>
      <c r="J3" s="19" t="s">
        <v>831</v>
      </c>
      <c r="K3" s="19" t="s">
        <v>66</v>
      </c>
      <c r="L3" s="19" t="s">
        <v>67</v>
      </c>
      <c r="M3" s="19" t="s">
        <v>832</v>
      </c>
      <c r="N3" s="19" t="s">
        <v>833</v>
      </c>
      <c r="O3" s="19" t="s">
        <v>834</v>
      </c>
      <c r="P3" s="19" t="s">
        <v>835</v>
      </c>
      <c r="Q3" s="19" t="s">
        <v>836</v>
      </c>
      <c r="R3" s="19" t="s">
        <v>837</v>
      </c>
      <c r="S3" s="19" t="s">
        <v>68</v>
      </c>
      <c r="T3" s="19" t="s">
        <v>69</v>
      </c>
      <c r="AU3" s="15"/>
      <c r="AV3" s="15" t="s">
        <v>838</v>
      </c>
      <c r="AW3" s="15" t="s">
        <v>839</v>
      </c>
      <c r="AX3" s="26" t="s">
        <v>840</v>
      </c>
    </row>
    <row r="4" ht="15.75" customHeight="1">
      <c r="A4" s="26">
        <f t="shared" ref="A4:A100" si="1">A3+1</f>
        <v>2</v>
      </c>
      <c r="C4" s="19" t="s">
        <v>841</v>
      </c>
      <c r="F4" s="19" t="s">
        <v>842</v>
      </c>
      <c r="G4" s="19" t="s">
        <v>843</v>
      </c>
      <c r="H4" s="19" t="s">
        <v>844</v>
      </c>
      <c r="I4" s="19" t="s">
        <v>845</v>
      </c>
      <c r="J4" s="19" t="s">
        <v>831</v>
      </c>
      <c r="K4" s="19" t="s">
        <v>70</v>
      </c>
      <c r="L4" s="19" t="s">
        <v>71</v>
      </c>
      <c r="M4" s="19" t="s">
        <v>846</v>
      </c>
      <c r="N4" s="19" t="s">
        <v>833</v>
      </c>
      <c r="O4" s="19" t="s">
        <v>834</v>
      </c>
      <c r="P4" s="19" t="s">
        <v>835</v>
      </c>
      <c r="Q4" s="19" t="s">
        <v>847</v>
      </c>
      <c r="R4" s="19" t="s">
        <v>848</v>
      </c>
      <c r="S4" s="19" t="s">
        <v>72</v>
      </c>
      <c r="T4" s="19" t="s">
        <v>73</v>
      </c>
      <c r="AU4" s="15" t="s">
        <v>849</v>
      </c>
      <c r="AV4" s="15" t="s">
        <v>850</v>
      </c>
      <c r="AW4" s="15" t="s">
        <v>851</v>
      </c>
      <c r="AX4" s="26" t="s">
        <v>852</v>
      </c>
    </row>
    <row r="5" ht="15.75" customHeight="1">
      <c r="A5" s="26">
        <f t="shared" si="1"/>
        <v>3</v>
      </c>
      <c r="C5" s="19" t="s">
        <v>853</v>
      </c>
      <c r="F5" s="19" t="s">
        <v>842</v>
      </c>
      <c r="G5" s="19" t="s">
        <v>828</v>
      </c>
      <c r="H5" s="19" t="s">
        <v>854</v>
      </c>
      <c r="I5" s="19" t="s">
        <v>855</v>
      </c>
      <c r="J5" s="19" t="s">
        <v>831</v>
      </c>
      <c r="K5" s="19" t="s">
        <v>74</v>
      </c>
      <c r="L5" s="19" t="s">
        <v>75</v>
      </c>
      <c r="M5" s="19" t="s">
        <v>846</v>
      </c>
      <c r="N5" s="19" t="s">
        <v>833</v>
      </c>
      <c r="O5" s="19" t="s">
        <v>856</v>
      </c>
      <c r="P5" s="19" t="s">
        <v>835</v>
      </c>
      <c r="Q5" s="19" t="s">
        <v>857</v>
      </c>
      <c r="R5" s="19" t="s">
        <v>837</v>
      </c>
      <c r="S5" s="19" t="s">
        <v>76</v>
      </c>
      <c r="T5" s="19" t="s">
        <v>77</v>
      </c>
      <c r="AU5" s="15" t="s">
        <v>858</v>
      </c>
      <c r="AV5" s="15" t="s">
        <v>859</v>
      </c>
      <c r="AW5" s="15" t="s">
        <v>839</v>
      </c>
      <c r="AX5" s="26" t="s">
        <v>840</v>
      </c>
    </row>
    <row r="6" ht="15.75" customHeight="1">
      <c r="A6" s="26">
        <f t="shared" si="1"/>
        <v>4</v>
      </c>
      <c r="C6" s="19" t="s">
        <v>841</v>
      </c>
      <c r="F6" s="19" t="s">
        <v>842</v>
      </c>
      <c r="G6" s="19" t="s">
        <v>828</v>
      </c>
      <c r="H6" s="19" t="s">
        <v>860</v>
      </c>
      <c r="I6" s="19" t="s">
        <v>830</v>
      </c>
      <c r="J6" s="19" t="s">
        <v>831</v>
      </c>
      <c r="K6" s="19" t="s">
        <v>78</v>
      </c>
      <c r="L6" s="19" t="s">
        <v>79</v>
      </c>
      <c r="M6" s="19" t="s">
        <v>846</v>
      </c>
      <c r="N6" s="19" t="s">
        <v>861</v>
      </c>
      <c r="O6" s="19" t="s">
        <v>862</v>
      </c>
      <c r="P6" s="19" t="s">
        <v>835</v>
      </c>
      <c r="Q6" s="19" t="s">
        <v>863</v>
      </c>
      <c r="R6" s="19" t="s">
        <v>837</v>
      </c>
      <c r="S6" s="19" t="s">
        <v>80</v>
      </c>
      <c r="T6" s="19" t="s">
        <v>81</v>
      </c>
      <c r="AU6" s="15" t="s">
        <v>864</v>
      </c>
      <c r="AV6" s="15" t="s">
        <v>865</v>
      </c>
      <c r="AW6" s="15" t="s">
        <v>839</v>
      </c>
      <c r="AX6" s="26" t="s">
        <v>840</v>
      </c>
    </row>
    <row r="7" ht="15.75" customHeight="1">
      <c r="A7" s="26">
        <f t="shared" si="1"/>
        <v>5</v>
      </c>
      <c r="C7" s="19" t="s">
        <v>866</v>
      </c>
      <c r="F7" s="19" t="s">
        <v>827</v>
      </c>
      <c r="G7" s="19" t="s">
        <v>828</v>
      </c>
      <c r="H7" s="19" t="s">
        <v>867</v>
      </c>
      <c r="I7" s="19" t="s">
        <v>855</v>
      </c>
      <c r="J7" s="19" t="s">
        <v>831</v>
      </c>
      <c r="K7" s="19" t="s">
        <v>82</v>
      </c>
      <c r="L7" s="19" t="s">
        <v>83</v>
      </c>
      <c r="M7" s="19" t="s">
        <v>846</v>
      </c>
      <c r="N7" s="19" t="s">
        <v>833</v>
      </c>
      <c r="O7" s="19" t="s">
        <v>834</v>
      </c>
      <c r="P7" s="19" t="s">
        <v>835</v>
      </c>
      <c r="Q7" s="19" t="s">
        <v>868</v>
      </c>
      <c r="R7" s="19" t="s">
        <v>837</v>
      </c>
      <c r="S7" s="19" t="s">
        <v>84</v>
      </c>
      <c r="T7" s="19" t="s">
        <v>85</v>
      </c>
      <c r="AU7" s="15" t="s">
        <v>869</v>
      </c>
      <c r="AV7" s="15" t="s">
        <v>870</v>
      </c>
      <c r="AW7" s="15" t="s">
        <v>839</v>
      </c>
      <c r="AX7" s="26" t="s">
        <v>871</v>
      </c>
    </row>
    <row r="8" ht="15.75" customHeight="1">
      <c r="A8" s="26">
        <f t="shared" si="1"/>
        <v>6</v>
      </c>
      <c r="C8" s="19" t="s">
        <v>872</v>
      </c>
      <c r="F8" s="19" t="s">
        <v>873</v>
      </c>
      <c r="G8" s="19" t="s">
        <v>828</v>
      </c>
      <c r="H8" s="19" t="s">
        <v>874</v>
      </c>
      <c r="I8" s="19" t="s">
        <v>845</v>
      </c>
      <c r="J8" s="19" t="s">
        <v>831</v>
      </c>
      <c r="K8" s="19" t="s">
        <v>86</v>
      </c>
      <c r="L8" s="19" t="s">
        <v>87</v>
      </c>
      <c r="M8" s="19" t="s">
        <v>832</v>
      </c>
      <c r="N8" s="19" t="s">
        <v>875</v>
      </c>
      <c r="O8" s="19" t="s">
        <v>876</v>
      </c>
      <c r="P8" s="19" t="s">
        <v>835</v>
      </c>
      <c r="Q8" s="19" t="s">
        <v>877</v>
      </c>
      <c r="R8" s="19" t="s">
        <v>837</v>
      </c>
      <c r="S8" s="19" t="s">
        <v>88</v>
      </c>
      <c r="T8" s="19" t="s">
        <v>89</v>
      </c>
      <c r="AU8" s="15" t="s">
        <v>878</v>
      </c>
      <c r="AV8" s="15" t="s">
        <v>879</v>
      </c>
      <c r="AW8" s="15" t="s">
        <v>880</v>
      </c>
      <c r="AX8" s="26" t="s">
        <v>840</v>
      </c>
    </row>
    <row r="9" ht="15.75" customHeight="1">
      <c r="A9" s="26">
        <f t="shared" si="1"/>
        <v>7</v>
      </c>
      <c r="C9" s="19" t="s">
        <v>866</v>
      </c>
      <c r="F9" s="19" t="s">
        <v>873</v>
      </c>
      <c r="G9" s="19" t="s">
        <v>828</v>
      </c>
      <c r="H9" s="19" t="s">
        <v>881</v>
      </c>
      <c r="I9" s="19" t="s">
        <v>830</v>
      </c>
      <c r="J9" s="19" t="s">
        <v>831</v>
      </c>
      <c r="K9" s="19" t="s">
        <v>90</v>
      </c>
      <c r="L9" s="19" t="s">
        <v>91</v>
      </c>
      <c r="M9" s="19" t="s">
        <v>846</v>
      </c>
      <c r="N9" s="19" t="s">
        <v>833</v>
      </c>
      <c r="O9" s="19" t="s">
        <v>876</v>
      </c>
      <c r="P9" s="19" t="s">
        <v>835</v>
      </c>
      <c r="Q9" s="19" t="s">
        <v>868</v>
      </c>
      <c r="R9" s="19" t="s">
        <v>837</v>
      </c>
      <c r="S9" s="19" t="s">
        <v>92</v>
      </c>
      <c r="T9" s="19" t="s">
        <v>93</v>
      </c>
      <c r="AU9" s="15"/>
      <c r="AV9" s="15" t="s">
        <v>882</v>
      </c>
      <c r="AW9" s="15" t="s">
        <v>851</v>
      </c>
      <c r="AX9" s="26" t="s">
        <v>871</v>
      </c>
    </row>
    <row r="10" ht="15.75" customHeight="1">
      <c r="A10" s="26">
        <f t="shared" si="1"/>
        <v>8</v>
      </c>
      <c r="C10" s="19" t="s">
        <v>866</v>
      </c>
      <c r="F10" s="19" t="s">
        <v>873</v>
      </c>
      <c r="G10" s="19" t="s">
        <v>828</v>
      </c>
      <c r="H10" s="19" t="s">
        <v>883</v>
      </c>
      <c r="I10" s="19" t="s">
        <v>845</v>
      </c>
      <c r="J10" s="19" t="s">
        <v>831</v>
      </c>
      <c r="K10" s="19" t="s">
        <v>94</v>
      </c>
      <c r="L10" s="19" t="s">
        <v>95</v>
      </c>
      <c r="M10" s="19" t="s">
        <v>846</v>
      </c>
      <c r="N10" s="19" t="s">
        <v>884</v>
      </c>
      <c r="O10" s="19" t="s">
        <v>876</v>
      </c>
      <c r="P10" s="19" t="s">
        <v>835</v>
      </c>
      <c r="Q10" s="19" t="s">
        <v>885</v>
      </c>
      <c r="R10" s="19" t="s">
        <v>848</v>
      </c>
      <c r="S10" s="19" t="s">
        <v>96</v>
      </c>
      <c r="T10" s="19" t="s">
        <v>97</v>
      </c>
      <c r="AU10" s="15" t="s">
        <v>886</v>
      </c>
      <c r="AV10" s="15" t="s">
        <v>887</v>
      </c>
      <c r="AW10" s="15" t="s">
        <v>851</v>
      </c>
      <c r="AX10" s="26" t="s">
        <v>852</v>
      </c>
    </row>
    <row r="11" ht="15.75" customHeight="1">
      <c r="A11" s="26">
        <f t="shared" si="1"/>
        <v>9</v>
      </c>
      <c r="C11" s="19" t="s">
        <v>853</v>
      </c>
      <c r="F11" s="19" t="s">
        <v>873</v>
      </c>
      <c r="G11" s="19" t="s">
        <v>843</v>
      </c>
      <c r="H11" s="19" t="s">
        <v>888</v>
      </c>
      <c r="I11" s="19" t="s">
        <v>889</v>
      </c>
      <c r="J11" s="19" t="s">
        <v>831</v>
      </c>
      <c r="K11" s="19" t="s">
        <v>98</v>
      </c>
      <c r="L11" s="19" t="s">
        <v>99</v>
      </c>
      <c r="M11" s="19" t="s">
        <v>846</v>
      </c>
      <c r="N11" s="19" t="s">
        <v>890</v>
      </c>
      <c r="O11" s="19" t="s">
        <v>891</v>
      </c>
      <c r="P11" s="19" t="s">
        <v>892</v>
      </c>
      <c r="Q11" s="19" t="s">
        <v>893</v>
      </c>
      <c r="R11" s="19" t="s">
        <v>894</v>
      </c>
      <c r="S11" s="19" t="s">
        <v>100</v>
      </c>
      <c r="T11" s="19" t="s">
        <v>101</v>
      </c>
      <c r="AU11" s="15" t="s">
        <v>895</v>
      </c>
      <c r="AV11" s="15" t="s">
        <v>895</v>
      </c>
      <c r="AW11" s="15" t="s">
        <v>880</v>
      </c>
      <c r="AX11" s="26" t="s">
        <v>852</v>
      </c>
    </row>
    <row r="12" ht="15.75" customHeight="1">
      <c r="A12" s="26">
        <f t="shared" si="1"/>
        <v>10</v>
      </c>
      <c r="C12" s="19" t="s">
        <v>896</v>
      </c>
      <c r="F12" s="19" t="s">
        <v>842</v>
      </c>
      <c r="G12" s="19" t="s">
        <v>828</v>
      </c>
      <c r="H12" s="19" t="s">
        <v>897</v>
      </c>
      <c r="I12" s="19" t="s">
        <v>889</v>
      </c>
      <c r="J12" s="19" t="s">
        <v>831</v>
      </c>
      <c r="K12" s="19" t="s">
        <v>102</v>
      </c>
      <c r="L12" s="19" t="s">
        <v>103</v>
      </c>
      <c r="M12" s="19" t="s">
        <v>898</v>
      </c>
      <c r="N12" s="19" t="s">
        <v>899</v>
      </c>
      <c r="O12" s="19" t="s">
        <v>900</v>
      </c>
      <c r="P12" s="19" t="s">
        <v>835</v>
      </c>
      <c r="Q12" s="19" t="s">
        <v>901</v>
      </c>
      <c r="R12" s="19" t="s">
        <v>894</v>
      </c>
      <c r="S12" s="19" t="s">
        <v>104</v>
      </c>
      <c r="T12" s="19" t="s">
        <v>105</v>
      </c>
      <c r="AU12" s="15"/>
      <c r="AV12" s="15" t="s">
        <v>902</v>
      </c>
      <c r="AW12" s="15" t="s">
        <v>839</v>
      </c>
      <c r="AX12" s="26" t="s">
        <v>852</v>
      </c>
    </row>
    <row r="13" ht="15.75" customHeight="1">
      <c r="A13" s="26">
        <f t="shared" si="1"/>
        <v>11</v>
      </c>
      <c r="C13" s="19" t="s">
        <v>903</v>
      </c>
      <c r="F13" s="19" t="s">
        <v>873</v>
      </c>
      <c r="G13" s="19" t="s">
        <v>904</v>
      </c>
      <c r="H13" s="19" t="s">
        <v>905</v>
      </c>
      <c r="I13" s="19" t="s">
        <v>889</v>
      </c>
      <c r="J13" s="19" t="s">
        <v>906</v>
      </c>
      <c r="K13" s="19" t="s">
        <v>106</v>
      </c>
      <c r="L13" s="19" t="s">
        <v>107</v>
      </c>
      <c r="M13" s="19" t="s">
        <v>846</v>
      </c>
      <c r="N13" s="19" t="s">
        <v>875</v>
      </c>
      <c r="O13" s="19" t="s">
        <v>907</v>
      </c>
      <c r="P13" s="19" t="s">
        <v>908</v>
      </c>
      <c r="Q13" s="19" t="s">
        <v>893</v>
      </c>
      <c r="R13" s="19" t="s">
        <v>848</v>
      </c>
      <c r="S13" s="19" t="s">
        <v>108</v>
      </c>
      <c r="T13" s="19" t="s">
        <v>109</v>
      </c>
      <c r="AU13" s="15" t="s">
        <v>909</v>
      </c>
      <c r="AV13" s="15" t="s">
        <v>910</v>
      </c>
      <c r="AW13" s="15" t="s">
        <v>851</v>
      </c>
      <c r="AX13" s="26" t="s">
        <v>852</v>
      </c>
    </row>
    <row r="14" ht="15.75" customHeight="1">
      <c r="A14" s="26">
        <f t="shared" si="1"/>
        <v>12</v>
      </c>
      <c r="C14" s="19" t="s">
        <v>903</v>
      </c>
      <c r="F14" s="19" t="s">
        <v>842</v>
      </c>
      <c r="G14" s="19" t="s">
        <v>904</v>
      </c>
      <c r="H14" s="19" t="s">
        <v>911</v>
      </c>
      <c r="I14" s="19" t="s">
        <v>889</v>
      </c>
      <c r="J14" s="19" t="s">
        <v>831</v>
      </c>
      <c r="K14" s="19" t="s">
        <v>110</v>
      </c>
      <c r="L14" s="19" t="s">
        <v>111</v>
      </c>
      <c r="M14" s="19" t="s">
        <v>846</v>
      </c>
      <c r="N14" s="19" t="s">
        <v>833</v>
      </c>
      <c r="O14" s="19" t="s">
        <v>891</v>
      </c>
      <c r="P14" s="19" t="s">
        <v>892</v>
      </c>
      <c r="Q14" s="19" t="s">
        <v>912</v>
      </c>
      <c r="R14" s="19" t="s">
        <v>837</v>
      </c>
      <c r="S14" s="19" t="s">
        <v>112</v>
      </c>
      <c r="T14" s="19" t="s">
        <v>113</v>
      </c>
      <c r="AU14" s="15" t="s">
        <v>913</v>
      </c>
      <c r="AV14" s="15" t="s">
        <v>914</v>
      </c>
      <c r="AW14" s="15" t="s">
        <v>880</v>
      </c>
      <c r="AX14" s="26" t="s">
        <v>840</v>
      </c>
    </row>
    <row r="15" ht="15.75" customHeight="1">
      <c r="A15" s="26">
        <f t="shared" si="1"/>
        <v>13</v>
      </c>
      <c r="C15" s="19" t="s">
        <v>903</v>
      </c>
      <c r="F15" s="19" t="s">
        <v>842</v>
      </c>
      <c r="G15" s="19" t="s">
        <v>828</v>
      </c>
      <c r="H15" s="19" t="s">
        <v>915</v>
      </c>
      <c r="I15" s="19" t="s">
        <v>845</v>
      </c>
      <c r="J15" s="19" t="s">
        <v>916</v>
      </c>
      <c r="K15" s="19" t="s">
        <v>114</v>
      </c>
      <c r="L15" s="19" t="s">
        <v>115</v>
      </c>
      <c r="M15" s="19" t="s">
        <v>846</v>
      </c>
      <c r="N15" s="19" t="s">
        <v>899</v>
      </c>
      <c r="O15" s="19" t="s">
        <v>917</v>
      </c>
      <c r="P15" s="19" t="s">
        <v>835</v>
      </c>
      <c r="Q15" s="19" t="s">
        <v>918</v>
      </c>
      <c r="R15" s="19" t="s">
        <v>837</v>
      </c>
      <c r="S15" s="19" t="s">
        <v>116</v>
      </c>
      <c r="T15" s="19" t="s">
        <v>117</v>
      </c>
      <c r="AU15" s="15"/>
      <c r="AV15" s="15" t="s">
        <v>902</v>
      </c>
      <c r="AW15" s="15" t="s">
        <v>880</v>
      </c>
      <c r="AX15" s="26" t="s">
        <v>852</v>
      </c>
    </row>
    <row r="16" ht="15.75" customHeight="1">
      <c r="A16" s="26">
        <f t="shared" si="1"/>
        <v>14</v>
      </c>
      <c r="C16" s="19" t="s">
        <v>896</v>
      </c>
      <c r="F16" s="19" t="s">
        <v>827</v>
      </c>
      <c r="G16" s="19" t="s">
        <v>828</v>
      </c>
      <c r="H16" s="19" t="s">
        <v>874</v>
      </c>
      <c r="I16" s="19" t="s">
        <v>845</v>
      </c>
      <c r="J16" s="19" t="s">
        <v>916</v>
      </c>
      <c r="K16" s="19" t="s">
        <v>118</v>
      </c>
      <c r="L16" s="19" t="s">
        <v>119</v>
      </c>
      <c r="M16" s="19" t="s">
        <v>846</v>
      </c>
      <c r="N16" s="19" t="s">
        <v>833</v>
      </c>
      <c r="O16" s="19" t="s">
        <v>891</v>
      </c>
      <c r="P16" s="19" t="s">
        <v>835</v>
      </c>
      <c r="Q16" s="19" t="s">
        <v>893</v>
      </c>
      <c r="R16" s="19" t="s">
        <v>837</v>
      </c>
      <c r="S16" s="19" t="s">
        <v>120</v>
      </c>
      <c r="T16" s="19" t="s">
        <v>121</v>
      </c>
      <c r="AU16" s="15" t="s">
        <v>919</v>
      </c>
      <c r="AV16" s="15" t="s">
        <v>920</v>
      </c>
      <c r="AW16" s="15" t="s">
        <v>851</v>
      </c>
      <c r="AX16" s="26" t="s">
        <v>852</v>
      </c>
    </row>
    <row r="17" ht="15.75" customHeight="1">
      <c r="A17" s="26">
        <f t="shared" si="1"/>
        <v>15</v>
      </c>
      <c r="C17" s="19" t="s">
        <v>826</v>
      </c>
      <c r="F17" s="19" t="s">
        <v>827</v>
      </c>
      <c r="G17" s="19" t="s">
        <v>828</v>
      </c>
      <c r="H17" s="19" t="s">
        <v>921</v>
      </c>
      <c r="I17" s="19" t="s">
        <v>830</v>
      </c>
      <c r="J17" s="19" t="s">
        <v>831</v>
      </c>
      <c r="K17" s="19" t="s">
        <v>122</v>
      </c>
      <c r="L17" s="19" t="s">
        <v>123</v>
      </c>
      <c r="M17" s="19" t="s">
        <v>898</v>
      </c>
      <c r="N17" s="19" t="s">
        <v>833</v>
      </c>
      <c r="O17" s="19" t="s">
        <v>922</v>
      </c>
      <c r="P17" s="19" t="s">
        <v>835</v>
      </c>
      <c r="Q17" s="19" t="s">
        <v>923</v>
      </c>
      <c r="R17" s="19" t="s">
        <v>848</v>
      </c>
      <c r="S17" s="19" t="s">
        <v>124</v>
      </c>
      <c r="T17" s="19" t="s">
        <v>125</v>
      </c>
      <c r="AU17" s="15" t="s">
        <v>924</v>
      </c>
      <c r="AV17" s="15" t="s">
        <v>879</v>
      </c>
      <c r="AW17" s="15" t="s">
        <v>851</v>
      </c>
      <c r="AX17" s="26" t="s">
        <v>852</v>
      </c>
    </row>
    <row r="18" ht="15.75" customHeight="1">
      <c r="A18" s="26">
        <f t="shared" si="1"/>
        <v>16</v>
      </c>
      <c r="C18" s="19" t="s">
        <v>866</v>
      </c>
      <c r="F18" s="19" t="s">
        <v>873</v>
      </c>
      <c r="G18" s="19" t="s">
        <v>904</v>
      </c>
      <c r="H18" s="19" t="s">
        <v>925</v>
      </c>
      <c r="I18" s="19" t="s">
        <v>845</v>
      </c>
      <c r="J18" s="19" t="s">
        <v>831</v>
      </c>
      <c r="K18" s="19" t="s">
        <v>126</v>
      </c>
      <c r="L18" s="19" t="s">
        <v>127</v>
      </c>
      <c r="M18" s="19" t="s">
        <v>846</v>
      </c>
      <c r="N18" s="19" t="s">
        <v>875</v>
      </c>
      <c r="O18" s="19" t="s">
        <v>917</v>
      </c>
      <c r="P18" s="19" t="s">
        <v>835</v>
      </c>
      <c r="Q18" s="19" t="s">
        <v>926</v>
      </c>
      <c r="R18" s="19" t="s">
        <v>848</v>
      </c>
      <c r="S18" s="19" t="s">
        <v>128</v>
      </c>
      <c r="T18" s="19" t="s">
        <v>129</v>
      </c>
      <c r="AU18" s="15" t="s">
        <v>927</v>
      </c>
      <c r="AV18" s="15" t="s">
        <v>928</v>
      </c>
      <c r="AW18" s="15" t="s">
        <v>880</v>
      </c>
      <c r="AX18" s="26" t="s">
        <v>840</v>
      </c>
    </row>
    <row r="19" ht="15.75" customHeight="1">
      <c r="A19" s="26">
        <f t="shared" si="1"/>
        <v>17</v>
      </c>
      <c r="C19" s="19" t="s">
        <v>866</v>
      </c>
      <c r="F19" s="19" t="s">
        <v>873</v>
      </c>
      <c r="G19" s="19" t="s">
        <v>828</v>
      </c>
      <c r="H19" s="19" t="s">
        <v>915</v>
      </c>
      <c r="I19" s="19" t="s">
        <v>845</v>
      </c>
      <c r="J19" s="19" t="s">
        <v>906</v>
      </c>
      <c r="K19" s="19" t="s">
        <v>130</v>
      </c>
      <c r="L19" s="19" t="s">
        <v>131</v>
      </c>
      <c r="M19" s="19" t="s">
        <v>846</v>
      </c>
      <c r="N19" s="19" t="s">
        <v>929</v>
      </c>
      <c r="O19" s="19" t="s">
        <v>900</v>
      </c>
      <c r="P19" s="19" t="s">
        <v>892</v>
      </c>
      <c r="Q19" s="19" t="s">
        <v>930</v>
      </c>
      <c r="R19" s="19" t="s">
        <v>848</v>
      </c>
      <c r="S19" s="19" t="s">
        <v>132</v>
      </c>
      <c r="T19" s="19" t="s">
        <v>133</v>
      </c>
      <c r="AU19" s="15" t="s">
        <v>931</v>
      </c>
      <c r="AV19" s="15" t="s">
        <v>932</v>
      </c>
      <c r="AW19" s="15" t="s">
        <v>839</v>
      </c>
      <c r="AX19" s="26" t="s">
        <v>852</v>
      </c>
    </row>
    <row r="20" ht="15.75" customHeight="1">
      <c r="A20" s="26">
        <f t="shared" si="1"/>
        <v>18</v>
      </c>
      <c r="C20" s="19" t="s">
        <v>853</v>
      </c>
      <c r="F20" s="19" t="s">
        <v>827</v>
      </c>
      <c r="G20" s="19" t="s">
        <v>828</v>
      </c>
      <c r="H20" s="19" t="s">
        <v>933</v>
      </c>
      <c r="I20" s="19" t="s">
        <v>855</v>
      </c>
      <c r="J20" s="19" t="s">
        <v>831</v>
      </c>
      <c r="K20" s="19" t="s">
        <v>134</v>
      </c>
      <c r="L20" s="19" t="s">
        <v>135</v>
      </c>
      <c r="M20" s="19" t="s">
        <v>846</v>
      </c>
      <c r="N20" s="19" t="s">
        <v>875</v>
      </c>
      <c r="O20" s="19" t="s">
        <v>834</v>
      </c>
      <c r="P20" s="19" t="s">
        <v>835</v>
      </c>
      <c r="Q20" s="19" t="s">
        <v>934</v>
      </c>
      <c r="R20" s="19" t="s">
        <v>837</v>
      </c>
      <c r="S20" s="19" t="s">
        <v>136</v>
      </c>
      <c r="T20" s="19" t="s">
        <v>137</v>
      </c>
      <c r="AU20" s="15" t="s">
        <v>935</v>
      </c>
      <c r="AV20" s="15" t="s">
        <v>936</v>
      </c>
      <c r="AW20" s="15" t="s">
        <v>851</v>
      </c>
      <c r="AX20" s="26" t="s">
        <v>840</v>
      </c>
    </row>
    <row r="21" ht="15.75" customHeight="1">
      <c r="A21" s="26">
        <f t="shared" si="1"/>
        <v>19</v>
      </c>
      <c r="C21" s="19" t="s">
        <v>896</v>
      </c>
      <c r="F21" s="19" t="s">
        <v>842</v>
      </c>
      <c r="G21" s="19" t="s">
        <v>828</v>
      </c>
      <c r="H21" s="19" t="s">
        <v>874</v>
      </c>
      <c r="I21" s="19" t="s">
        <v>830</v>
      </c>
      <c r="J21" s="19" t="s">
        <v>831</v>
      </c>
      <c r="K21" s="19" t="s">
        <v>138</v>
      </c>
      <c r="L21" s="19" t="s">
        <v>139</v>
      </c>
      <c r="M21" s="19" t="s">
        <v>846</v>
      </c>
      <c r="N21" s="19" t="s">
        <v>833</v>
      </c>
      <c r="O21" s="19" t="s">
        <v>891</v>
      </c>
      <c r="P21" s="19" t="s">
        <v>835</v>
      </c>
      <c r="Q21" s="19" t="s">
        <v>926</v>
      </c>
      <c r="R21" s="19" t="s">
        <v>837</v>
      </c>
      <c r="S21" s="19" t="s">
        <v>140</v>
      </c>
      <c r="T21" s="19" t="s">
        <v>141</v>
      </c>
      <c r="AU21" s="15"/>
      <c r="AV21" s="15" t="s">
        <v>937</v>
      </c>
      <c r="AW21" s="15" t="s">
        <v>880</v>
      </c>
      <c r="AX21" s="26" t="s">
        <v>871</v>
      </c>
    </row>
    <row r="22" ht="15.75" customHeight="1">
      <c r="A22" s="26">
        <f t="shared" si="1"/>
        <v>20</v>
      </c>
      <c r="C22" s="19" t="s">
        <v>903</v>
      </c>
      <c r="F22" s="19" t="s">
        <v>873</v>
      </c>
      <c r="G22" s="19" t="s">
        <v>828</v>
      </c>
      <c r="H22" s="19" t="s">
        <v>938</v>
      </c>
      <c r="I22" s="19" t="s">
        <v>845</v>
      </c>
      <c r="J22" s="19" t="s">
        <v>831</v>
      </c>
      <c r="K22" s="19" t="s">
        <v>142</v>
      </c>
      <c r="L22" s="19" t="s">
        <v>143</v>
      </c>
      <c r="M22" s="19" t="s">
        <v>846</v>
      </c>
      <c r="N22" s="19" t="s">
        <v>833</v>
      </c>
      <c r="O22" s="19" t="s">
        <v>876</v>
      </c>
      <c r="P22" s="19" t="s">
        <v>835</v>
      </c>
      <c r="Q22" s="19" t="s">
        <v>893</v>
      </c>
      <c r="R22" s="19" t="s">
        <v>837</v>
      </c>
      <c r="S22" s="19" t="s">
        <v>144</v>
      </c>
      <c r="T22" s="19" t="s">
        <v>145</v>
      </c>
      <c r="AU22" s="15" t="s">
        <v>939</v>
      </c>
      <c r="AV22" s="15" t="s">
        <v>940</v>
      </c>
      <c r="AW22" s="15" t="s">
        <v>851</v>
      </c>
      <c r="AX22" s="26" t="s">
        <v>871</v>
      </c>
    </row>
    <row r="23" ht="15.75" customHeight="1">
      <c r="A23" s="26">
        <f t="shared" si="1"/>
        <v>21</v>
      </c>
      <c r="C23" s="19" t="s">
        <v>903</v>
      </c>
      <c r="F23" s="19" t="s">
        <v>842</v>
      </c>
      <c r="G23" s="19" t="s">
        <v>904</v>
      </c>
      <c r="H23" s="19" t="s">
        <v>905</v>
      </c>
      <c r="I23" s="19" t="s">
        <v>889</v>
      </c>
      <c r="J23" s="19" t="s">
        <v>941</v>
      </c>
      <c r="K23" s="19" t="s">
        <v>146</v>
      </c>
      <c r="L23" s="19" t="s">
        <v>147</v>
      </c>
      <c r="M23" s="19" t="s">
        <v>898</v>
      </c>
      <c r="N23" s="19" t="s">
        <v>833</v>
      </c>
      <c r="O23" s="19" t="s">
        <v>876</v>
      </c>
      <c r="P23" s="19" t="s">
        <v>835</v>
      </c>
      <c r="Q23" s="19" t="s">
        <v>893</v>
      </c>
      <c r="R23" s="19" t="s">
        <v>837</v>
      </c>
      <c r="S23" s="19" t="s">
        <v>148</v>
      </c>
      <c r="T23" s="19" t="s">
        <v>149</v>
      </c>
      <c r="AU23" s="15" t="s">
        <v>942</v>
      </c>
      <c r="AV23" s="15" t="s">
        <v>943</v>
      </c>
      <c r="AW23" s="15" t="s">
        <v>880</v>
      </c>
      <c r="AX23" s="26" t="s">
        <v>840</v>
      </c>
    </row>
    <row r="24" ht="15.75" customHeight="1">
      <c r="A24" s="26">
        <f t="shared" si="1"/>
        <v>22</v>
      </c>
      <c r="C24" s="19" t="s">
        <v>903</v>
      </c>
      <c r="F24" s="19" t="s">
        <v>873</v>
      </c>
      <c r="G24" s="19" t="s">
        <v>828</v>
      </c>
      <c r="H24" s="19" t="s">
        <v>944</v>
      </c>
      <c r="I24" s="19" t="s">
        <v>889</v>
      </c>
      <c r="J24" s="19" t="s">
        <v>831</v>
      </c>
      <c r="K24" s="19" t="s">
        <v>150</v>
      </c>
      <c r="L24" s="19" t="s">
        <v>151</v>
      </c>
      <c r="M24" s="19" t="s">
        <v>846</v>
      </c>
      <c r="N24" s="19" t="s">
        <v>875</v>
      </c>
      <c r="O24" s="19" t="s">
        <v>876</v>
      </c>
      <c r="P24" s="19" t="s">
        <v>835</v>
      </c>
      <c r="Q24" s="19" t="s">
        <v>945</v>
      </c>
      <c r="R24" s="19" t="s">
        <v>894</v>
      </c>
      <c r="S24" s="19" t="s">
        <v>152</v>
      </c>
      <c r="T24" s="19" t="s">
        <v>153</v>
      </c>
      <c r="AU24" s="15" t="s">
        <v>946</v>
      </c>
      <c r="AV24" s="15" t="s">
        <v>947</v>
      </c>
      <c r="AW24" s="15" t="s">
        <v>839</v>
      </c>
      <c r="AX24" s="26" t="s">
        <v>852</v>
      </c>
    </row>
    <row r="25" ht="15.75" customHeight="1">
      <c r="A25" s="26">
        <f t="shared" si="1"/>
        <v>23</v>
      </c>
      <c r="C25" s="19" t="s">
        <v>841</v>
      </c>
      <c r="F25" s="19" t="s">
        <v>842</v>
      </c>
      <c r="G25" s="19" t="s">
        <v>828</v>
      </c>
      <c r="H25" s="19" t="s">
        <v>915</v>
      </c>
      <c r="I25" s="19" t="s">
        <v>889</v>
      </c>
      <c r="J25" s="19" t="s">
        <v>831</v>
      </c>
      <c r="K25" s="19" t="s">
        <v>154</v>
      </c>
      <c r="L25" s="19" t="s">
        <v>155</v>
      </c>
      <c r="M25" s="19" t="s">
        <v>846</v>
      </c>
      <c r="N25" s="19" t="s">
        <v>899</v>
      </c>
      <c r="O25" s="19" t="s">
        <v>891</v>
      </c>
      <c r="P25" s="19" t="s">
        <v>892</v>
      </c>
      <c r="Q25" s="19" t="s">
        <v>948</v>
      </c>
      <c r="R25" s="19" t="s">
        <v>848</v>
      </c>
      <c r="S25" s="19" t="s">
        <v>156</v>
      </c>
      <c r="T25" s="63" t="s">
        <v>157</v>
      </c>
      <c r="AU25" s="15" t="s">
        <v>949</v>
      </c>
      <c r="AV25" s="15" t="s">
        <v>902</v>
      </c>
      <c r="AW25" s="15" t="s">
        <v>880</v>
      </c>
      <c r="AX25" s="26" t="s">
        <v>852</v>
      </c>
    </row>
    <row r="26" ht="15.75" customHeight="1">
      <c r="A26" s="26">
        <f t="shared" si="1"/>
        <v>24</v>
      </c>
      <c r="C26" s="19" t="s">
        <v>841</v>
      </c>
      <c r="F26" s="19" t="s">
        <v>873</v>
      </c>
      <c r="G26" s="19" t="s">
        <v>904</v>
      </c>
      <c r="H26" s="19" t="s">
        <v>950</v>
      </c>
      <c r="I26" s="19" t="s">
        <v>845</v>
      </c>
      <c r="J26" s="19" t="s">
        <v>916</v>
      </c>
      <c r="K26" s="19" t="s">
        <v>158</v>
      </c>
      <c r="L26" s="19" t="s">
        <v>159</v>
      </c>
      <c r="M26" s="19" t="s">
        <v>898</v>
      </c>
      <c r="N26" s="19" t="s">
        <v>875</v>
      </c>
      <c r="O26" s="19" t="s">
        <v>951</v>
      </c>
      <c r="P26" s="19" t="s">
        <v>892</v>
      </c>
      <c r="Q26" s="19" t="s">
        <v>952</v>
      </c>
      <c r="R26" s="19" t="s">
        <v>894</v>
      </c>
      <c r="S26" s="19" t="s">
        <v>160</v>
      </c>
      <c r="T26" s="19" t="s">
        <v>101</v>
      </c>
      <c r="AU26" s="15" t="s">
        <v>953</v>
      </c>
      <c r="AV26" s="15" t="s">
        <v>954</v>
      </c>
      <c r="AW26" s="15" t="s">
        <v>851</v>
      </c>
      <c r="AX26" s="26" t="s">
        <v>852</v>
      </c>
    </row>
    <row r="27" ht="15.75" customHeight="1">
      <c r="A27" s="26">
        <f t="shared" si="1"/>
        <v>25</v>
      </c>
      <c r="C27" s="19" t="s">
        <v>826</v>
      </c>
      <c r="F27" s="19" t="s">
        <v>827</v>
      </c>
      <c r="G27" s="19" t="s">
        <v>828</v>
      </c>
      <c r="H27" s="19" t="s">
        <v>955</v>
      </c>
      <c r="I27" s="19" t="s">
        <v>830</v>
      </c>
      <c r="J27" s="19" t="s">
        <v>831</v>
      </c>
      <c r="K27" s="19" t="s">
        <v>161</v>
      </c>
      <c r="L27" s="19" t="s">
        <v>162</v>
      </c>
      <c r="M27" s="19" t="s">
        <v>846</v>
      </c>
      <c r="N27" s="19" t="s">
        <v>956</v>
      </c>
      <c r="O27" s="19" t="s">
        <v>957</v>
      </c>
      <c r="P27" s="19" t="s">
        <v>835</v>
      </c>
      <c r="Q27" s="19" t="s">
        <v>958</v>
      </c>
      <c r="R27" s="19" t="s">
        <v>837</v>
      </c>
      <c r="S27" s="19" t="s">
        <v>163</v>
      </c>
      <c r="T27" s="19" t="s">
        <v>164</v>
      </c>
      <c r="AU27" s="15" t="s">
        <v>959</v>
      </c>
      <c r="AV27" s="15" t="s">
        <v>960</v>
      </c>
      <c r="AW27" s="15" t="s">
        <v>839</v>
      </c>
      <c r="AX27" s="26" t="s">
        <v>871</v>
      </c>
    </row>
    <row r="28" ht="15.75" customHeight="1">
      <c r="A28" s="26">
        <f t="shared" si="1"/>
        <v>26</v>
      </c>
      <c r="C28" s="19" t="s">
        <v>961</v>
      </c>
      <c r="F28" s="19" t="s">
        <v>842</v>
      </c>
      <c r="G28" s="19" t="s">
        <v>904</v>
      </c>
      <c r="H28" s="19" t="s">
        <v>962</v>
      </c>
      <c r="I28" s="19" t="s">
        <v>889</v>
      </c>
      <c r="J28" s="19" t="s">
        <v>831</v>
      </c>
      <c r="K28" s="19" t="s">
        <v>165</v>
      </c>
      <c r="L28" s="19" t="s">
        <v>166</v>
      </c>
      <c r="M28" s="19" t="s">
        <v>846</v>
      </c>
      <c r="N28" s="19" t="s">
        <v>963</v>
      </c>
      <c r="O28" s="19" t="s">
        <v>876</v>
      </c>
      <c r="P28" s="19" t="s">
        <v>835</v>
      </c>
      <c r="Q28" s="19" t="s">
        <v>964</v>
      </c>
      <c r="R28" s="19" t="s">
        <v>837</v>
      </c>
      <c r="S28" s="19" t="s">
        <v>167</v>
      </c>
      <c r="T28" s="19" t="s">
        <v>168</v>
      </c>
      <c r="AU28" s="15" t="s">
        <v>965</v>
      </c>
      <c r="AV28" s="15" t="s">
        <v>966</v>
      </c>
      <c r="AW28" s="15" t="s">
        <v>851</v>
      </c>
      <c r="AX28" s="26" t="s">
        <v>840</v>
      </c>
    </row>
    <row r="29" ht="15.75" customHeight="1">
      <c r="A29" s="26">
        <f t="shared" si="1"/>
        <v>27</v>
      </c>
      <c r="C29" s="19" t="s">
        <v>841</v>
      </c>
      <c r="F29" s="19" t="s">
        <v>873</v>
      </c>
      <c r="G29" s="19" t="s">
        <v>904</v>
      </c>
      <c r="H29" s="19" t="s">
        <v>967</v>
      </c>
      <c r="I29" s="19" t="s">
        <v>830</v>
      </c>
      <c r="J29" s="19" t="s">
        <v>831</v>
      </c>
      <c r="K29" s="19" t="s">
        <v>169</v>
      </c>
      <c r="L29" s="19" t="s">
        <v>170</v>
      </c>
      <c r="M29" s="19" t="s">
        <v>846</v>
      </c>
      <c r="N29" s="19" t="s">
        <v>968</v>
      </c>
      <c r="O29" s="19" t="s">
        <v>969</v>
      </c>
      <c r="P29" s="19" t="s">
        <v>835</v>
      </c>
      <c r="Q29" s="19" t="s">
        <v>930</v>
      </c>
      <c r="R29" s="19" t="s">
        <v>848</v>
      </c>
      <c r="S29" s="19" t="s">
        <v>171</v>
      </c>
      <c r="T29" s="19" t="s">
        <v>172</v>
      </c>
      <c r="AU29" s="15" t="s">
        <v>970</v>
      </c>
      <c r="AV29" s="15" t="s">
        <v>879</v>
      </c>
      <c r="AW29" s="15" t="s">
        <v>851</v>
      </c>
      <c r="AX29" s="26" t="s">
        <v>840</v>
      </c>
    </row>
    <row r="30" ht="15.75" customHeight="1">
      <c r="A30" s="26">
        <f t="shared" si="1"/>
        <v>28</v>
      </c>
      <c r="C30" s="19" t="s">
        <v>903</v>
      </c>
      <c r="F30" s="19" t="s">
        <v>873</v>
      </c>
      <c r="G30" s="19" t="s">
        <v>843</v>
      </c>
      <c r="H30" s="19" t="s">
        <v>874</v>
      </c>
      <c r="I30" s="19" t="s">
        <v>889</v>
      </c>
      <c r="J30" s="19" t="s">
        <v>831</v>
      </c>
      <c r="K30" s="19" t="s">
        <v>173</v>
      </c>
      <c r="L30" s="19" t="s">
        <v>174</v>
      </c>
      <c r="M30" s="19" t="s">
        <v>846</v>
      </c>
      <c r="N30" s="19" t="s">
        <v>971</v>
      </c>
      <c r="O30" s="19" t="s">
        <v>972</v>
      </c>
      <c r="P30" s="19" t="s">
        <v>835</v>
      </c>
      <c r="Q30" s="19" t="s">
        <v>973</v>
      </c>
      <c r="R30" s="19" t="s">
        <v>848</v>
      </c>
      <c r="S30" s="19" t="s">
        <v>175</v>
      </c>
      <c r="T30" s="19" t="s">
        <v>176</v>
      </c>
      <c r="AU30" s="15" t="s">
        <v>974</v>
      </c>
      <c r="AV30" s="15" t="s">
        <v>975</v>
      </c>
      <c r="AW30" s="15" t="s">
        <v>851</v>
      </c>
      <c r="AX30" s="26" t="s">
        <v>852</v>
      </c>
    </row>
    <row r="31" ht="15.75" customHeight="1">
      <c r="A31" s="26">
        <f t="shared" si="1"/>
        <v>29</v>
      </c>
      <c r="C31" s="19" t="s">
        <v>866</v>
      </c>
      <c r="F31" s="19" t="s">
        <v>873</v>
      </c>
      <c r="G31" s="19" t="s">
        <v>828</v>
      </c>
      <c r="H31" s="19" t="s">
        <v>976</v>
      </c>
      <c r="I31" s="19" t="s">
        <v>889</v>
      </c>
      <c r="J31" s="19" t="s">
        <v>831</v>
      </c>
      <c r="K31" s="19" t="s">
        <v>177</v>
      </c>
      <c r="L31" s="19" t="s">
        <v>178</v>
      </c>
      <c r="M31" s="19" t="s">
        <v>846</v>
      </c>
      <c r="N31" s="19" t="s">
        <v>890</v>
      </c>
      <c r="O31" s="19" t="s">
        <v>977</v>
      </c>
      <c r="P31" s="19" t="s">
        <v>892</v>
      </c>
      <c r="Q31" s="19" t="s">
        <v>978</v>
      </c>
      <c r="R31" s="19" t="s">
        <v>848</v>
      </c>
      <c r="S31" s="19" t="s">
        <v>179</v>
      </c>
      <c r="T31" s="19" t="s">
        <v>180</v>
      </c>
      <c r="AU31" s="15" t="s">
        <v>979</v>
      </c>
      <c r="AV31" s="15" t="s">
        <v>980</v>
      </c>
      <c r="AW31" s="15" t="s">
        <v>880</v>
      </c>
      <c r="AX31" s="26" t="s">
        <v>852</v>
      </c>
    </row>
    <row r="32" ht="15.75" customHeight="1">
      <c r="A32" s="26">
        <f t="shared" si="1"/>
        <v>30</v>
      </c>
      <c r="C32" s="19" t="s">
        <v>961</v>
      </c>
      <c r="F32" s="19" t="s">
        <v>842</v>
      </c>
      <c r="G32" s="19" t="s">
        <v>904</v>
      </c>
      <c r="H32" s="19" t="s">
        <v>981</v>
      </c>
      <c r="I32" s="19" t="s">
        <v>889</v>
      </c>
      <c r="J32" s="19" t="s">
        <v>906</v>
      </c>
      <c r="K32" s="19" t="s">
        <v>181</v>
      </c>
      <c r="L32" s="19" t="s">
        <v>182</v>
      </c>
      <c r="M32" s="19" t="s">
        <v>846</v>
      </c>
      <c r="N32" s="19" t="s">
        <v>861</v>
      </c>
      <c r="O32" s="19" t="s">
        <v>982</v>
      </c>
      <c r="P32" s="19" t="s">
        <v>892</v>
      </c>
      <c r="Q32" s="19" t="s">
        <v>893</v>
      </c>
      <c r="R32" s="19" t="s">
        <v>837</v>
      </c>
      <c r="S32" s="19" t="s">
        <v>183</v>
      </c>
      <c r="T32" s="19" t="s">
        <v>184</v>
      </c>
      <c r="AU32" s="15" t="s">
        <v>983</v>
      </c>
      <c r="AV32" s="15" t="s">
        <v>984</v>
      </c>
      <c r="AW32" s="15" t="s">
        <v>839</v>
      </c>
      <c r="AX32" s="26" t="s">
        <v>852</v>
      </c>
    </row>
    <row r="33" ht="15.75" customHeight="1">
      <c r="A33" s="26">
        <f t="shared" si="1"/>
        <v>31</v>
      </c>
      <c r="C33" s="19" t="s">
        <v>961</v>
      </c>
      <c r="F33" s="19" t="s">
        <v>873</v>
      </c>
      <c r="G33" s="19" t="s">
        <v>828</v>
      </c>
      <c r="H33" s="19" t="s">
        <v>985</v>
      </c>
      <c r="I33" s="19" t="s">
        <v>830</v>
      </c>
      <c r="J33" s="19" t="s">
        <v>916</v>
      </c>
      <c r="K33" s="19" t="s">
        <v>185</v>
      </c>
      <c r="L33" s="19" t="s">
        <v>186</v>
      </c>
      <c r="M33" s="19" t="s">
        <v>846</v>
      </c>
      <c r="N33" s="19" t="s">
        <v>986</v>
      </c>
      <c r="O33" s="19" t="s">
        <v>876</v>
      </c>
      <c r="P33" s="19" t="s">
        <v>835</v>
      </c>
      <c r="Q33" s="19" t="s">
        <v>987</v>
      </c>
      <c r="R33" s="19" t="s">
        <v>837</v>
      </c>
      <c r="S33" s="19" t="s">
        <v>187</v>
      </c>
      <c r="T33" s="19" t="s">
        <v>188</v>
      </c>
      <c r="AU33" s="15" t="s">
        <v>988</v>
      </c>
      <c r="AV33" s="15" t="s">
        <v>902</v>
      </c>
      <c r="AW33" s="15" t="s">
        <v>851</v>
      </c>
      <c r="AX33" s="26" t="s">
        <v>871</v>
      </c>
    </row>
    <row r="34" ht="15.75" customHeight="1">
      <c r="A34" s="26">
        <f t="shared" si="1"/>
        <v>32</v>
      </c>
      <c r="C34" s="19" t="s">
        <v>866</v>
      </c>
      <c r="F34" s="19" t="s">
        <v>842</v>
      </c>
      <c r="G34" s="19" t="s">
        <v>843</v>
      </c>
      <c r="H34" s="19" t="s">
        <v>989</v>
      </c>
      <c r="I34" s="19" t="s">
        <v>830</v>
      </c>
      <c r="J34" s="19" t="s">
        <v>831</v>
      </c>
      <c r="K34" s="19" t="s">
        <v>189</v>
      </c>
      <c r="L34" s="19" t="s">
        <v>190</v>
      </c>
      <c r="M34" s="19" t="s">
        <v>846</v>
      </c>
      <c r="N34" s="19" t="s">
        <v>990</v>
      </c>
      <c r="O34" s="19" t="s">
        <v>876</v>
      </c>
      <c r="P34" s="19" t="s">
        <v>835</v>
      </c>
      <c r="Q34" s="19" t="s">
        <v>893</v>
      </c>
      <c r="R34" s="19" t="s">
        <v>837</v>
      </c>
      <c r="S34" s="19" t="s">
        <v>191</v>
      </c>
      <c r="T34" s="19" t="s">
        <v>192</v>
      </c>
      <c r="AU34" s="15" t="s">
        <v>991</v>
      </c>
      <c r="AV34" s="15" t="s">
        <v>992</v>
      </c>
      <c r="AW34" s="15" t="s">
        <v>851</v>
      </c>
      <c r="AX34" s="26" t="s">
        <v>852</v>
      </c>
    </row>
    <row r="35" ht="15.75" customHeight="1">
      <c r="A35" s="26">
        <f t="shared" si="1"/>
        <v>33</v>
      </c>
      <c r="C35" s="19" t="s">
        <v>903</v>
      </c>
      <c r="F35" s="19" t="s">
        <v>873</v>
      </c>
      <c r="G35" s="19" t="s">
        <v>828</v>
      </c>
      <c r="H35" s="19" t="s">
        <v>993</v>
      </c>
      <c r="I35" s="19" t="s">
        <v>889</v>
      </c>
      <c r="J35" s="19" t="s">
        <v>916</v>
      </c>
      <c r="K35" s="19" t="s">
        <v>193</v>
      </c>
      <c r="L35" s="19" t="s">
        <v>194</v>
      </c>
      <c r="M35" s="19" t="s">
        <v>846</v>
      </c>
      <c r="N35" s="19" t="s">
        <v>990</v>
      </c>
      <c r="O35" s="19" t="s">
        <v>834</v>
      </c>
      <c r="P35" s="19" t="s">
        <v>835</v>
      </c>
      <c r="Q35" s="19" t="s">
        <v>994</v>
      </c>
      <c r="R35" s="19" t="s">
        <v>848</v>
      </c>
      <c r="S35" s="19" t="s">
        <v>195</v>
      </c>
      <c r="T35" s="19" t="s">
        <v>101</v>
      </c>
      <c r="AU35" s="15" t="s">
        <v>995</v>
      </c>
      <c r="AV35" s="15" t="s">
        <v>996</v>
      </c>
      <c r="AW35" s="15" t="s">
        <v>880</v>
      </c>
      <c r="AX35" s="26" t="s">
        <v>852</v>
      </c>
    </row>
    <row r="36" ht="15.75" customHeight="1">
      <c r="A36" s="26">
        <f t="shared" si="1"/>
        <v>34</v>
      </c>
      <c r="C36" s="19" t="s">
        <v>866</v>
      </c>
      <c r="F36" s="19" t="s">
        <v>873</v>
      </c>
      <c r="G36" s="19" t="s">
        <v>828</v>
      </c>
      <c r="H36" s="19" t="s">
        <v>997</v>
      </c>
      <c r="I36" s="19" t="s">
        <v>845</v>
      </c>
      <c r="J36" s="19" t="s">
        <v>906</v>
      </c>
      <c r="K36" s="19" t="s">
        <v>196</v>
      </c>
      <c r="L36" s="19" t="s">
        <v>197</v>
      </c>
      <c r="M36" s="19" t="s">
        <v>898</v>
      </c>
      <c r="N36" s="19" t="s">
        <v>875</v>
      </c>
      <c r="O36" s="19" t="s">
        <v>876</v>
      </c>
      <c r="P36" s="19" t="s">
        <v>892</v>
      </c>
      <c r="Q36" s="19" t="s">
        <v>998</v>
      </c>
      <c r="R36" s="19" t="s">
        <v>848</v>
      </c>
      <c r="S36" s="19" t="s">
        <v>198</v>
      </c>
      <c r="T36" s="19" t="s">
        <v>199</v>
      </c>
      <c r="AU36" s="15" t="s">
        <v>999</v>
      </c>
      <c r="AV36" s="15" t="s">
        <v>902</v>
      </c>
      <c r="AW36" s="15" t="s">
        <v>839</v>
      </c>
      <c r="AX36" s="26" t="s">
        <v>852</v>
      </c>
    </row>
    <row r="37" ht="15.75" customHeight="1">
      <c r="A37" s="26">
        <f t="shared" si="1"/>
        <v>35</v>
      </c>
      <c r="C37" s="19" t="s">
        <v>872</v>
      </c>
      <c r="F37" s="19" t="s">
        <v>873</v>
      </c>
      <c r="G37" s="19" t="s">
        <v>843</v>
      </c>
      <c r="H37" s="19" t="s">
        <v>1000</v>
      </c>
      <c r="I37" s="19" t="s">
        <v>889</v>
      </c>
      <c r="J37" s="19" t="s">
        <v>831</v>
      </c>
      <c r="K37" s="19" t="s">
        <v>200</v>
      </c>
      <c r="L37" s="19" t="s">
        <v>201</v>
      </c>
      <c r="M37" s="19" t="s">
        <v>898</v>
      </c>
      <c r="N37" s="19" t="s">
        <v>833</v>
      </c>
      <c r="O37" s="19" t="s">
        <v>1001</v>
      </c>
      <c r="P37" s="19" t="s">
        <v>835</v>
      </c>
      <c r="Q37" s="19" t="s">
        <v>1002</v>
      </c>
      <c r="R37" s="19" t="s">
        <v>837</v>
      </c>
      <c r="S37" s="19" t="s">
        <v>202</v>
      </c>
      <c r="T37" s="19" t="s">
        <v>101</v>
      </c>
      <c r="AU37" s="15" t="s">
        <v>1003</v>
      </c>
      <c r="AV37" s="15" t="s">
        <v>1004</v>
      </c>
      <c r="AW37" s="15" t="s">
        <v>880</v>
      </c>
      <c r="AX37" s="26" t="s">
        <v>852</v>
      </c>
    </row>
    <row r="38" ht="15.75" customHeight="1">
      <c r="A38" s="26">
        <f t="shared" si="1"/>
        <v>36</v>
      </c>
      <c r="C38" s="19" t="s">
        <v>853</v>
      </c>
      <c r="F38" s="19" t="s">
        <v>873</v>
      </c>
      <c r="G38" s="19" t="s">
        <v>904</v>
      </c>
      <c r="H38" s="19" t="s">
        <v>1005</v>
      </c>
      <c r="I38" s="19" t="s">
        <v>889</v>
      </c>
      <c r="J38" s="19" t="s">
        <v>831</v>
      </c>
      <c r="K38" s="19" t="s">
        <v>203</v>
      </c>
      <c r="L38" s="19" t="s">
        <v>204</v>
      </c>
      <c r="M38" s="19" t="s">
        <v>846</v>
      </c>
      <c r="N38" s="19" t="s">
        <v>833</v>
      </c>
      <c r="O38" s="19" t="s">
        <v>977</v>
      </c>
      <c r="P38" s="19" t="s">
        <v>835</v>
      </c>
      <c r="Q38" s="19" t="s">
        <v>1006</v>
      </c>
      <c r="R38" s="19" t="s">
        <v>837</v>
      </c>
      <c r="S38" s="19" t="s">
        <v>205</v>
      </c>
      <c r="T38" s="19" t="s">
        <v>206</v>
      </c>
      <c r="AU38" s="15" t="s">
        <v>1007</v>
      </c>
      <c r="AV38" s="15" t="s">
        <v>879</v>
      </c>
      <c r="AW38" s="15" t="s">
        <v>839</v>
      </c>
      <c r="AX38" s="26" t="s">
        <v>840</v>
      </c>
    </row>
    <row r="39" ht="15.75" customHeight="1">
      <c r="A39" s="26">
        <f t="shared" si="1"/>
        <v>37</v>
      </c>
      <c r="C39" s="19" t="s">
        <v>903</v>
      </c>
      <c r="F39" s="19" t="s">
        <v>873</v>
      </c>
      <c r="G39" s="19" t="s">
        <v>843</v>
      </c>
      <c r="H39" s="19" t="s">
        <v>1008</v>
      </c>
      <c r="I39" s="19" t="s">
        <v>889</v>
      </c>
      <c r="J39" s="19" t="s">
        <v>916</v>
      </c>
      <c r="K39" s="19" t="s">
        <v>207</v>
      </c>
      <c r="L39" s="19" t="s">
        <v>208</v>
      </c>
      <c r="M39" s="19" t="s">
        <v>846</v>
      </c>
      <c r="N39" s="19" t="s">
        <v>833</v>
      </c>
      <c r="O39" s="19" t="s">
        <v>891</v>
      </c>
      <c r="P39" s="19" t="s">
        <v>892</v>
      </c>
      <c r="Q39" s="19" t="s">
        <v>893</v>
      </c>
      <c r="R39" s="19" t="s">
        <v>837</v>
      </c>
      <c r="S39" s="19" t="s">
        <v>209</v>
      </c>
      <c r="T39" s="19" t="s">
        <v>210</v>
      </c>
      <c r="AU39" s="15" t="s">
        <v>1009</v>
      </c>
      <c r="AV39" s="15" t="s">
        <v>902</v>
      </c>
      <c r="AW39" s="15" t="s">
        <v>880</v>
      </c>
      <c r="AX39" s="26" t="s">
        <v>852</v>
      </c>
    </row>
    <row r="40" ht="15.75" customHeight="1">
      <c r="A40" s="26">
        <f t="shared" si="1"/>
        <v>38</v>
      </c>
      <c r="C40" s="19" t="s">
        <v>826</v>
      </c>
      <c r="F40" s="19" t="s">
        <v>873</v>
      </c>
      <c r="G40" s="19" t="s">
        <v>828</v>
      </c>
      <c r="H40" s="19" t="s">
        <v>1010</v>
      </c>
      <c r="I40" s="19" t="s">
        <v>830</v>
      </c>
      <c r="J40" s="19" t="s">
        <v>831</v>
      </c>
      <c r="K40" s="19" t="s">
        <v>211</v>
      </c>
      <c r="L40" s="19" t="s">
        <v>212</v>
      </c>
      <c r="M40" s="19" t="s">
        <v>846</v>
      </c>
      <c r="N40" s="19" t="s">
        <v>875</v>
      </c>
      <c r="O40" s="19" t="s">
        <v>900</v>
      </c>
      <c r="P40" s="19" t="s">
        <v>835</v>
      </c>
      <c r="Q40" s="19" t="s">
        <v>1011</v>
      </c>
      <c r="R40" s="19" t="s">
        <v>837</v>
      </c>
      <c r="S40" s="19" t="s">
        <v>213</v>
      </c>
      <c r="T40" s="19" t="s">
        <v>214</v>
      </c>
      <c r="AU40" s="15" t="s">
        <v>1012</v>
      </c>
      <c r="AV40" s="15" t="s">
        <v>1013</v>
      </c>
      <c r="AW40" s="15" t="s">
        <v>851</v>
      </c>
      <c r="AX40" s="26" t="s">
        <v>840</v>
      </c>
    </row>
    <row r="41" ht="15.75" customHeight="1">
      <c r="A41" s="26">
        <f t="shared" si="1"/>
        <v>39</v>
      </c>
      <c r="C41" s="19" t="s">
        <v>903</v>
      </c>
      <c r="F41" s="19" t="s">
        <v>873</v>
      </c>
      <c r="G41" s="19" t="s">
        <v>828</v>
      </c>
      <c r="H41" s="19" t="s">
        <v>874</v>
      </c>
      <c r="I41" s="19" t="s">
        <v>830</v>
      </c>
      <c r="J41" s="19" t="s">
        <v>906</v>
      </c>
      <c r="K41" s="19" t="s">
        <v>215</v>
      </c>
      <c r="L41" s="19" t="s">
        <v>216</v>
      </c>
      <c r="M41" s="19" t="s">
        <v>832</v>
      </c>
      <c r="N41" s="19" t="s">
        <v>875</v>
      </c>
      <c r="O41" s="19" t="s">
        <v>907</v>
      </c>
      <c r="P41" s="19" t="s">
        <v>835</v>
      </c>
      <c r="Q41" s="19" t="s">
        <v>893</v>
      </c>
      <c r="R41" s="19" t="s">
        <v>848</v>
      </c>
      <c r="S41" s="19" t="s">
        <v>217</v>
      </c>
      <c r="T41" s="19" t="s">
        <v>218</v>
      </c>
      <c r="AU41" s="15" t="s">
        <v>1014</v>
      </c>
      <c r="AV41" s="15" t="s">
        <v>902</v>
      </c>
      <c r="AW41" s="15" t="s">
        <v>880</v>
      </c>
      <c r="AX41" s="26" t="s">
        <v>840</v>
      </c>
    </row>
    <row r="42" ht="15.75" customHeight="1">
      <c r="A42" s="26">
        <f t="shared" si="1"/>
        <v>40</v>
      </c>
      <c r="C42" s="19" t="s">
        <v>872</v>
      </c>
      <c r="F42" s="19" t="s">
        <v>873</v>
      </c>
      <c r="G42" s="19" t="s">
        <v>828</v>
      </c>
      <c r="H42" s="19" t="s">
        <v>1015</v>
      </c>
      <c r="I42" s="19" t="s">
        <v>855</v>
      </c>
      <c r="J42" s="19" t="s">
        <v>831</v>
      </c>
      <c r="K42" s="19" t="s">
        <v>219</v>
      </c>
      <c r="L42" s="19" t="s">
        <v>220</v>
      </c>
      <c r="M42" s="19" t="s">
        <v>846</v>
      </c>
      <c r="N42" s="19" t="s">
        <v>875</v>
      </c>
      <c r="O42" s="19" t="s">
        <v>1016</v>
      </c>
      <c r="P42" s="19" t="s">
        <v>835</v>
      </c>
      <c r="Q42" s="19" t="s">
        <v>1017</v>
      </c>
      <c r="R42" s="19" t="s">
        <v>837</v>
      </c>
      <c r="S42" s="19" t="s">
        <v>221</v>
      </c>
      <c r="T42" s="19" t="s">
        <v>222</v>
      </c>
      <c r="AU42" s="15" t="s">
        <v>1018</v>
      </c>
      <c r="AV42" s="15" t="s">
        <v>1019</v>
      </c>
      <c r="AW42" s="15" t="s">
        <v>851</v>
      </c>
      <c r="AX42" s="26" t="s">
        <v>840</v>
      </c>
    </row>
    <row r="43" ht="15.75" customHeight="1">
      <c r="A43" s="26">
        <f t="shared" si="1"/>
        <v>41</v>
      </c>
      <c r="C43" s="19" t="s">
        <v>872</v>
      </c>
      <c r="F43" s="19" t="s">
        <v>873</v>
      </c>
      <c r="G43" s="19" t="s">
        <v>828</v>
      </c>
      <c r="H43" s="19" t="s">
        <v>1020</v>
      </c>
      <c r="I43" s="19" t="s">
        <v>830</v>
      </c>
      <c r="J43" s="19" t="s">
        <v>831</v>
      </c>
      <c r="K43" s="19" t="s">
        <v>223</v>
      </c>
      <c r="L43" s="19" t="s">
        <v>224</v>
      </c>
      <c r="M43" s="19" t="s">
        <v>898</v>
      </c>
      <c r="N43" s="19" t="s">
        <v>875</v>
      </c>
      <c r="O43" s="19" t="s">
        <v>951</v>
      </c>
      <c r="P43" s="19" t="s">
        <v>892</v>
      </c>
      <c r="Q43" s="19" t="s">
        <v>1021</v>
      </c>
      <c r="R43" s="19" t="s">
        <v>848</v>
      </c>
      <c r="S43" s="19" t="s">
        <v>225</v>
      </c>
      <c r="T43" s="19" t="s">
        <v>226</v>
      </c>
      <c r="AU43" s="15" t="s">
        <v>1022</v>
      </c>
      <c r="AV43" s="15" t="s">
        <v>1023</v>
      </c>
      <c r="AW43" s="15" t="s">
        <v>851</v>
      </c>
      <c r="AX43" s="26" t="s">
        <v>852</v>
      </c>
    </row>
    <row r="44" ht="15.75" customHeight="1">
      <c r="A44" s="26">
        <f t="shared" si="1"/>
        <v>42</v>
      </c>
      <c r="C44" s="19" t="s">
        <v>866</v>
      </c>
      <c r="F44" s="19" t="s">
        <v>873</v>
      </c>
      <c r="G44" s="19" t="s">
        <v>828</v>
      </c>
      <c r="H44" s="19" t="s">
        <v>1024</v>
      </c>
      <c r="I44" s="19" t="s">
        <v>889</v>
      </c>
      <c r="J44" s="19" t="s">
        <v>906</v>
      </c>
      <c r="K44" s="19" t="s">
        <v>227</v>
      </c>
      <c r="L44" s="19" t="s">
        <v>228</v>
      </c>
      <c r="M44" s="19" t="s">
        <v>846</v>
      </c>
      <c r="N44" s="19" t="s">
        <v>833</v>
      </c>
      <c r="O44" s="19" t="s">
        <v>876</v>
      </c>
      <c r="P44" s="19" t="s">
        <v>835</v>
      </c>
      <c r="Q44" s="19" t="s">
        <v>1025</v>
      </c>
      <c r="R44" s="19" t="s">
        <v>848</v>
      </c>
      <c r="S44" s="19" t="s">
        <v>229</v>
      </c>
      <c r="T44" s="19" t="s">
        <v>230</v>
      </c>
      <c r="AU44" s="15" t="s">
        <v>1026</v>
      </c>
      <c r="AV44" s="15" t="s">
        <v>902</v>
      </c>
      <c r="AW44" s="15" t="s">
        <v>851</v>
      </c>
      <c r="AX44" s="26" t="s">
        <v>852</v>
      </c>
    </row>
    <row r="45" ht="15.75" customHeight="1">
      <c r="A45" s="26">
        <f t="shared" si="1"/>
        <v>43</v>
      </c>
      <c r="C45" s="19" t="s">
        <v>826</v>
      </c>
      <c r="F45" s="19" t="s">
        <v>842</v>
      </c>
      <c r="G45" s="19" t="s">
        <v>1027</v>
      </c>
      <c r="H45" s="19" t="s">
        <v>1028</v>
      </c>
      <c r="I45" s="19" t="s">
        <v>889</v>
      </c>
      <c r="J45" s="19" t="s">
        <v>941</v>
      </c>
      <c r="K45" s="19" t="s">
        <v>231</v>
      </c>
      <c r="L45" s="19" t="s">
        <v>232</v>
      </c>
      <c r="M45" s="19" t="s">
        <v>846</v>
      </c>
      <c r="N45" s="19" t="s">
        <v>1029</v>
      </c>
      <c r="O45" s="19" t="s">
        <v>1030</v>
      </c>
      <c r="P45" s="19" t="s">
        <v>835</v>
      </c>
      <c r="Q45" s="19" t="s">
        <v>893</v>
      </c>
      <c r="R45" s="19" t="s">
        <v>837</v>
      </c>
      <c r="S45" s="19" t="s">
        <v>233</v>
      </c>
      <c r="T45" s="19" t="s">
        <v>234</v>
      </c>
      <c r="AU45" s="15" t="s">
        <v>1031</v>
      </c>
      <c r="AV45" s="15" t="s">
        <v>902</v>
      </c>
      <c r="AW45" s="15" t="s">
        <v>839</v>
      </c>
      <c r="AX45" s="26" t="s">
        <v>852</v>
      </c>
    </row>
    <row r="46" ht="15.75" customHeight="1">
      <c r="A46" s="26">
        <f t="shared" si="1"/>
        <v>44</v>
      </c>
      <c r="C46" s="19" t="s">
        <v>866</v>
      </c>
      <c r="F46" s="19" t="s">
        <v>873</v>
      </c>
      <c r="G46" s="19" t="s">
        <v>828</v>
      </c>
      <c r="H46" s="19" t="s">
        <v>944</v>
      </c>
      <c r="I46" s="19" t="s">
        <v>889</v>
      </c>
      <c r="J46" s="19" t="s">
        <v>906</v>
      </c>
      <c r="K46" s="19" t="s">
        <v>235</v>
      </c>
      <c r="L46" s="19" t="s">
        <v>236</v>
      </c>
      <c r="M46" s="19" t="s">
        <v>846</v>
      </c>
      <c r="N46" s="19" t="s">
        <v>833</v>
      </c>
      <c r="O46" s="19" t="s">
        <v>876</v>
      </c>
      <c r="P46" s="19" t="s">
        <v>835</v>
      </c>
      <c r="Q46" s="19" t="s">
        <v>1032</v>
      </c>
      <c r="R46" s="19" t="s">
        <v>848</v>
      </c>
      <c r="S46" s="19" t="s">
        <v>237</v>
      </c>
      <c r="T46" s="19" t="s">
        <v>238</v>
      </c>
      <c r="AU46" s="15" t="s">
        <v>1033</v>
      </c>
      <c r="AV46" s="15" t="s">
        <v>1034</v>
      </c>
      <c r="AW46" s="15" t="s">
        <v>880</v>
      </c>
      <c r="AX46" s="26" t="s">
        <v>852</v>
      </c>
    </row>
    <row r="47" ht="15.75" customHeight="1">
      <c r="A47" s="26">
        <f t="shared" si="1"/>
        <v>45</v>
      </c>
      <c r="C47" s="19" t="s">
        <v>961</v>
      </c>
      <c r="F47" s="19" t="s">
        <v>873</v>
      </c>
      <c r="G47" s="19" t="s">
        <v>828</v>
      </c>
      <c r="H47" s="19" t="s">
        <v>915</v>
      </c>
      <c r="I47" s="19" t="s">
        <v>889</v>
      </c>
      <c r="J47" s="19" t="s">
        <v>831</v>
      </c>
      <c r="K47" s="19" t="s">
        <v>239</v>
      </c>
      <c r="L47" s="19" t="s">
        <v>240</v>
      </c>
      <c r="M47" s="19" t="s">
        <v>846</v>
      </c>
      <c r="N47" s="19" t="s">
        <v>899</v>
      </c>
      <c r="O47" s="19" t="s">
        <v>891</v>
      </c>
      <c r="P47" s="19" t="s">
        <v>835</v>
      </c>
      <c r="Q47" s="19" t="s">
        <v>1035</v>
      </c>
      <c r="R47" s="19" t="s">
        <v>837</v>
      </c>
      <c r="S47" s="19" t="s">
        <v>241</v>
      </c>
      <c r="T47" s="19" t="s">
        <v>101</v>
      </c>
      <c r="AU47" s="15" t="s">
        <v>1036</v>
      </c>
      <c r="AV47" s="15" t="s">
        <v>879</v>
      </c>
      <c r="AW47" s="15" t="s">
        <v>851</v>
      </c>
      <c r="AX47" s="26" t="s">
        <v>852</v>
      </c>
    </row>
    <row r="48" ht="15.75" customHeight="1">
      <c r="A48" s="26">
        <f t="shared" si="1"/>
        <v>46</v>
      </c>
      <c r="C48" s="19" t="s">
        <v>903</v>
      </c>
      <c r="F48" s="19" t="s">
        <v>873</v>
      </c>
      <c r="G48" s="19" t="s">
        <v>828</v>
      </c>
      <c r="H48" s="19" t="s">
        <v>1037</v>
      </c>
      <c r="I48" s="19" t="s">
        <v>830</v>
      </c>
      <c r="J48" s="19" t="s">
        <v>831</v>
      </c>
      <c r="K48" s="19" t="s">
        <v>242</v>
      </c>
      <c r="L48" s="19" t="s">
        <v>243</v>
      </c>
      <c r="M48" s="19" t="s">
        <v>832</v>
      </c>
      <c r="N48" s="19" t="s">
        <v>833</v>
      </c>
      <c r="O48" s="19" t="s">
        <v>876</v>
      </c>
      <c r="P48" s="19" t="s">
        <v>835</v>
      </c>
      <c r="Q48" s="19" t="s">
        <v>868</v>
      </c>
      <c r="R48" s="19" t="s">
        <v>837</v>
      </c>
      <c r="S48" s="19" t="s">
        <v>244</v>
      </c>
      <c r="T48" s="19" t="s">
        <v>245</v>
      </c>
      <c r="AU48" s="15" t="s">
        <v>1038</v>
      </c>
      <c r="AV48" s="15" t="s">
        <v>1039</v>
      </c>
      <c r="AW48" s="15" t="s">
        <v>851</v>
      </c>
      <c r="AX48" s="26" t="s">
        <v>840</v>
      </c>
    </row>
    <row r="49" ht="15.75" customHeight="1">
      <c r="A49" s="26">
        <f t="shared" si="1"/>
        <v>47</v>
      </c>
      <c r="C49" s="19" t="s">
        <v>826</v>
      </c>
      <c r="F49" s="19" t="s">
        <v>842</v>
      </c>
      <c r="G49" s="19" t="s">
        <v>828</v>
      </c>
      <c r="H49" s="19" t="s">
        <v>950</v>
      </c>
      <c r="I49" s="19" t="s">
        <v>845</v>
      </c>
      <c r="J49" s="19" t="s">
        <v>831</v>
      </c>
      <c r="K49" s="19" t="s">
        <v>246</v>
      </c>
      <c r="L49" s="19" t="s">
        <v>247</v>
      </c>
      <c r="M49" s="19" t="s">
        <v>846</v>
      </c>
      <c r="N49" s="19" t="s">
        <v>963</v>
      </c>
      <c r="O49" s="19" t="s">
        <v>876</v>
      </c>
      <c r="P49" s="19" t="s">
        <v>835</v>
      </c>
      <c r="Q49" s="19" t="s">
        <v>1040</v>
      </c>
      <c r="R49" s="19" t="s">
        <v>837</v>
      </c>
      <c r="S49" s="19" t="s">
        <v>248</v>
      </c>
      <c r="T49" s="19" t="s">
        <v>249</v>
      </c>
      <c r="AU49" s="15" t="s">
        <v>1041</v>
      </c>
      <c r="AV49" s="15"/>
      <c r="AW49" s="15" t="s">
        <v>851</v>
      </c>
      <c r="AX49" s="26" t="s">
        <v>840</v>
      </c>
    </row>
    <row r="50" ht="15.75" customHeight="1">
      <c r="A50" s="26">
        <f t="shared" si="1"/>
        <v>48</v>
      </c>
      <c r="C50" s="19" t="s">
        <v>853</v>
      </c>
      <c r="F50" s="19" t="s">
        <v>827</v>
      </c>
      <c r="G50" s="19" t="s">
        <v>828</v>
      </c>
      <c r="H50" s="19" t="s">
        <v>981</v>
      </c>
      <c r="I50" s="19" t="s">
        <v>845</v>
      </c>
      <c r="J50" s="19" t="s">
        <v>831</v>
      </c>
      <c r="K50" s="19" t="s">
        <v>250</v>
      </c>
      <c r="L50" s="19" t="s">
        <v>251</v>
      </c>
      <c r="M50" s="19" t="s">
        <v>846</v>
      </c>
      <c r="N50" s="19" t="s">
        <v>833</v>
      </c>
      <c r="O50" s="19" t="s">
        <v>891</v>
      </c>
      <c r="P50" s="19" t="s">
        <v>835</v>
      </c>
      <c r="Q50" s="19" t="s">
        <v>1042</v>
      </c>
      <c r="R50" s="19" t="s">
        <v>837</v>
      </c>
      <c r="S50" s="19" t="s">
        <v>252</v>
      </c>
      <c r="T50" s="19" t="s">
        <v>253</v>
      </c>
      <c r="AU50" s="15" t="s">
        <v>1043</v>
      </c>
      <c r="AV50" s="15" t="s">
        <v>1044</v>
      </c>
      <c r="AW50" s="15" t="s">
        <v>880</v>
      </c>
      <c r="AX50" s="26" t="s">
        <v>871</v>
      </c>
    </row>
    <row r="51" ht="15.75" customHeight="1">
      <c r="A51" s="26">
        <f t="shared" si="1"/>
        <v>49</v>
      </c>
      <c r="C51" s="19" t="s">
        <v>903</v>
      </c>
      <c r="F51" s="19" t="s">
        <v>873</v>
      </c>
      <c r="G51" s="19" t="s">
        <v>828</v>
      </c>
      <c r="H51" s="19" t="s">
        <v>874</v>
      </c>
      <c r="I51" s="19" t="s">
        <v>830</v>
      </c>
      <c r="J51" s="19" t="s">
        <v>916</v>
      </c>
      <c r="K51" s="19" t="s">
        <v>254</v>
      </c>
      <c r="L51" s="19" t="s">
        <v>255</v>
      </c>
      <c r="M51" s="19" t="s">
        <v>846</v>
      </c>
      <c r="N51" s="19" t="s">
        <v>833</v>
      </c>
      <c r="O51" s="19" t="s">
        <v>900</v>
      </c>
      <c r="P51" s="19" t="s">
        <v>835</v>
      </c>
      <c r="Q51" s="19" t="s">
        <v>1040</v>
      </c>
      <c r="R51" s="19" t="s">
        <v>837</v>
      </c>
      <c r="S51" s="19" t="s">
        <v>256</v>
      </c>
      <c r="T51" s="19" t="s">
        <v>257</v>
      </c>
      <c r="AU51" s="15" t="s">
        <v>1045</v>
      </c>
      <c r="AV51" s="15" t="s">
        <v>1046</v>
      </c>
      <c r="AW51" s="15" t="s">
        <v>851</v>
      </c>
      <c r="AX51" s="26" t="s">
        <v>871</v>
      </c>
    </row>
    <row r="52" ht="15.75" customHeight="1">
      <c r="A52" s="26">
        <f t="shared" si="1"/>
        <v>50</v>
      </c>
      <c r="C52" s="19" t="s">
        <v>826</v>
      </c>
      <c r="F52" s="19" t="s">
        <v>873</v>
      </c>
      <c r="G52" s="19" t="s">
        <v>828</v>
      </c>
      <c r="H52" s="19" t="s">
        <v>1047</v>
      </c>
      <c r="I52" s="19" t="s">
        <v>830</v>
      </c>
      <c r="J52" s="19" t="s">
        <v>831</v>
      </c>
      <c r="K52" s="19" t="s">
        <v>258</v>
      </c>
      <c r="L52" s="19" t="s">
        <v>259</v>
      </c>
      <c r="M52" s="19" t="s">
        <v>1048</v>
      </c>
      <c r="N52" s="19" t="s">
        <v>1049</v>
      </c>
      <c r="O52" s="19" t="s">
        <v>1050</v>
      </c>
      <c r="P52" s="19" t="s">
        <v>835</v>
      </c>
      <c r="Q52" s="19" t="s">
        <v>1051</v>
      </c>
      <c r="R52" s="19" t="s">
        <v>837</v>
      </c>
      <c r="S52" s="19" t="s">
        <v>260</v>
      </c>
      <c r="T52" s="19" t="s">
        <v>261</v>
      </c>
      <c r="AU52" s="15" t="s">
        <v>1052</v>
      </c>
      <c r="AV52" s="15" t="s">
        <v>1053</v>
      </c>
      <c r="AW52" s="15" t="s">
        <v>851</v>
      </c>
      <c r="AX52" s="26" t="s">
        <v>840</v>
      </c>
    </row>
    <row r="53" ht="15.75" customHeight="1">
      <c r="A53" s="26">
        <f t="shared" si="1"/>
        <v>51</v>
      </c>
      <c r="C53" s="19" t="s">
        <v>841</v>
      </c>
      <c r="F53" s="19" t="s">
        <v>873</v>
      </c>
      <c r="G53" s="19" t="s">
        <v>904</v>
      </c>
      <c r="H53" s="19" t="s">
        <v>915</v>
      </c>
      <c r="I53" s="19" t="s">
        <v>889</v>
      </c>
      <c r="J53" s="19" t="s">
        <v>916</v>
      </c>
      <c r="K53" s="19" t="s">
        <v>262</v>
      </c>
      <c r="L53" s="19" t="s">
        <v>263</v>
      </c>
      <c r="M53" s="19" t="s">
        <v>832</v>
      </c>
      <c r="N53" s="19" t="s">
        <v>890</v>
      </c>
      <c r="O53" s="19" t="s">
        <v>917</v>
      </c>
      <c r="P53" s="19" t="s">
        <v>835</v>
      </c>
      <c r="Q53" s="19" t="s">
        <v>1054</v>
      </c>
      <c r="R53" s="19" t="s">
        <v>848</v>
      </c>
      <c r="S53" s="19" t="s">
        <v>264</v>
      </c>
      <c r="T53" s="19" t="s">
        <v>101</v>
      </c>
      <c r="AU53" s="15" t="s">
        <v>1055</v>
      </c>
      <c r="AV53" s="15" t="s">
        <v>1056</v>
      </c>
      <c r="AW53" s="15" t="s">
        <v>851</v>
      </c>
      <c r="AX53" s="26" t="s">
        <v>852</v>
      </c>
    </row>
    <row r="54" ht="15.75" customHeight="1">
      <c r="A54" s="26">
        <f t="shared" si="1"/>
        <v>52</v>
      </c>
      <c r="C54" s="19" t="s">
        <v>896</v>
      </c>
      <c r="F54" s="19" t="s">
        <v>827</v>
      </c>
      <c r="G54" s="19" t="s">
        <v>828</v>
      </c>
      <c r="H54" s="19" t="s">
        <v>1057</v>
      </c>
      <c r="I54" s="19" t="s">
        <v>845</v>
      </c>
      <c r="J54" s="19" t="s">
        <v>831</v>
      </c>
      <c r="K54" s="19" t="s">
        <v>265</v>
      </c>
      <c r="L54" s="19" t="s">
        <v>266</v>
      </c>
      <c r="M54" s="19" t="s">
        <v>846</v>
      </c>
      <c r="N54" s="19" t="s">
        <v>833</v>
      </c>
      <c r="O54" s="19" t="s">
        <v>876</v>
      </c>
      <c r="P54" s="19" t="s">
        <v>892</v>
      </c>
      <c r="Q54" s="19" t="s">
        <v>926</v>
      </c>
      <c r="R54" s="19" t="s">
        <v>837</v>
      </c>
      <c r="S54" s="19" t="s">
        <v>267</v>
      </c>
      <c r="T54" s="19" t="s">
        <v>268</v>
      </c>
      <c r="AU54" s="15" t="s">
        <v>1058</v>
      </c>
      <c r="AV54" s="15" t="s">
        <v>1059</v>
      </c>
      <c r="AW54" s="15" t="s">
        <v>880</v>
      </c>
      <c r="AX54" s="26" t="s">
        <v>871</v>
      </c>
    </row>
    <row r="55" ht="15.75" customHeight="1">
      <c r="A55" s="26">
        <f t="shared" si="1"/>
        <v>53</v>
      </c>
      <c r="C55" s="19" t="s">
        <v>903</v>
      </c>
      <c r="F55" s="19" t="s">
        <v>842</v>
      </c>
      <c r="G55" s="19" t="s">
        <v>828</v>
      </c>
      <c r="H55" s="19" t="s">
        <v>1060</v>
      </c>
      <c r="I55" s="19" t="s">
        <v>855</v>
      </c>
      <c r="J55" s="19" t="s">
        <v>831</v>
      </c>
      <c r="K55" s="19" t="s">
        <v>269</v>
      </c>
      <c r="L55" s="19" t="s">
        <v>270</v>
      </c>
      <c r="M55" s="19" t="s">
        <v>846</v>
      </c>
      <c r="N55" s="19" t="s">
        <v>899</v>
      </c>
      <c r="O55" s="19" t="s">
        <v>891</v>
      </c>
      <c r="P55" s="19" t="s">
        <v>835</v>
      </c>
      <c r="Q55" s="19" t="s">
        <v>923</v>
      </c>
      <c r="R55" s="19" t="s">
        <v>837</v>
      </c>
      <c r="S55" s="19" t="s">
        <v>271</v>
      </c>
      <c r="T55" s="19" t="s">
        <v>272</v>
      </c>
      <c r="AU55" s="15" t="s">
        <v>1061</v>
      </c>
      <c r="AV55" s="15" t="s">
        <v>902</v>
      </c>
      <c r="AW55" s="15" t="s">
        <v>839</v>
      </c>
      <c r="AX55" s="26" t="s">
        <v>840</v>
      </c>
    </row>
    <row r="56" ht="15.75" customHeight="1">
      <c r="A56" s="26">
        <f t="shared" si="1"/>
        <v>54</v>
      </c>
      <c r="C56" s="19" t="s">
        <v>866</v>
      </c>
      <c r="F56" s="19" t="s">
        <v>873</v>
      </c>
      <c r="G56" s="19" t="s">
        <v>904</v>
      </c>
      <c r="H56" s="19" t="s">
        <v>1062</v>
      </c>
      <c r="I56" s="19" t="s">
        <v>889</v>
      </c>
      <c r="J56" s="19" t="s">
        <v>916</v>
      </c>
      <c r="K56" s="19" t="s">
        <v>273</v>
      </c>
      <c r="L56" s="19" t="s">
        <v>274</v>
      </c>
      <c r="M56" s="19" t="s">
        <v>846</v>
      </c>
      <c r="N56" s="19" t="s">
        <v>833</v>
      </c>
      <c r="O56" s="19" t="s">
        <v>1063</v>
      </c>
      <c r="P56" s="19" t="s">
        <v>835</v>
      </c>
      <c r="Q56" s="19" t="s">
        <v>1064</v>
      </c>
      <c r="R56" s="19" t="s">
        <v>848</v>
      </c>
      <c r="S56" s="19" t="s">
        <v>275</v>
      </c>
      <c r="T56" s="19" t="s">
        <v>101</v>
      </c>
      <c r="AU56" s="15" t="s">
        <v>1065</v>
      </c>
      <c r="AV56" s="15" t="s">
        <v>902</v>
      </c>
      <c r="AW56" s="15" t="s">
        <v>880</v>
      </c>
      <c r="AX56" s="26" t="s">
        <v>852</v>
      </c>
    </row>
    <row r="57" ht="15.75" customHeight="1">
      <c r="A57" s="26">
        <f t="shared" si="1"/>
        <v>55</v>
      </c>
      <c r="C57" s="19" t="s">
        <v>903</v>
      </c>
      <c r="F57" s="19" t="s">
        <v>842</v>
      </c>
      <c r="G57" s="19" t="s">
        <v>828</v>
      </c>
      <c r="H57" s="19" t="s">
        <v>915</v>
      </c>
      <c r="I57" s="19" t="s">
        <v>845</v>
      </c>
      <c r="J57" s="19" t="s">
        <v>831</v>
      </c>
      <c r="K57" s="19" t="s">
        <v>276</v>
      </c>
      <c r="L57" s="19" t="s">
        <v>277</v>
      </c>
      <c r="M57" s="19" t="s">
        <v>898</v>
      </c>
      <c r="N57" s="19" t="s">
        <v>833</v>
      </c>
      <c r="O57" s="19" t="s">
        <v>1066</v>
      </c>
      <c r="P57" s="19" t="s">
        <v>835</v>
      </c>
      <c r="Q57" s="19" t="s">
        <v>1067</v>
      </c>
      <c r="R57" s="19" t="s">
        <v>837</v>
      </c>
      <c r="S57" s="19" t="s">
        <v>278</v>
      </c>
      <c r="T57" s="19" t="s">
        <v>230</v>
      </c>
      <c r="AU57" s="15" t="s">
        <v>1068</v>
      </c>
      <c r="AV57" s="15" t="s">
        <v>1069</v>
      </c>
      <c r="AW57" s="15" t="s">
        <v>851</v>
      </c>
      <c r="AX57" s="26" t="s">
        <v>852</v>
      </c>
    </row>
    <row r="58" ht="15.75" customHeight="1">
      <c r="A58" s="26">
        <f t="shared" si="1"/>
        <v>56</v>
      </c>
      <c r="C58" s="19" t="s">
        <v>826</v>
      </c>
      <c r="F58" s="19" t="s">
        <v>873</v>
      </c>
      <c r="G58" s="19" t="s">
        <v>828</v>
      </c>
      <c r="H58" s="19" t="s">
        <v>981</v>
      </c>
      <c r="I58" s="19" t="s">
        <v>845</v>
      </c>
      <c r="J58" s="19" t="s">
        <v>831</v>
      </c>
      <c r="K58" s="19" t="s">
        <v>279</v>
      </c>
      <c r="L58" s="19" t="s">
        <v>280</v>
      </c>
      <c r="M58" s="19" t="s">
        <v>846</v>
      </c>
      <c r="N58" s="19" t="s">
        <v>861</v>
      </c>
      <c r="O58" s="19" t="s">
        <v>876</v>
      </c>
      <c r="P58" s="19" t="s">
        <v>892</v>
      </c>
      <c r="Q58" s="19" t="s">
        <v>1070</v>
      </c>
      <c r="R58" s="19" t="s">
        <v>848</v>
      </c>
      <c r="S58" s="19" t="s">
        <v>281</v>
      </c>
      <c r="T58" s="19" t="s">
        <v>282</v>
      </c>
      <c r="AU58" s="15" t="s">
        <v>1071</v>
      </c>
      <c r="AV58" s="15" t="s">
        <v>1072</v>
      </c>
      <c r="AW58" s="15" t="s">
        <v>880</v>
      </c>
      <c r="AX58" s="26" t="s">
        <v>852</v>
      </c>
    </row>
    <row r="59" ht="15.75" customHeight="1">
      <c r="A59" s="26">
        <f t="shared" si="1"/>
        <v>57</v>
      </c>
      <c r="C59" s="19" t="s">
        <v>826</v>
      </c>
      <c r="F59" s="19" t="s">
        <v>873</v>
      </c>
      <c r="G59" s="19" t="s">
        <v>828</v>
      </c>
      <c r="H59" s="19" t="s">
        <v>874</v>
      </c>
      <c r="I59" s="19" t="s">
        <v>855</v>
      </c>
      <c r="J59" s="19" t="s">
        <v>831</v>
      </c>
      <c r="K59" s="19" t="s">
        <v>283</v>
      </c>
      <c r="L59" s="19" t="s">
        <v>284</v>
      </c>
      <c r="M59" s="19" t="s">
        <v>846</v>
      </c>
      <c r="N59" s="19" t="s">
        <v>833</v>
      </c>
      <c r="O59" s="19" t="s">
        <v>1063</v>
      </c>
      <c r="P59" s="19" t="s">
        <v>835</v>
      </c>
      <c r="Q59" s="19" t="s">
        <v>987</v>
      </c>
      <c r="R59" s="19" t="s">
        <v>837</v>
      </c>
      <c r="S59" s="19" t="s">
        <v>285</v>
      </c>
      <c r="T59" s="19" t="s">
        <v>286</v>
      </c>
      <c r="AU59" s="15" t="s">
        <v>1073</v>
      </c>
      <c r="AV59" s="15" t="s">
        <v>1074</v>
      </c>
      <c r="AW59" s="15" t="s">
        <v>1075</v>
      </c>
      <c r="AX59" s="26" t="s">
        <v>871</v>
      </c>
    </row>
    <row r="60" ht="15.75" customHeight="1">
      <c r="A60" s="26">
        <f t="shared" si="1"/>
        <v>58</v>
      </c>
      <c r="C60" s="19" t="s">
        <v>872</v>
      </c>
      <c r="F60" s="19" t="s">
        <v>873</v>
      </c>
      <c r="G60" s="19" t="s">
        <v>828</v>
      </c>
      <c r="H60" s="19" t="s">
        <v>1076</v>
      </c>
      <c r="I60" s="19" t="s">
        <v>845</v>
      </c>
      <c r="J60" s="19" t="s">
        <v>916</v>
      </c>
      <c r="K60" s="19" t="s">
        <v>287</v>
      </c>
      <c r="L60" s="19" t="s">
        <v>288</v>
      </c>
      <c r="M60" s="19" t="s">
        <v>846</v>
      </c>
      <c r="N60" s="19" t="s">
        <v>956</v>
      </c>
      <c r="O60" s="19" t="s">
        <v>957</v>
      </c>
      <c r="P60" s="19" t="s">
        <v>835</v>
      </c>
      <c r="Q60" s="19" t="s">
        <v>1077</v>
      </c>
      <c r="R60" s="19" t="s">
        <v>837</v>
      </c>
      <c r="S60" s="19" t="s">
        <v>289</v>
      </c>
      <c r="T60" s="19" t="s">
        <v>290</v>
      </c>
      <c r="AU60" s="15" t="s">
        <v>1078</v>
      </c>
      <c r="AV60" s="15" t="s">
        <v>1079</v>
      </c>
      <c r="AW60" s="15" t="s">
        <v>839</v>
      </c>
      <c r="AX60" s="26" t="s">
        <v>840</v>
      </c>
    </row>
    <row r="61" ht="15.75" customHeight="1">
      <c r="A61" s="26">
        <f t="shared" si="1"/>
        <v>59</v>
      </c>
      <c r="C61" s="19" t="s">
        <v>872</v>
      </c>
      <c r="F61" s="19" t="s">
        <v>873</v>
      </c>
      <c r="G61" s="19" t="s">
        <v>828</v>
      </c>
      <c r="H61" s="19" t="s">
        <v>1080</v>
      </c>
      <c r="I61" s="19" t="s">
        <v>845</v>
      </c>
      <c r="J61" s="19" t="s">
        <v>831</v>
      </c>
      <c r="K61" s="19" t="s">
        <v>291</v>
      </c>
      <c r="L61" s="19" t="s">
        <v>292</v>
      </c>
      <c r="M61" s="19" t="s">
        <v>832</v>
      </c>
      <c r="N61" s="19" t="s">
        <v>833</v>
      </c>
      <c r="O61" s="19" t="s">
        <v>972</v>
      </c>
      <c r="P61" s="19" t="s">
        <v>835</v>
      </c>
      <c r="Q61" s="19" t="s">
        <v>1081</v>
      </c>
      <c r="R61" s="19" t="s">
        <v>837</v>
      </c>
      <c r="S61" s="19" t="s">
        <v>293</v>
      </c>
      <c r="T61" s="19" t="s">
        <v>294</v>
      </c>
      <c r="AU61" s="15" t="s">
        <v>1082</v>
      </c>
      <c r="AV61" s="15" t="s">
        <v>1083</v>
      </c>
      <c r="AW61" s="15" t="s">
        <v>851</v>
      </c>
      <c r="AX61" s="26" t="s">
        <v>840</v>
      </c>
    </row>
    <row r="62" ht="15.75" customHeight="1">
      <c r="A62" s="26">
        <f t="shared" si="1"/>
        <v>60</v>
      </c>
      <c r="C62" s="19" t="s">
        <v>903</v>
      </c>
      <c r="F62" s="19" t="s">
        <v>842</v>
      </c>
      <c r="G62" s="19" t="s">
        <v>828</v>
      </c>
      <c r="H62" s="19" t="s">
        <v>981</v>
      </c>
      <c r="I62" s="19" t="s">
        <v>889</v>
      </c>
      <c r="J62" s="19" t="s">
        <v>831</v>
      </c>
      <c r="K62" s="19" t="s">
        <v>295</v>
      </c>
      <c r="L62" s="19" t="s">
        <v>296</v>
      </c>
      <c r="M62" s="19" t="s">
        <v>846</v>
      </c>
      <c r="N62" s="19" t="s">
        <v>875</v>
      </c>
      <c r="O62" s="19" t="s">
        <v>876</v>
      </c>
      <c r="P62" s="19" t="s">
        <v>835</v>
      </c>
      <c r="Q62" s="19" t="s">
        <v>893</v>
      </c>
      <c r="R62" s="19" t="s">
        <v>837</v>
      </c>
      <c r="S62" s="19" t="s">
        <v>297</v>
      </c>
      <c r="T62" s="19" t="s">
        <v>101</v>
      </c>
      <c r="AU62" s="15" t="s">
        <v>943</v>
      </c>
      <c r="AV62" s="15" t="s">
        <v>943</v>
      </c>
      <c r="AW62" s="15" t="s">
        <v>851</v>
      </c>
      <c r="AX62" s="26" t="s">
        <v>840</v>
      </c>
    </row>
    <row r="63" ht="15.75" customHeight="1">
      <c r="A63" s="26">
        <f t="shared" si="1"/>
        <v>61</v>
      </c>
      <c r="C63" s="19" t="s">
        <v>866</v>
      </c>
      <c r="F63" s="19" t="s">
        <v>873</v>
      </c>
      <c r="G63" s="19" t="s">
        <v>828</v>
      </c>
      <c r="H63" s="19" t="s">
        <v>955</v>
      </c>
      <c r="I63" s="19" t="s">
        <v>830</v>
      </c>
      <c r="J63" s="19" t="s">
        <v>831</v>
      </c>
      <c r="K63" s="19" t="s">
        <v>298</v>
      </c>
      <c r="L63" s="19" t="s">
        <v>299</v>
      </c>
      <c r="M63" s="19" t="s">
        <v>898</v>
      </c>
      <c r="N63" s="19" t="s">
        <v>833</v>
      </c>
      <c r="O63" s="19" t="s">
        <v>876</v>
      </c>
      <c r="P63" s="19" t="s">
        <v>835</v>
      </c>
      <c r="Q63" s="19" t="s">
        <v>1084</v>
      </c>
      <c r="R63" s="19" t="s">
        <v>837</v>
      </c>
      <c r="S63" s="19" t="s">
        <v>300</v>
      </c>
      <c r="T63" s="19" t="s">
        <v>301</v>
      </c>
      <c r="AU63" s="15" t="s">
        <v>1085</v>
      </c>
      <c r="AV63" s="15" t="s">
        <v>1086</v>
      </c>
      <c r="AW63" s="15" t="s">
        <v>839</v>
      </c>
      <c r="AX63" s="26" t="s">
        <v>871</v>
      </c>
    </row>
    <row r="64" ht="15.75" customHeight="1">
      <c r="A64" s="26">
        <f t="shared" si="1"/>
        <v>62</v>
      </c>
      <c r="C64" s="19" t="s">
        <v>853</v>
      </c>
      <c r="F64" s="19" t="s">
        <v>873</v>
      </c>
      <c r="G64" s="19" t="s">
        <v>828</v>
      </c>
      <c r="H64" s="19" t="s">
        <v>874</v>
      </c>
      <c r="I64" s="19" t="s">
        <v>889</v>
      </c>
      <c r="J64" s="19" t="s">
        <v>831</v>
      </c>
      <c r="K64" s="19" t="s">
        <v>302</v>
      </c>
      <c r="L64" s="19" t="s">
        <v>303</v>
      </c>
      <c r="M64" s="19" t="s">
        <v>846</v>
      </c>
      <c r="N64" s="19" t="s">
        <v>861</v>
      </c>
      <c r="O64" s="19" t="s">
        <v>1066</v>
      </c>
      <c r="P64" s="19" t="s">
        <v>835</v>
      </c>
      <c r="Q64" s="19" t="s">
        <v>987</v>
      </c>
      <c r="R64" s="19" t="s">
        <v>837</v>
      </c>
      <c r="S64" s="19" t="s">
        <v>304</v>
      </c>
      <c r="T64" s="19" t="s">
        <v>305</v>
      </c>
      <c r="AU64" s="15" t="s">
        <v>1087</v>
      </c>
      <c r="AV64" s="15" t="s">
        <v>1083</v>
      </c>
      <c r="AW64" s="15" t="s">
        <v>839</v>
      </c>
      <c r="AX64" s="26" t="s">
        <v>871</v>
      </c>
    </row>
    <row r="65" ht="15.75" customHeight="1">
      <c r="A65" s="26">
        <f t="shared" si="1"/>
        <v>63</v>
      </c>
      <c r="C65" s="19" t="s">
        <v>896</v>
      </c>
      <c r="F65" s="19" t="s">
        <v>842</v>
      </c>
      <c r="G65" s="19" t="s">
        <v>904</v>
      </c>
      <c r="H65" s="19" t="s">
        <v>1088</v>
      </c>
      <c r="I65" s="19" t="s">
        <v>889</v>
      </c>
      <c r="J65" s="19" t="s">
        <v>831</v>
      </c>
      <c r="K65" s="19" t="s">
        <v>306</v>
      </c>
      <c r="L65" s="19" t="s">
        <v>307</v>
      </c>
      <c r="M65" s="19" t="s">
        <v>846</v>
      </c>
      <c r="N65" s="19" t="s">
        <v>861</v>
      </c>
      <c r="O65" s="19" t="s">
        <v>900</v>
      </c>
      <c r="P65" s="19" t="s">
        <v>892</v>
      </c>
      <c r="Q65" s="19" t="s">
        <v>1089</v>
      </c>
      <c r="R65" s="19" t="s">
        <v>848</v>
      </c>
      <c r="S65" s="19" t="s">
        <v>308</v>
      </c>
      <c r="T65" s="19" t="s">
        <v>309</v>
      </c>
      <c r="AU65" s="15"/>
      <c r="AV65" s="15" t="s">
        <v>879</v>
      </c>
      <c r="AW65" s="15" t="s">
        <v>880</v>
      </c>
      <c r="AX65" s="26" t="s">
        <v>852</v>
      </c>
    </row>
    <row r="66" ht="15.75" customHeight="1">
      <c r="A66" s="26">
        <f t="shared" si="1"/>
        <v>64</v>
      </c>
      <c r="C66" s="19" t="s">
        <v>826</v>
      </c>
      <c r="F66" s="19" t="s">
        <v>873</v>
      </c>
      <c r="G66" s="19" t="s">
        <v>828</v>
      </c>
      <c r="H66" s="19" t="s">
        <v>915</v>
      </c>
      <c r="I66" s="19" t="s">
        <v>889</v>
      </c>
      <c r="J66" s="19" t="s">
        <v>831</v>
      </c>
      <c r="K66" s="19" t="s">
        <v>310</v>
      </c>
      <c r="L66" s="19" t="s">
        <v>311</v>
      </c>
      <c r="M66" s="19" t="s">
        <v>846</v>
      </c>
      <c r="N66" s="19" t="s">
        <v>875</v>
      </c>
      <c r="O66" s="19" t="s">
        <v>917</v>
      </c>
      <c r="P66" s="19" t="s">
        <v>892</v>
      </c>
      <c r="Q66" s="19" t="s">
        <v>1090</v>
      </c>
      <c r="R66" s="19" t="s">
        <v>837</v>
      </c>
      <c r="S66" s="19" t="s">
        <v>312</v>
      </c>
      <c r="T66" s="19" t="s">
        <v>313</v>
      </c>
      <c r="AU66" s="15" t="s">
        <v>1091</v>
      </c>
      <c r="AV66" s="15" t="s">
        <v>902</v>
      </c>
      <c r="AW66" s="15" t="s">
        <v>851</v>
      </c>
      <c r="AX66" s="26" t="s">
        <v>852</v>
      </c>
    </row>
    <row r="67" ht="15.75" customHeight="1">
      <c r="A67" s="26">
        <f t="shared" si="1"/>
        <v>65</v>
      </c>
      <c r="C67" s="19" t="s">
        <v>866</v>
      </c>
      <c r="F67" s="19" t="s">
        <v>873</v>
      </c>
      <c r="G67" s="19" t="s">
        <v>828</v>
      </c>
      <c r="H67" s="19" t="s">
        <v>955</v>
      </c>
      <c r="I67" s="19" t="s">
        <v>830</v>
      </c>
      <c r="J67" s="19" t="s">
        <v>831</v>
      </c>
      <c r="K67" s="19" t="s">
        <v>314</v>
      </c>
      <c r="L67" s="19" t="s">
        <v>315</v>
      </c>
      <c r="M67" s="19" t="s">
        <v>846</v>
      </c>
      <c r="N67" s="19" t="s">
        <v>833</v>
      </c>
      <c r="O67" s="19" t="s">
        <v>834</v>
      </c>
      <c r="P67" s="19" t="s">
        <v>835</v>
      </c>
      <c r="Q67" s="19" t="s">
        <v>1092</v>
      </c>
      <c r="R67" s="19" t="s">
        <v>837</v>
      </c>
      <c r="S67" s="19" t="s">
        <v>316</v>
      </c>
      <c r="T67" s="19" t="s">
        <v>317</v>
      </c>
      <c r="AU67" s="15" t="s">
        <v>1093</v>
      </c>
      <c r="AV67" s="15" t="s">
        <v>943</v>
      </c>
      <c r="AW67" s="15" t="s">
        <v>851</v>
      </c>
      <c r="AX67" s="26" t="s">
        <v>871</v>
      </c>
    </row>
    <row r="68" ht="15.75" customHeight="1">
      <c r="A68" s="26">
        <f t="shared" si="1"/>
        <v>66</v>
      </c>
      <c r="C68" s="19" t="s">
        <v>903</v>
      </c>
      <c r="F68" s="19" t="s">
        <v>873</v>
      </c>
      <c r="G68" s="19" t="s">
        <v>828</v>
      </c>
      <c r="H68" s="19" t="s">
        <v>1094</v>
      </c>
      <c r="I68" s="19" t="s">
        <v>889</v>
      </c>
      <c r="J68" s="19" t="s">
        <v>831</v>
      </c>
      <c r="K68" s="19" t="s">
        <v>318</v>
      </c>
      <c r="L68" s="19" t="s">
        <v>319</v>
      </c>
      <c r="M68" s="19" t="s">
        <v>846</v>
      </c>
      <c r="N68" s="19" t="s">
        <v>833</v>
      </c>
      <c r="O68" s="19" t="s">
        <v>1066</v>
      </c>
      <c r="P68" s="19" t="s">
        <v>892</v>
      </c>
      <c r="Q68" s="19" t="s">
        <v>1095</v>
      </c>
      <c r="R68" s="19" t="s">
        <v>837</v>
      </c>
      <c r="S68" s="19" t="s">
        <v>320</v>
      </c>
      <c r="T68" s="19" t="s">
        <v>321</v>
      </c>
      <c r="AU68" s="15" t="s">
        <v>1096</v>
      </c>
      <c r="AV68" s="15" t="s">
        <v>902</v>
      </c>
      <c r="AW68" s="15" t="s">
        <v>880</v>
      </c>
      <c r="AX68" s="26" t="s">
        <v>852</v>
      </c>
    </row>
    <row r="69" ht="15.75" customHeight="1">
      <c r="A69" s="26">
        <f t="shared" si="1"/>
        <v>67</v>
      </c>
      <c r="C69" s="19" t="s">
        <v>903</v>
      </c>
      <c r="F69" s="19" t="s">
        <v>842</v>
      </c>
      <c r="G69" s="19" t="s">
        <v>828</v>
      </c>
      <c r="H69" s="19" t="s">
        <v>1097</v>
      </c>
      <c r="I69" s="19" t="s">
        <v>830</v>
      </c>
      <c r="J69" s="19" t="s">
        <v>831</v>
      </c>
      <c r="K69" s="19" t="s">
        <v>322</v>
      </c>
      <c r="L69" s="19" t="s">
        <v>323</v>
      </c>
      <c r="M69" s="19" t="s">
        <v>846</v>
      </c>
      <c r="N69" s="19" t="s">
        <v>875</v>
      </c>
      <c r="O69" s="19" t="s">
        <v>957</v>
      </c>
      <c r="P69" s="19" t="s">
        <v>835</v>
      </c>
      <c r="Q69" s="19" t="s">
        <v>1098</v>
      </c>
      <c r="R69" s="19" t="s">
        <v>837</v>
      </c>
      <c r="S69" s="19" t="s">
        <v>324</v>
      </c>
      <c r="T69" s="19" t="s">
        <v>325</v>
      </c>
      <c r="AU69" s="15" t="s">
        <v>1099</v>
      </c>
      <c r="AV69" s="15" t="s">
        <v>879</v>
      </c>
      <c r="AW69" s="15" t="s">
        <v>851</v>
      </c>
      <c r="AX69" s="26" t="s">
        <v>871</v>
      </c>
    </row>
    <row r="70" ht="15.75" customHeight="1">
      <c r="A70" s="26">
        <f t="shared" si="1"/>
        <v>68</v>
      </c>
      <c r="C70" s="19" t="s">
        <v>866</v>
      </c>
      <c r="F70" s="19" t="s">
        <v>873</v>
      </c>
      <c r="G70" s="19" t="s">
        <v>828</v>
      </c>
      <c r="H70" s="19" t="s">
        <v>1062</v>
      </c>
      <c r="I70" s="19" t="s">
        <v>845</v>
      </c>
      <c r="J70" s="19" t="s">
        <v>941</v>
      </c>
      <c r="K70" s="19" t="s">
        <v>117</v>
      </c>
      <c r="L70" s="19" t="s">
        <v>326</v>
      </c>
      <c r="M70" s="19" t="s">
        <v>846</v>
      </c>
      <c r="N70" s="19" t="s">
        <v>899</v>
      </c>
      <c r="O70" s="19" t="s">
        <v>1100</v>
      </c>
      <c r="P70" s="19" t="s">
        <v>892</v>
      </c>
      <c r="Q70" s="19" t="s">
        <v>948</v>
      </c>
      <c r="R70" s="19" t="s">
        <v>837</v>
      </c>
      <c r="S70" s="19" t="s">
        <v>117</v>
      </c>
      <c r="T70" s="19" t="s">
        <v>117</v>
      </c>
      <c r="AU70" s="15" t="s">
        <v>1101</v>
      </c>
      <c r="AV70" s="15" t="s">
        <v>1102</v>
      </c>
      <c r="AW70" s="15" t="s">
        <v>851</v>
      </c>
      <c r="AX70" s="26" t="s">
        <v>852</v>
      </c>
    </row>
    <row r="71" ht="15.75" customHeight="1">
      <c r="A71" s="26">
        <f t="shared" si="1"/>
        <v>69</v>
      </c>
      <c r="C71" s="19" t="s">
        <v>866</v>
      </c>
      <c r="F71" s="19" t="s">
        <v>873</v>
      </c>
      <c r="G71" s="19" t="s">
        <v>843</v>
      </c>
      <c r="H71" s="19" t="s">
        <v>915</v>
      </c>
      <c r="I71" s="19" t="s">
        <v>845</v>
      </c>
      <c r="J71" s="19" t="s">
        <v>831</v>
      </c>
      <c r="K71" s="19" t="s">
        <v>327</v>
      </c>
      <c r="L71" s="19" t="s">
        <v>328</v>
      </c>
      <c r="M71" s="19" t="s">
        <v>832</v>
      </c>
      <c r="N71" s="19" t="s">
        <v>833</v>
      </c>
      <c r="O71" s="19" t="s">
        <v>1103</v>
      </c>
      <c r="P71" s="19" t="s">
        <v>835</v>
      </c>
      <c r="Q71" s="19" t="s">
        <v>926</v>
      </c>
      <c r="R71" s="19" t="s">
        <v>837</v>
      </c>
      <c r="S71" s="19" t="s">
        <v>329</v>
      </c>
      <c r="T71" s="19" t="s">
        <v>330</v>
      </c>
      <c r="AU71" s="15" t="s">
        <v>1104</v>
      </c>
      <c r="AV71" s="15" t="s">
        <v>879</v>
      </c>
      <c r="AW71" s="15" t="s">
        <v>839</v>
      </c>
      <c r="AX71" s="26" t="s">
        <v>840</v>
      </c>
    </row>
    <row r="72" ht="15.75" customHeight="1">
      <c r="A72" s="26">
        <f t="shared" si="1"/>
        <v>70</v>
      </c>
      <c r="C72" s="19" t="s">
        <v>841</v>
      </c>
      <c r="F72" s="19" t="s">
        <v>873</v>
      </c>
      <c r="G72" s="19" t="s">
        <v>828</v>
      </c>
      <c r="H72" s="19" t="s">
        <v>829</v>
      </c>
      <c r="I72" s="19" t="s">
        <v>830</v>
      </c>
      <c r="J72" s="19" t="s">
        <v>831</v>
      </c>
      <c r="K72" s="19" t="s">
        <v>331</v>
      </c>
      <c r="L72" s="19" t="s">
        <v>332</v>
      </c>
      <c r="M72" s="19" t="s">
        <v>846</v>
      </c>
      <c r="N72" s="19" t="s">
        <v>833</v>
      </c>
      <c r="O72" s="19" t="s">
        <v>834</v>
      </c>
      <c r="P72" s="19" t="s">
        <v>835</v>
      </c>
      <c r="Q72" s="19" t="s">
        <v>1105</v>
      </c>
      <c r="R72" s="19" t="s">
        <v>848</v>
      </c>
      <c r="S72" s="19" t="s">
        <v>333</v>
      </c>
      <c r="T72" s="19" t="s">
        <v>334</v>
      </c>
      <c r="AU72" s="15" t="s">
        <v>1106</v>
      </c>
      <c r="AV72" s="15" t="s">
        <v>1107</v>
      </c>
      <c r="AW72" s="15" t="s">
        <v>839</v>
      </c>
      <c r="AX72" s="26" t="s">
        <v>871</v>
      </c>
    </row>
    <row r="73" ht="15.75" customHeight="1">
      <c r="A73" s="26">
        <f t="shared" si="1"/>
        <v>71</v>
      </c>
      <c r="C73" s="19" t="s">
        <v>826</v>
      </c>
      <c r="F73" s="19" t="s">
        <v>827</v>
      </c>
      <c r="G73" s="19" t="s">
        <v>828</v>
      </c>
      <c r="H73" s="19" t="s">
        <v>1060</v>
      </c>
      <c r="I73" s="19" t="s">
        <v>889</v>
      </c>
      <c r="J73" s="19" t="s">
        <v>916</v>
      </c>
      <c r="K73" s="19" t="s">
        <v>335</v>
      </c>
      <c r="L73" s="19" t="s">
        <v>336</v>
      </c>
      <c r="M73" s="19" t="s">
        <v>846</v>
      </c>
      <c r="N73" s="19" t="s">
        <v>1108</v>
      </c>
      <c r="O73" s="19" t="s">
        <v>876</v>
      </c>
      <c r="P73" s="19" t="s">
        <v>892</v>
      </c>
      <c r="Q73" s="19" t="s">
        <v>1109</v>
      </c>
      <c r="R73" s="19" t="s">
        <v>837</v>
      </c>
      <c r="S73" s="19" t="s">
        <v>337</v>
      </c>
      <c r="T73" s="19" t="s">
        <v>338</v>
      </c>
      <c r="AU73" s="15" t="s">
        <v>1110</v>
      </c>
      <c r="AV73" s="15" t="s">
        <v>1083</v>
      </c>
      <c r="AW73" s="15" t="s">
        <v>851</v>
      </c>
      <c r="AX73" s="26" t="s">
        <v>852</v>
      </c>
    </row>
    <row r="74" ht="15.75" customHeight="1">
      <c r="A74" s="26">
        <f t="shared" si="1"/>
        <v>72</v>
      </c>
      <c r="C74" s="19" t="s">
        <v>826</v>
      </c>
      <c r="F74" s="19" t="s">
        <v>873</v>
      </c>
      <c r="G74" s="19" t="s">
        <v>843</v>
      </c>
      <c r="H74" s="19" t="s">
        <v>1111</v>
      </c>
      <c r="I74" s="19" t="s">
        <v>889</v>
      </c>
      <c r="J74" s="19" t="s">
        <v>916</v>
      </c>
      <c r="K74" s="19" t="s">
        <v>339</v>
      </c>
      <c r="L74" s="19" t="s">
        <v>340</v>
      </c>
      <c r="M74" s="19" t="s">
        <v>846</v>
      </c>
      <c r="N74" s="19" t="s">
        <v>1112</v>
      </c>
      <c r="O74" s="19" t="s">
        <v>1113</v>
      </c>
      <c r="P74" s="19" t="s">
        <v>908</v>
      </c>
      <c r="Q74" s="19" t="s">
        <v>893</v>
      </c>
      <c r="R74" s="19" t="s">
        <v>894</v>
      </c>
      <c r="S74" s="19" t="s">
        <v>341</v>
      </c>
      <c r="T74" s="19" t="s">
        <v>101</v>
      </c>
      <c r="AU74" s="15" t="s">
        <v>1114</v>
      </c>
      <c r="AV74" s="15" t="s">
        <v>1115</v>
      </c>
      <c r="AW74" s="15" t="s">
        <v>839</v>
      </c>
      <c r="AX74" s="26" t="s">
        <v>852</v>
      </c>
    </row>
    <row r="75" ht="15.75" customHeight="1">
      <c r="A75" s="26">
        <f t="shared" si="1"/>
        <v>73</v>
      </c>
      <c r="C75" s="19" t="s">
        <v>866</v>
      </c>
      <c r="F75" s="19" t="s">
        <v>842</v>
      </c>
      <c r="G75" s="19" t="s">
        <v>904</v>
      </c>
      <c r="H75" s="19" t="s">
        <v>915</v>
      </c>
      <c r="I75" s="19" t="s">
        <v>889</v>
      </c>
      <c r="J75" s="19" t="s">
        <v>831</v>
      </c>
      <c r="K75" s="19" t="s">
        <v>342</v>
      </c>
      <c r="L75" s="19" t="s">
        <v>343</v>
      </c>
      <c r="M75" s="19" t="s">
        <v>846</v>
      </c>
      <c r="N75" s="19" t="s">
        <v>875</v>
      </c>
      <c r="O75" s="19" t="s">
        <v>891</v>
      </c>
      <c r="P75" s="19" t="s">
        <v>835</v>
      </c>
      <c r="Q75" s="19" t="s">
        <v>952</v>
      </c>
      <c r="R75" s="19" t="s">
        <v>837</v>
      </c>
      <c r="S75" s="19" t="s">
        <v>344</v>
      </c>
      <c r="T75" s="19" t="s">
        <v>345</v>
      </c>
      <c r="AU75" s="15" t="s">
        <v>1116</v>
      </c>
      <c r="AV75" s="15" t="s">
        <v>879</v>
      </c>
      <c r="AW75" s="15" t="s">
        <v>880</v>
      </c>
      <c r="AX75" s="26" t="s">
        <v>840</v>
      </c>
    </row>
    <row r="76" ht="15.75" customHeight="1">
      <c r="A76" s="26">
        <f t="shared" si="1"/>
        <v>74</v>
      </c>
      <c r="C76" s="19" t="s">
        <v>896</v>
      </c>
      <c r="F76" s="19" t="s">
        <v>842</v>
      </c>
      <c r="G76" s="19" t="s">
        <v>828</v>
      </c>
      <c r="H76" s="19" t="s">
        <v>1117</v>
      </c>
      <c r="I76" s="19" t="s">
        <v>889</v>
      </c>
      <c r="J76" s="19" t="s">
        <v>906</v>
      </c>
      <c r="K76" s="19" t="s">
        <v>346</v>
      </c>
      <c r="L76" s="19" t="s">
        <v>347</v>
      </c>
      <c r="M76" s="19" t="s">
        <v>846</v>
      </c>
      <c r="N76" s="19" t="s">
        <v>875</v>
      </c>
      <c r="O76" s="19" t="s">
        <v>876</v>
      </c>
      <c r="P76" s="19" t="s">
        <v>835</v>
      </c>
      <c r="Q76" s="19" t="s">
        <v>930</v>
      </c>
      <c r="R76" s="19" t="s">
        <v>837</v>
      </c>
      <c r="S76" s="19" t="s">
        <v>348</v>
      </c>
      <c r="T76" s="19" t="s">
        <v>349</v>
      </c>
      <c r="AU76" s="15" t="s">
        <v>1118</v>
      </c>
      <c r="AV76" s="15" t="s">
        <v>1119</v>
      </c>
      <c r="AW76" s="15" t="s">
        <v>839</v>
      </c>
      <c r="AX76" s="26" t="s">
        <v>840</v>
      </c>
    </row>
    <row r="77" ht="15.75" customHeight="1">
      <c r="A77" s="26">
        <f t="shared" si="1"/>
        <v>75</v>
      </c>
      <c r="C77" s="19" t="s">
        <v>866</v>
      </c>
      <c r="F77" s="19" t="s">
        <v>827</v>
      </c>
      <c r="G77" s="19" t="s">
        <v>828</v>
      </c>
      <c r="H77" s="19" t="s">
        <v>1097</v>
      </c>
      <c r="I77" s="19" t="s">
        <v>845</v>
      </c>
      <c r="J77" s="19" t="s">
        <v>831</v>
      </c>
      <c r="K77" s="19" t="s">
        <v>350</v>
      </c>
      <c r="L77" s="19" t="s">
        <v>351</v>
      </c>
      <c r="M77" s="19" t="s">
        <v>846</v>
      </c>
      <c r="N77" s="19" t="s">
        <v>833</v>
      </c>
      <c r="O77" s="19" t="s">
        <v>977</v>
      </c>
      <c r="P77" s="19" t="s">
        <v>835</v>
      </c>
      <c r="Q77" s="19" t="s">
        <v>964</v>
      </c>
      <c r="R77" s="19" t="s">
        <v>837</v>
      </c>
      <c r="S77" s="19" t="s">
        <v>352</v>
      </c>
      <c r="T77" s="19" t="s">
        <v>353</v>
      </c>
      <c r="AU77" s="15" t="s">
        <v>1120</v>
      </c>
      <c r="AV77" s="15" t="s">
        <v>902</v>
      </c>
      <c r="AW77" s="15" t="s">
        <v>839</v>
      </c>
      <c r="AX77" s="26" t="s">
        <v>871</v>
      </c>
    </row>
    <row r="78" ht="15.75" customHeight="1">
      <c r="A78" s="26">
        <f t="shared" si="1"/>
        <v>76</v>
      </c>
      <c r="C78" s="19" t="s">
        <v>903</v>
      </c>
      <c r="F78" s="19" t="s">
        <v>842</v>
      </c>
      <c r="G78" s="19" t="s">
        <v>828</v>
      </c>
      <c r="H78" s="19" t="s">
        <v>915</v>
      </c>
      <c r="I78" s="19" t="s">
        <v>830</v>
      </c>
      <c r="J78" s="19" t="s">
        <v>831</v>
      </c>
      <c r="K78" s="19" t="s">
        <v>354</v>
      </c>
      <c r="L78" s="19" t="s">
        <v>355</v>
      </c>
      <c r="M78" s="19" t="s">
        <v>846</v>
      </c>
      <c r="N78" s="19" t="s">
        <v>833</v>
      </c>
      <c r="O78" s="19" t="s">
        <v>1121</v>
      </c>
      <c r="P78" s="19" t="s">
        <v>835</v>
      </c>
      <c r="Q78" s="19" t="s">
        <v>964</v>
      </c>
      <c r="R78" s="19" t="s">
        <v>837</v>
      </c>
      <c r="S78" s="19" t="s">
        <v>356</v>
      </c>
      <c r="AU78" s="15" t="s">
        <v>1122</v>
      </c>
      <c r="AV78" s="15" t="s">
        <v>1123</v>
      </c>
      <c r="AW78" s="15" t="s">
        <v>839</v>
      </c>
      <c r="AX78" s="26" t="s">
        <v>852</v>
      </c>
    </row>
    <row r="79" ht="15.75" customHeight="1">
      <c r="A79" s="26">
        <f t="shared" si="1"/>
        <v>77</v>
      </c>
      <c r="C79" s="19" t="s">
        <v>866</v>
      </c>
      <c r="F79" s="19" t="s">
        <v>873</v>
      </c>
      <c r="G79" s="19" t="s">
        <v>843</v>
      </c>
      <c r="H79" s="19" t="s">
        <v>1124</v>
      </c>
      <c r="I79" s="19" t="s">
        <v>889</v>
      </c>
      <c r="J79" s="19" t="s">
        <v>906</v>
      </c>
      <c r="K79" s="19" t="s">
        <v>357</v>
      </c>
      <c r="L79" s="19" t="s">
        <v>117</v>
      </c>
      <c r="M79" s="19" t="s">
        <v>846</v>
      </c>
      <c r="N79" s="19" t="s">
        <v>899</v>
      </c>
      <c r="O79" s="19" t="s">
        <v>891</v>
      </c>
      <c r="P79" s="19" t="s">
        <v>892</v>
      </c>
      <c r="Q79" s="19" t="s">
        <v>1125</v>
      </c>
      <c r="R79" s="19" t="s">
        <v>837</v>
      </c>
      <c r="S79" s="19" t="s">
        <v>358</v>
      </c>
      <c r="T79" s="19" t="s">
        <v>1126</v>
      </c>
      <c r="AU79" s="15" t="s">
        <v>1127</v>
      </c>
      <c r="AV79" s="15" t="s">
        <v>1128</v>
      </c>
      <c r="AW79" s="15" t="s">
        <v>880</v>
      </c>
      <c r="AX79" s="26" t="s">
        <v>852</v>
      </c>
    </row>
    <row r="80" ht="15.75" customHeight="1">
      <c r="A80" s="26">
        <f t="shared" si="1"/>
        <v>78</v>
      </c>
      <c r="C80" s="19" t="s">
        <v>866</v>
      </c>
      <c r="F80" s="19" t="s">
        <v>873</v>
      </c>
      <c r="G80" s="19" t="s">
        <v>904</v>
      </c>
      <c r="H80" s="19" t="s">
        <v>1129</v>
      </c>
      <c r="I80" s="19" t="s">
        <v>889</v>
      </c>
      <c r="J80" s="19" t="s">
        <v>906</v>
      </c>
      <c r="K80" s="19" t="s">
        <v>359</v>
      </c>
      <c r="L80" s="19" t="s">
        <v>360</v>
      </c>
      <c r="M80" s="19" t="s">
        <v>832</v>
      </c>
      <c r="N80" s="19" t="s">
        <v>875</v>
      </c>
      <c r="O80" s="19" t="s">
        <v>907</v>
      </c>
      <c r="P80" s="19" t="s">
        <v>835</v>
      </c>
      <c r="Q80" s="19" t="s">
        <v>1130</v>
      </c>
      <c r="R80" s="19" t="s">
        <v>848</v>
      </c>
      <c r="S80" s="19" t="s">
        <v>361</v>
      </c>
      <c r="T80" s="19" t="s">
        <v>101</v>
      </c>
      <c r="AU80" s="15" t="s">
        <v>1131</v>
      </c>
      <c r="AV80" s="15" t="s">
        <v>943</v>
      </c>
      <c r="AW80" s="15" t="s">
        <v>880</v>
      </c>
      <c r="AX80" s="26" t="s">
        <v>852</v>
      </c>
    </row>
    <row r="81" ht="15.75" customHeight="1">
      <c r="A81" s="26">
        <f t="shared" si="1"/>
        <v>79</v>
      </c>
      <c r="C81" s="19" t="s">
        <v>866</v>
      </c>
      <c r="F81" s="19" t="s">
        <v>1132</v>
      </c>
      <c r="G81" s="19" t="s">
        <v>828</v>
      </c>
      <c r="H81" s="19" t="s">
        <v>1133</v>
      </c>
      <c r="I81" s="19" t="s">
        <v>830</v>
      </c>
      <c r="J81" s="19" t="s">
        <v>831</v>
      </c>
      <c r="K81" s="19" t="s">
        <v>362</v>
      </c>
      <c r="L81" s="19" t="s">
        <v>363</v>
      </c>
      <c r="M81" s="19" t="s">
        <v>846</v>
      </c>
      <c r="N81" s="19" t="s">
        <v>968</v>
      </c>
      <c r="O81" s="19" t="s">
        <v>1134</v>
      </c>
      <c r="P81" s="19" t="s">
        <v>835</v>
      </c>
      <c r="Q81" s="19" t="s">
        <v>1135</v>
      </c>
      <c r="R81" s="19" t="s">
        <v>837</v>
      </c>
      <c r="S81" s="19" t="s">
        <v>364</v>
      </c>
      <c r="T81" s="19" t="s">
        <v>1136</v>
      </c>
      <c r="AU81" s="15" t="s">
        <v>1137</v>
      </c>
      <c r="AV81" s="15" t="s">
        <v>914</v>
      </c>
      <c r="AW81" s="15" t="s">
        <v>880</v>
      </c>
      <c r="AX81" s="26" t="s">
        <v>852</v>
      </c>
    </row>
    <row r="82" ht="15.75" customHeight="1">
      <c r="A82" s="26">
        <f t="shared" si="1"/>
        <v>80</v>
      </c>
      <c r="C82" s="19" t="s">
        <v>866</v>
      </c>
      <c r="F82" s="19" t="s">
        <v>873</v>
      </c>
      <c r="G82" s="19" t="s">
        <v>828</v>
      </c>
      <c r="H82" s="19" t="s">
        <v>955</v>
      </c>
      <c r="I82" s="19" t="s">
        <v>830</v>
      </c>
      <c r="J82" s="19" t="s">
        <v>831</v>
      </c>
      <c r="K82" s="19" t="s">
        <v>365</v>
      </c>
      <c r="L82" s="19" t="s">
        <v>366</v>
      </c>
      <c r="M82" s="19" t="s">
        <v>846</v>
      </c>
      <c r="N82" s="19" t="s">
        <v>833</v>
      </c>
      <c r="O82" s="19" t="s">
        <v>856</v>
      </c>
      <c r="P82" s="19" t="s">
        <v>835</v>
      </c>
      <c r="Q82" s="19" t="s">
        <v>964</v>
      </c>
      <c r="R82" s="19" t="s">
        <v>837</v>
      </c>
      <c r="S82" s="19" t="s">
        <v>367</v>
      </c>
      <c r="T82" s="19" t="s">
        <v>1138</v>
      </c>
      <c r="AU82" s="15" t="s">
        <v>1139</v>
      </c>
      <c r="AV82" s="15" t="s">
        <v>1140</v>
      </c>
      <c r="AW82" s="15" t="s">
        <v>880</v>
      </c>
      <c r="AX82" s="26" t="s">
        <v>840</v>
      </c>
    </row>
    <row r="83" ht="15.75" customHeight="1">
      <c r="A83" s="26">
        <f t="shared" si="1"/>
        <v>81</v>
      </c>
      <c r="C83" s="19" t="s">
        <v>896</v>
      </c>
      <c r="F83" s="19" t="s">
        <v>842</v>
      </c>
      <c r="G83" s="19" t="s">
        <v>828</v>
      </c>
      <c r="H83" s="19" t="s">
        <v>915</v>
      </c>
      <c r="I83" s="19" t="s">
        <v>830</v>
      </c>
      <c r="J83" s="19" t="s">
        <v>831</v>
      </c>
      <c r="K83" s="19" t="s">
        <v>368</v>
      </c>
      <c r="L83" s="19" t="s">
        <v>369</v>
      </c>
      <c r="M83" s="19" t="s">
        <v>846</v>
      </c>
      <c r="N83" s="19" t="s">
        <v>833</v>
      </c>
      <c r="O83" s="19" t="s">
        <v>907</v>
      </c>
      <c r="P83" s="19" t="s">
        <v>835</v>
      </c>
      <c r="Q83" s="19" t="s">
        <v>847</v>
      </c>
      <c r="R83" s="19" t="s">
        <v>848</v>
      </c>
      <c r="S83" s="19" t="s">
        <v>370</v>
      </c>
      <c r="T83" s="19" t="s">
        <v>1141</v>
      </c>
      <c r="AU83" s="15" t="s">
        <v>1142</v>
      </c>
      <c r="AV83" s="15" t="s">
        <v>879</v>
      </c>
      <c r="AW83" s="15" t="s">
        <v>880</v>
      </c>
      <c r="AX83" s="26" t="s">
        <v>852</v>
      </c>
    </row>
    <row r="84" ht="15.75" customHeight="1">
      <c r="A84" s="26">
        <f t="shared" si="1"/>
        <v>82</v>
      </c>
      <c r="C84" s="19" t="s">
        <v>896</v>
      </c>
      <c r="F84" s="19" t="s">
        <v>842</v>
      </c>
      <c r="G84" s="19" t="s">
        <v>828</v>
      </c>
      <c r="H84" s="19" t="s">
        <v>955</v>
      </c>
      <c r="I84" s="19" t="s">
        <v>830</v>
      </c>
      <c r="J84" s="19" t="s">
        <v>831</v>
      </c>
      <c r="K84" s="19" t="s">
        <v>371</v>
      </c>
      <c r="L84" s="19" t="s">
        <v>372</v>
      </c>
      <c r="M84" s="19" t="s">
        <v>846</v>
      </c>
      <c r="N84" s="19" t="s">
        <v>875</v>
      </c>
      <c r="O84" s="19" t="s">
        <v>907</v>
      </c>
      <c r="P84" s="19" t="s">
        <v>835</v>
      </c>
      <c r="Q84" s="19" t="s">
        <v>952</v>
      </c>
      <c r="R84" s="19" t="s">
        <v>837</v>
      </c>
      <c r="S84" s="19" t="s">
        <v>373</v>
      </c>
      <c r="T84" s="19" t="s">
        <v>1143</v>
      </c>
      <c r="AU84" s="15" t="s">
        <v>1144</v>
      </c>
      <c r="AV84" s="15" t="s">
        <v>1145</v>
      </c>
      <c r="AW84" s="15" t="s">
        <v>880</v>
      </c>
      <c r="AX84" s="26" t="s">
        <v>840</v>
      </c>
    </row>
    <row r="85" ht="15.75" customHeight="1">
      <c r="A85" s="26">
        <f t="shared" si="1"/>
        <v>83</v>
      </c>
      <c r="C85" s="19" t="s">
        <v>866</v>
      </c>
      <c r="F85" s="19" t="s">
        <v>842</v>
      </c>
      <c r="G85" s="19" t="s">
        <v>828</v>
      </c>
      <c r="H85" s="19" t="s">
        <v>888</v>
      </c>
      <c r="I85" s="19" t="s">
        <v>889</v>
      </c>
      <c r="J85" s="19" t="s">
        <v>906</v>
      </c>
      <c r="K85" s="19" t="s">
        <v>374</v>
      </c>
      <c r="L85" s="19" t="s">
        <v>375</v>
      </c>
      <c r="M85" s="19" t="s">
        <v>846</v>
      </c>
      <c r="N85" s="19" t="s">
        <v>875</v>
      </c>
      <c r="O85" s="19" t="s">
        <v>977</v>
      </c>
      <c r="P85" s="19" t="s">
        <v>835</v>
      </c>
      <c r="Q85" s="19" t="s">
        <v>1146</v>
      </c>
      <c r="R85" s="19" t="s">
        <v>848</v>
      </c>
      <c r="S85" s="19" t="s">
        <v>376</v>
      </c>
      <c r="T85" s="19" t="s">
        <v>1147</v>
      </c>
      <c r="AU85" s="15"/>
      <c r="AV85" s="15"/>
      <c r="AW85" s="15" t="s">
        <v>851</v>
      </c>
      <c r="AX85" s="26" t="s">
        <v>852</v>
      </c>
    </row>
    <row r="86" ht="15.75" customHeight="1">
      <c r="A86" s="26">
        <f t="shared" si="1"/>
        <v>84</v>
      </c>
      <c r="C86" s="19" t="s">
        <v>826</v>
      </c>
      <c r="F86" s="19" t="s">
        <v>827</v>
      </c>
      <c r="G86" s="19" t="s">
        <v>828</v>
      </c>
      <c r="H86" s="19" t="s">
        <v>1148</v>
      </c>
      <c r="I86" s="19" t="s">
        <v>845</v>
      </c>
      <c r="J86" s="19" t="s">
        <v>906</v>
      </c>
      <c r="K86" s="19" t="s">
        <v>377</v>
      </c>
      <c r="L86" s="19" t="s">
        <v>378</v>
      </c>
      <c r="M86" s="19" t="s">
        <v>846</v>
      </c>
      <c r="N86" s="19" t="s">
        <v>990</v>
      </c>
      <c r="O86" s="19" t="s">
        <v>891</v>
      </c>
      <c r="P86" s="19" t="s">
        <v>835</v>
      </c>
      <c r="Q86" s="19" t="s">
        <v>1149</v>
      </c>
      <c r="R86" s="19" t="s">
        <v>848</v>
      </c>
      <c r="S86" s="19" t="s">
        <v>379</v>
      </c>
      <c r="T86" s="19" t="s">
        <v>1150</v>
      </c>
      <c r="AU86" s="15"/>
      <c r="AV86" s="15" t="s">
        <v>879</v>
      </c>
      <c r="AW86" s="15" t="s">
        <v>851</v>
      </c>
      <c r="AX86" s="26" t="s">
        <v>852</v>
      </c>
    </row>
    <row r="87" ht="15.75" customHeight="1">
      <c r="A87" s="26">
        <f t="shared" si="1"/>
        <v>85</v>
      </c>
      <c r="C87" s="19" t="s">
        <v>826</v>
      </c>
      <c r="F87" s="19" t="s">
        <v>842</v>
      </c>
      <c r="G87" s="19" t="s">
        <v>828</v>
      </c>
      <c r="H87" s="19" t="s">
        <v>1151</v>
      </c>
      <c r="I87" s="19" t="s">
        <v>889</v>
      </c>
      <c r="J87" s="19" t="s">
        <v>941</v>
      </c>
      <c r="K87" s="19" t="s">
        <v>380</v>
      </c>
      <c r="L87" s="19" t="s">
        <v>381</v>
      </c>
      <c r="M87" s="19" t="s">
        <v>898</v>
      </c>
      <c r="N87" s="19" t="s">
        <v>1152</v>
      </c>
      <c r="O87" s="19" t="s">
        <v>1050</v>
      </c>
      <c r="P87" s="19" t="s">
        <v>892</v>
      </c>
      <c r="Q87" s="19" t="s">
        <v>1153</v>
      </c>
      <c r="R87" s="19" t="s">
        <v>848</v>
      </c>
      <c r="S87" s="19" t="s">
        <v>382</v>
      </c>
      <c r="T87" s="19" t="s">
        <v>1154</v>
      </c>
      <c r="AU87" s="15" t="s">
        <v>1155</v>
      </c>
      <c r="AV87" s="15" t="s">
        <v>1156</v>
      </c>
      <c r="AW87" s="15" t="s">
        <v>839</v>
      </c>
      <c r="AX87" s="26" t="s">
        <v>852</v>
      </c>
    </row>
    <row r="88" ht="15.75" customHeight="1">
      <c r="A88" s="26">
        <f t="shared" si="1"/>
        <v>86</v>
      </c>
      <c r="C88" s="19" t="s">
        <v>826</v>
      </c>
      <c r="F88" s="19" t="s">
        <v>873</v>
      </c>
      <c r="G88" s="19" t="s">
        <v>828</v>
      </c>
      <c r="H88" s="19" t="s">
        <v>1157</v>
      </c>
      <c r="I88" s="19" t="s">
        <v>845</v>
      </c>
      <c r="J88" s="19" t="s">
        <v>831</v>
      </c>
      <c r="K88" s="19" t="s">
        <v>383</v>
      </c>
      <c r="L88" s="19" t="s">
        <v>384</v>
      </c>
      <c r="M88" s="19" t="s">
        <v>832</v>
      </c>
      <c r="N88" s="19" t="s">
        <v>875</v>
      </c>
      <c r="O88" s="19" t="s">
        <v>876</v>
      </c>
      <c r="P88" s="19" t="s">
        <v>835</v>
      </c>
      <c r="Q88" s="19" t="s">
        <v>1158</v>
      </c>
      <c r="R88" s="19" t="s">
        <v>848</v>
      </c>
      <c r="S88" s="19" t="s">
        <v>385</v>
      </c>
      <c r="T88" s="19" t="s">
        <v>1159</v>
      </c>
      <c r="AU88" s="15" t="s">
        <v>1160</v>
      </c>
      <c r="AV88" s="15" t="s">
        <v>1161</v>
      </c>
      <c r="AW88" s="15" t="s">
        <v>851</v>
      </c>
      <c r="AX88" s="26" t="s">
        <v>852</v>
      </c>
    </row>
    <row r="89" ht="15.75" customHeight="1">
      <c r="A89" s="26">
        <f t="shared" si="1"/>
        <v>87</v>
      </c>
      <c r="C89" s="19" t="s">
        <v>866</v>
      </c>
      <c r="F89" s="19" t="s">
        <v>873</v>
      </c>
      <c r="G89" s="19" t="s">
        <v>828</v>
      </c>
      <c r="H89" s="19" t="s">
        <v>1162</v>
      </c>
      <c r="I89" s="19" t="s">
        <v>830</v>
      </c>
      <c r="J89" s="19" t="s">
        <v>916</v>
      </c>
      <c r="K89" s="19" t="s">
        <v>386</v>
      </c>
      <c r="L89" s="19" t="s">
        <v>387</v>
      </c>
      <c r="M89" s="19" t="s">
        <v>846</v>
      </c>
      <c r="N89" s="19" t="s">
        <v>1163</v>
      </c>
      <c r="O89" s="19" t="s">
        <v>972</v>
      </c>
      <c r="P89" s="19" t="s">
        <v>892</v>
      </c>
      <c r="Q89" s="19" t="s">
        <v>1164</v>
      </c>
      <c r="R89" s="19" t="s">
        <v>848</v>
      </c>
      <c r="S89" s="19" t="s">
        <v>388</v>
      </c>
      <c r="T89" s="19" t="s">
        <v>101</v>
      </c>
      <c r="AU89" s="15"/>
      <c r="AV89" s="15" t="s">
        <v>1165</v>
      </c>
      <c r="AW89" s="15" t="s">
        <v>851</v>
      </c>
      <c r="AX89" s="26" t="s">
        <v>852</v>
      </c>
    </row>
    <row r="90" ht="15.75" customHeight="1">
      <c r="A90" s="26">
        <f t="shared" si="1"/>
        <v>88</v>
      </c>
      <c r="C90" s="19" t="s">
        <v>826</v>
      </c>
      <c r="F90" s="19" t="s">
        <v>873</v>
      </c>
      <c r="G90" s="19" t="s">
        <v>828</v>
      </c>
      <c r="H90" s="19" t="s">
        <v>1166</v>
      </c>
      <c r="I90" s="19" t="s">
        <v>889</v>
      </c>
      <c r="J90" s="19" t="s">
        <v>906</v>
      </c>
      <c r="K90" s="19" t="s">
        <v>389</v>
      </c>
      <c r="L90" s="19" t="s">
        <v>390</v>
      </c>
      <c r="M90" s="19" t="s">
        <v>846</v>
      </c>
      <c r="N90" s="19" t="s">
        <v>833</v>
      </c>
      <c r="O90" s="19" t="s">
        <v>876</v>
      </c>
      <c r="P90" s="19" t="s">
        <v>908</v>
      </c>
      <c r="Q90" s="19" t="s">
        <v>1167</v>
      </c>
      <c r="R90" s="19" t="s">
        <v>894</v>
      </c>
      <c r="S90" s="19" t="s">
        <v>391</v>
      </c>
      <c r="T90" s="19" t="s">
        <v>1168</v>
      </c>
      <c r="AU90" s="15" t="s">
        <v>1169</v>
      </c>
      <c r="AV90" s="15" t="s">
        <v>1170</v>
      </c>
      <c r="AW90" s="15" t="s">
        <v>851</v>
      </c>
      <c r="AX90" s="26" t="s">
        <v>852</v>
      </c>
    </row>
    <row r="91" ht="15.75" customHeight="1">
      <c r="A91" s="26">
        <f t="shared" si="1"/>
        <v>89</v>
      </c>
      <c r="C91" s="19" t="s">
        <v>866</v>
      </c>
      <c r="F91" s="19" t="s">
        <v>842</v>
      </c>
      <c r="G91" s="19" t="s">
        <v>828</v>
      </c>
      <c r="H91" s="19" t="s">
        <v>1171</v>
      </c>
      <c r="I91" s="19" t="s">
        <v>845</v>
      </c>
      <c r="J91" s="19" t="s">
        <v>831</v>
      </c>
      <c r="K91" s="19" t="s">
        <v>392</v>
      </c>
      <c r="L91" s="19" t="s">
        <v>393</v>
      </c>
      <c r="M91" s="19" t="s">
        <v>846</v>
      </c>
      <c r="N91" s="19" t="s">
        <v>833</v>
      </c>
      <c r="O91" s="19" t="s">
        <v>876</v>
      </c>
      <c r="P91" s="19" t="s">
        <v>835</v>
      </c>
      <c r="Q91" s="19" t="s">
        <v>1172</v>
      </c>
      <c r="R91" s="19" t="s">
        <v>848</v>
      </c>
      <c r="S91" s="19" t="s">
        <v>394</v>
      </c>
      <c r="T91" s="19" t="s">
        <v>1173</v>
      </c>
      <c r="AU91" s="15" t="s">
        <v>1174</v>
      </c>
      <c r="AV91" s="15" t="s">
        <v>1175</v>
      </c>
      <c r="AW91" s="15" t="s">
        <v>851</v>
      </c>
      <c r="AX91" s="26" t="s">
        <v>840</v>
      </c>
    </row>
    <row r="92" ht="15.75" customHeight="1">
      <c r="A92" s="26">
        <f t="shared" si="1"/>
        <v>90</v>
      </c>
      <c r="C92" s="19" t="s">
        <v>826</v>
      </c>
      <c r="F92" s="19" t="s">
        <v>873</v>
      </c>
      <c r="G92" s="19" t="s">
        <v>828</v>
      </c>
      <c r="H92" s="19" t="s">
        <v>1176</v>
      </c>
      <c r="I92" s="19" t="s">
        <v>1177</v>
      </c>
      <c r="J92" s="19" t="s">
        <v>941</v>
      </c>
      <c r="K92" s="19" t="s">
        <v>395</v>
      </c>
      <c r="L92" s="19" t="s">
        <v>396</v>
      </c>
      <c r="M92" s="19" t="s">
        <v>832</v>
      </c>
      <c r="N92" s="19" t="s">
        <v>899</v>
      </c>
      <c r="O92" s="19" t="s">
        <v>917</v>
      </c>
      <c r="P92" s="19" t="s">
        <v>892</v>
      </c>
      <c r="Q92" s="19" t="s">
        <v>918</v>
      </c>
      <c r="R92" s="19" t="s">
        <v>894</v>
      </c>
      <c r="S92" s="19" t="s">
        <v>397</v>
      </c>
      <c r="T92" s="19" t="s">
        <v>1178</v>
      </c>
      <c r="AU92" s="15" t="s">
        <v>1179</v>
      </c>
      <c r="AV92" s="15" t="s">
        <v>1180</v>
      </c>
      <c r="AW92" s="15" t="s">
        <v>880</v>
      </c>
      <c r="AX92" s="26" t="s">
        <v>852</v>
      </c>
    </row>
    <row r="93" ht="15.75" customHeight="1">
      <c r="A93" s="26">
        <f t="shared" si="1"/>
        <v>91</v>
      </c>
      <c r="C93" s="19" t="s">
        <v>826</v>
      </c>
      <c r="F93" s="19" t="s">
        <v>873</v>
      </c>
      <c r="G93" s="19" t="s">
        <v>828</v>
      </c>
      <c r="H93" s="19" t="s">
        <v>874</v>
      </c>
      <c r="I93" s="19" t="s">
        <v>889</v>
      </c>
      <c r="J93" s="19" t="s">
        <v>831</v>
      </c>
      <c r="K93" s="19" t="s">
        <v>398</v>
      </c>
      <c r="L93" s="19" t="s">
        <v>399</v>
      </c>
      <c r="M93" s="19" t="s">
        <v>832</v>
      </c>
      <c r="N93" s="19" t="s">
        <v>1181</v>
      </c>
      <c r="O93" s="19" t="s">
        <v>891</v>
      </c>
      <c r="P93" s="19" t="s">
        <v>835</v>
      </c>
      <c r="Q93" s="19" t="s">
        <v>952</v>
      </c>
      <c r="R93" s="19" t="s">
        <v>848</v>
      </c>
      <c r="S93" s="19" t="s">
        <v>400</v>
      </c>
      <c r="T93" s="19" t="s">
        <v>1182</v>
      </c>
      <c r="AU93" s="15"/>
      <c r="AV93" s="15" t="s">
        <v>1183</v>
      </c>
      <c r="AW93" s="15" t="s">
        <v>851</v>
      </c>
      <c r="AX93" s="26" t="s">
        <v>852</v>
      </c>
    </row>
    <row r="94" ht="15.75" customHeight="1">
      <c r="A94" s="26">
        <f t="shared" si="1"/>
        <v>92</v>
      </c>
      <c r="C94" s="19" t="s">
        <v>841</v>
      </c>
      <c r="F94" s="19" t="s">
        <v>873</v>
      </c>
      <c r="G94" s="19" t="s">
        <v>1027</v>
      </c>
      <c r="H94" s="19" t="s">
        <v>905</v>
      </c>
      <c r="I94" s="19" t="s">
        <v>1177</v>
      </c>
      <c r="J94" s="19" t="s">
        <v>831</v>
      </c>
      <c r="K94" s="19" t="s">
        <v>401</v>
      </c>
      <c r="L94" s="19" t="s">
        <v>402</v>
      </c>
      <c r="M94" s="19" t="s">
        <v>846</v>
      </c>
      <c r="N94" s="19" t="s">
        <v>890</v>
      </c>
      <c r="O94" s="19" t="s">
        <v>1184</v>
      </c>
      <c r="P94" s="19" t="s">
        <v>892</v>
      </c>
      <c r="Q94" s="19" t="s">
        <v>1185</v>
      </c>
      <c r="R94" s="19" t="s">
        <v>894</v>
      </c>
      <c r="S94" s="19" t="s">
        <v>264</v>
      </c>
      <c r="T94" s="19" t="s">
        <v>101</v>
      </c>
      <c r="AU94" s="15" t="s">
        <v>1186</v>
      </c>
      <c r="AV94" s="15" t="s">
        <v>902</v>
      </c>
      <c r="AW94" s="15" t="s">
        <v>851</v>
      </c>
      <c r="AX94" s="26" t="s">
        <v>852</v>
      </c>
    </row>
    <row r="95" ht="15.75" customHeight="1">
      <c r="A95" s="26">
        <f t="shared" si="1"/>
        <v>93</v>
      </c>
      <c r="C95" s="19" t="s">
        <v>896</v>
      </c>
      <c r="F95" s="19" t="s">
        <v>873</v>
      </c>
      <c r="G95" s="19" t="s">
        <v>828</v>
      </c>
      <c r="H95" s="19" t="s">
        <v>1187</v>
      </c>
      <c r="I95" s="19" t="s">
        <v>830</v>
      </c>
      <c r="J95" s="19" t="s">
        <v>916</v>
      </c>
      <c r="K95" s="19" t="s">
        <v>403</v>
      </c>
      <c r="L95" s="19" t="s">
        <v>404</v>
      </c>
      <c r="M95" s="19" t="s">
        <v>846</v>
      </c>
      <c r="N95" s="19" t="s">
        <v>1188</v>
      </c>
      <c r="O95" s="19" t="s">
        <v>891</v>
      </c>
      <c r="P95" s="19" t="s">
        <v>835</v>
      </c>
      <c r="Q95" s="19" t="s">
        <v>1125</v>
      </c>
      <c r="R95" s="19" t="s">
        <v>848</v>
      </c>
      <c r="S95" s="19" t="s">
        <v>405</v>
      </c>
      <c r="T95" s="19" t="s">
        <v>1189</v>
      </c>
      <c r="AU95" s="15" t="s">
        <v>1190</v>
      </c>
      <c r="AV95" s="15" t="s">
        <v>117</v>
      </c>
      <c r="AW95" s="15" t="s">
        <v>880</v>
      </c>
      <c r="AX95" s="26" t="s">
        <v>852</v>
      </c>
    </row>
    <row r="96" ht="15.75" customHeight="1">
      <c r="A96" s="26">
        <f t="shared" si="1"/>
        <v>94</v>
      </c>
      <c r="C96" s="19" t="s">
        <v>896</v>
      </c>
      <c r="F96" s="19" t="s">
        <v>1132</v>
      </c>
      <c r="G96" s="19" t="s">
        <v>828</v>
      </c>
      <c r="H96" s="19" t="s">
        <v>1191</v>
      </c>
      <c r="I96" s="19" t="s">
        <v>889</v>
      </c>
      <c r="J96" s="19" t="s">
        <v>831</v>
      </c>
      <c r="K96" s="19" t="s">
        <v>406</v>
      </c>
      <c r="L96" s="19" t="s">
        <v>407</v>
      </c>
      <c r="M96" s="19" t="s">
        <v>846</v>
      </c>
      <c r="N96" s="19" t="s">
        <v>833</v>
      </c>
      <c r="O96" s="19" t="s">
        <v>891</v>
      </c>
      <c r="P96" s="19" t="s">
        <v>892</v>
      </c>
      <c r="Q96" s="19" t="s">
        <v>964</v>
      </c>
      <c r="R96" s="19" t="s">
        <v>837</v>
      </c>
      <c r="S96" s="19" t="s">
        <v>408</v>
      </c>
      <c r="T96" s="19" t="s">
        <v>1192</v>
      </c>
      <c r="AU96" s="15" t="s">
        <v>1193</v>
      </c>
      <c r="AV96" s="15" t="s">
        <v>1194</v>
      </c>
      <c r="AW96" s="15" t="s">
        <v>880</v>
      </c>
      <c r="AX96" s="26" t="s">
        <v>852</v>
      </c>
    </row>
    <row r="97" ht="15.75" customHeight="1">
      <c r="A97" s="26">
        <f t="shared" si="1"/>
        <v>95</v>
      </c>
      <c r="C97" s="19" t="s">
        <v>866</v>
      </c>
      <c r="F97" s="19" t="s">
        <v>827</v>
      </c>
      <c r="G97" s="19" t="s">
        <v>828</v>
      </c>
      <c r="H97" s="19" t="s">
        <v>1171</v>
      </c>
      <c r="I97" s="19" t="s">
        <v>845</v>
      </c>
      <c r="J97" s="19" t="s">
        <v>831</v>
      </c>
      <c r="K97" s="19" t="s">
        <v>409</v>
      </c>
      <c r="L97" s="19" t="s">
        <v>410</v>
      </c>
      <c r="M97" s="19" t="s">
        <v>898</v>
      </c>
      <c r="N97" s="19" t="s">
        <v>833</v>
      </c>
      <c r="O97" s="19" t="s">
        <v>1195</v>
      </c>
      <c r="P97" s="19" t="s">
        <v>835</v>
      </c>
      <c r="Q97" s="19" t="s">
        <v>893</v>
      </c>
      <c r="R97" s="19" t="s">
        <v>837</v>
      </c>
      <c r="S97" s="19" t="s">
        <v>411</v>
      </c>
      <c r="T97" s="19" t="s">
        <v>1196</v>
      </c>
      <c r="AU97" s="15"/>
      <c r="AV97" s="15"/>
      <c r="AW97" s="15" t="s">
        <v>839</v>
      </c>
      <c r="AX97" s="26" t="s">
        <v>852</v>
      </c>
    </row>
    <row r="98" ht="15.75" customHeight="1">
      <c r="A98" s="26">
        <f t="shared" si="1"/>
        <v>96</v>
      </c>
      <c r="C98" s="19" t="s">
        <v>853</v>
      </c>
      <c r="F98" s="19" t="s">
        <v>842</v>
      </c>
      <c r="G98" s="19" t="s">
        <v>828</v>
      </c>
      <c r="H98" s="19" t="s">
        <v>1197</v>
      </c>
      <c r="I98" s="19" t="s">
        <v>889</v>
      </c>
      <c r="J98" s="19" t="s">
        <v>941</v>
      </c>
      <c r="K98" s="19" t="s">
        <v>412</v>
      </c>
      <c r="L98" s="19" t="s">
        <v>413</v>
      </c>
      <c r="M98" s="19" t="s">
        <v>846</v>
      </c>
      <c r="N98" s="19" t="s">
        <v>986</v>
      </c>
      <c r="O98" s="19" t="s">
        <v>856</v>
      </c>
      <c r="P98" s="19" t="s">
        <v>892</v>
      </c>
      <c r="Q98" s="19" t="s">
        <v>1198</v>
      </c>
      <c r="R98" s="19" t="s">
        <v>837</v>
      </c>
      <c r="S98" s="19" t="s">
        <v>414</v>
      </c>
      <c r="T98" s="19" t="s">
        <v>101</v>
      </c>
      <c r="AU98" s="15" t="s">
        <v>1199</v>
      </c>
      <c r="AV98" s="15" t="s">
        <v>1156</v>
      </c>
      <c r="AW98" s="15" t="s">
        <v>851</v>
      </c>
      <c r="AX98" s="26" t="s">
        <v>852</v>
      </c>
    </row>
    <row r="99" ht="15.75" customHeight="1">
      <c r="A99" s="26">
        <f t="shared" si="1"/>
        <v>97</v>
      </c>
      <c r="C99" s="19" t="s">
        <v>826</v>
      </c>
      <c r="F99" s="19" t="s">
        <v>842</v>
      </c>
      <c r="G99" s="19" t="s">
        <v>828</v>
      </c>
      <c r="H99" s="19" t="s">
        <v>1176</v>
      </c>
      <c r="I99" s="19" t="s">
        <v>855</v>
      </c>
      <c r="J99" s="19" t="s">
        <v>831</v>
      </c>
      <c r="K99" s="19" t="s">
        <v>415</v>
      </c>
      <c r="L99" s="19" t="s">
        <v>416</v>
      </c>
      <c r="M99" s="19" t="s">
        <v>832</v>
      </c>
      <c r="N99" s="19" t="s">
        <v>861</v>
      </c>
      <c r="O99" s="19" t="s">
        <v>1113</v>
      </c>
      <c r="P99" s="19" t="s">
        <v>892</v>
      </c>
      <c r="Q99" s="19" t="s">
        <v>1200</v>
      </c>
      <c r="R99" s="19" t="s">
        <v>1201</v>
      </c>
      <c r="S99" s="19" t="s">
        <v>417</v>
      </c>
      <c r="T99" s="63" t="s">
        <v>157</v>
      </c>
      <c r="AU99" s="15" t="s">
        <v>1202</v>
      </c>
      <c r="AV99" s="15" t="s">
        <v>902</v>
      </c>
      <c r="AW99" s="15" t="s">
        <v>880</v>
      </c>
      <c r="AX99" s="26" t="s">
        <v>852</v>
      </c>
    </row>
    <row r="100" ht="15.75" customHeight="1">
      <c r="A100" s="26">
        <f t="shared" si="1"/>
        <v>98</v>
      </c>
      <c r="C100" s="19" t="s">
        <v>961</v>
      </c>
      <c r="F100" s="19" t="s">
        <v>873</v>
      </c>
      <c r="G100" s="19" t="s">
        <v>843</v>
      </c>
      <c r="H100" s="19" t="s">
        <v>1203</v>
      </c>
      <c r="I100" s="19" t="s">
        <v>830</v>
      </c>
      <c r="J100" s="19" t="s">
        <v>831</v>
      </c>
      <c r="K100" s="19" t="s">
        <v>418</v>
      </c>
      <c r="L100" s="19" t="s">
        <v>419</v>
      </c>
      <c r="M100" s="19" t="s">
        <v>846</v>
      </c>
      <c r="N100" s="19" t="s">
        <v>833</v>
      </c>
      <c r="O100" s="19" t="s">
        <v>1204</v>
      </c>
      <c r="P100" s="19" t="s">
        <v>835</v>
      </c>
      <c r="Q100" s="19" t="s">
        <v>1017</v>
      </c>
      <c r="R100" s="19" t="s">
        <v>837</v>
      </c>
      <c r="S100" s="19" t="s">
        <v>420</v>
      </c>
      <c r="T100" s="19" t="s">
        <v>1205</v>
      </c>
      <c r="AU100" s="15" t="s">
        <v>1206</v>
      </c>
      <c r="AV100" s="15" t="s">
        <v>879</v>
      </c>
      <c r="AW100" s="15" t="s">
        <v>839</v>
      </c>
      <c r="AX100" s="26" t="s">
        <v>840</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C1:F1"/>
    <mergeCell ref="G1:L1"/>
    <mergeCell ref="M1:Q1"/>
    <mergeCell ref="R1:T1"/>
    <mergeCell ref="U1:V1"/>
    <mergeCell ref="W1:Z1"/>
    <mergeCell ref="AA1:AT1"/>
    <mergeCell ref="AU1:AW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63"/>
    <col customWidth="1" min="2" max="2" width="63.5"/>
    <col customWidth="1" min="3" max="3" width="74.63"/>
    <col customWidth="1" min="4" max="4" width="62.38"/>
  </cols>
  <sheetData>
    <row r="1">
      <c r="A1" s="64" t="s">
        <v>1207</v>
      </c>
      <c r="B1" s="65" t="s">
        <v>1208</v>
      </c>
      <c r="C1" s="23" t="s">
        <v>1209</v>
      </c>
      <c r="D1" s="23" t="s">
        <v>1210</v>
      </c>
    </row>
    <row r="2" ht="1612.5" customHeight="1">
      <c r="A2" s="66" t="s">
        <v>1211</v>
      </c>
      <c r="B2" s="66" t="s">
        <v>1212</v>
      </c>
      <c r="C2" s="67" t="s">
        <v>1213</v>
      </c>
      <c r="D2" s="67" t="s">
        <v>1214</v>
      </c>
      <c r="E2" s="31"/>
    </row>
  </sheetData>
  <drawing r:id="rId1"/>
</worksheet>
</file>